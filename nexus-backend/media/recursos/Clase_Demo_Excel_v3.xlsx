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by0\Downloads\"/>
    </mc:Choice>
  </mc:AlternateContent>
  <xr:revisionPtr revIDLastSave="0" documentId="13_ncr:1_{FA29DCA4-3A5F-47DA-AA57-A773834BBDD4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ef. Mixtas" sheetId="2" r:id="rId1"/>
    <sheet name="SI · Y · O" sheetId="3" r:id="rId2"/>
    <sheet name="SI.CONJUNTO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2" i="4" l="1" a="1"/>
  <c r="I12" i="4" s="1"/>
  <c r="J12" i="4" s="1"/>
  <c r="I13" i="4" a="1"/>
  <c r="I13" i="4" s="1"/>
  <c r="I14" i="4" a="1"/>
  <c r="I14" i="4" s="1"/>
  <c r="I15" i="4" a="1"/>
  <c r="I15" i="4" s="1"/>
  <c r="I16" i="4" a="1"/>
  <c r="I16" i="4" s="1"/>
  <c r="I17" i="4" a="1"/>
  <c r="I17" i="4" s="1"/>
  <c r="I18" i="4" a="1"/>
  <c r="I18" i="4" s="1"/>
  <c r="I19" i="4" a="1"/>
  <c r="I19" i="4" s="1"/>
  <c r="J19" i="4" s="1"/>
  <c r="I20" i="4" a="1"/>
  <c r="I20" i="4" s="1"/>
  <c r="I21" i="4" a="1"/>
  <c r="I21" i="4" s="1"/>
  <c r="I22" i="4" a="1"/>
  <c r="I22" i="4" s="1"/>
  <c r="I23" i="4" a="1"/>
  <c r="I23" i="4" s="1"/>
  <c r="I24" i="4" a="1"/>
  <c r="I24" i="4" s="1"/>
  <c r="I25" i="4" a="1"/>
  <c r="I25" i="4" s="1"/>
  <c r="I26" i="4" a="1"/>
  <c r="I26" i="4" s="1"/>
  <c r="I27" i="4" a="1"/>
  <c r="I27" i="4" s="1"/>
  <c r="J27" i="4" s="1"/>
  <c r="I28" i="4" a="1"/>
  <c r="I28" i="4" s="1"/>
  <c r="I29" i="4" a="1"/>
  <c r="I29" i="4" s="1"/>
  <c r="I30" i="4" a="1"/>
  <c r="I30" i="4" s="1"/>
  <c r="I31" i="4" a="1"/>
  <c r="I31" i="4" s="1"/>
  <c r="I32" i="4" a="1"/>
  <c r="I32" i="4" s="1"/>
  <c r="I33" i="4" a="1"/>
  <c r="I33" i="4" s="1"/>
  <c r="I34" i="4" a="1"/>
  <c r="I34" i="4" s="1"/>
  <c r="I35" i="4" a="1"/>
  <c r="I35" i="4" s="1"/>
  <c r="I36" i="4" a="1"/>
  <c r="I36" i="4" s="1"/>
  <c r="I37" i="4" a="1"/>
  <c r="I37" i="4" s="1"/>
  <c r="I38" i="4" a="1"/>
  <c r="I38" i="4" s="1"/>
  <c r="I39" i="4" a="1"/>
  <c r="I39" i="4" s="1"/>
  <c r="I40" i="4" a="1"/>
  <c r="I40" i="4" s="1"/>
  <c r="I41" i="4" a="1"/>
  <c r="I41" i="4" s="1"/>
  <c r="I42" i="4" a="1"/>
  <c r="I42" i="4" s="1"/>
  <c r="I43" i="4" a="1"/>
  <c r="I43" i="4" s="1"/>
  <c r="I44" i="4" a="1"/>
  <c r="I44" i="4" s="1"/>
  <c r="I45" i="4" a="1"/>
  <c r="I45" i="4" s="1"/>
  <c r="I46" i="4" a="1"/>
  <c r="I46" i="4" s="1"/>
  <c r="I47" i="4" a="1"/>
  <c r="I47" i="4" s="1"/>
  <c r="I48" i="4" a="1"/>
  <c r="I48" i="4" s="1"/>
  <c r="I49" i="4" a="1"/>
  <c r="I49" i="4" s="1"/>
  <c r="I50" i="4" a="1"/>
  <c r="I50" i="4" s="1"/>
  <c r="J50" i="4" s="1"/>
  <c r="I51" i="4" a="1"/>
  <c r="I51" i="4" s="1"/>
  <c r="I52" i="4" a="1"/>
  <c r="I52" i="4" s="1"/>
  <c r="I53" i="4" a="1"/>
  <c r="I53" i="4" s="1"/>
  <c r="I54" i="4" a="1"/>
  <c r="I54" i="4" s="1"/>
  <c r="I55" i="4" a="1"/>
  <c r="I55" i="4" s="1"/>
  <c r="I56" i="4" a="1"/>
  <c r="I56" i="4" s="1"/>
  <c r="I57" i="4" a="1"/>
  <c r="I57" i="4" s="1"/>
  <c r="I58" i="4" a="1"/>
  <c r="I58" i="4" s="1"/>
  <c r="J58" i="4" s="1"/>
  <c r="I59" i="4" a="1"/>
  <c r="I59" i="4" s="1"/>
  <c r="I60" i="4" a="1"/>
  <c r="I60" i="4" s="1"/>
  <c r="I61" i="4" a="1"/>
  <c r="I61" i="4" s="1"/>
  <c r="I62" i="4" a="1"/>
  <c r="I62" i="4" s="1"/>
  <c r="I63" i="4" a="1"/>
  <c r="I63" i="4" s="1"/>
  <c r="I64" i="4" a="1"/>
  <c r="I64" i="4" s="1"/>
  <c r="I65" i="4" a="1"/>
  <c r="I65" i="4" s="1"/>
  <c r="I66" i="4" a="1"/>
  <c r="I66" i="4" s="1"/>
  <c r="I67" i="4" a="1"/>
  <c r="I67" i="4" s="1"/>
  <c r="I68" i="4" a="1"/>
  <c r="I68" i="4" s="1"/>
  <c r="I69" i="4" a="1"/>
  <c r="I69" i="4" s="1"/>
  <c r="I70" i="4" a="1"/>
  <c r="I70" i="4" s="1"/>
  <c r="I71" i="4" a="1"/>
  <c r="I71" i="4" s="1"/>
  <c r="I72" i="4" a="1"/>
  <c r="I72" i="4" s="1"/>
  <c r="J72" i="4" s="1"/>
  <c r="I73" i="4" a="1"/>
  <c r="I73" i="4" s="1"/>
  <c r="I74" i="4" a="1"/>
  <c r="I74" i="4" s="1"/>
  <c r="I75" i="4" a="1"/>
  <c r="I75" i="4" s="1"/>
  <c r="I76" i="4" a="1"/>
  <c r="I76" i="4" s="1"/>
  <c r="I77" i="4" a="1"/>
  <c r="I77" i="4" s="1"/>
  <c r="I78" i="4" a="1"/>
  <c r="I78" i="4"/>
  <c r="I79" i="4" a="1"/>
  <c r="I79" i="4" s="1"/>
  <c r="I80" i="4" a="1"/>
  <c r="I80" i="4" s="1"/>
  <c r="I81" i="4" a="1"/>
  <c r="I81" i="4" s="1"/>
  <c r="I82" i="4" a="1"/>
  <c r="I82" i="4" s="1"/>
  <c r="J82" i="4" s="1"/>
  <c r="I83" i="4" a="1"/>
  <c r="I83" i="4" s="1"/>
  <c r="I84" i="4" a="1"/>
  <c r="I84" i="4" s="1"/>
  <c r="I85" i="4" a="1"/>
  <c r="I85" i="4" s="1"/>
  <c r="I86" i="4" a="1"/>
  <c r="I86" i="4" s="1"/>
  <c r="I87" i="4" a="1"/>
  <c r="I87" i="4" s="1"/>
  <c r="I88" i="4" a="1"/>
  <c r="I88" i="4" s="1"/>
  <c r="I89" i="4" a="1"/>
  <c r="I89" i="4" s="1"/>
  <c r="I90" i="4" a="1"/>
  <c r="I90" i="4" s="1"/>
  <c r="J90" i="4" s="1"/>
  <c r="I91" i="4" a="1"/>
  <c r="I91" i="4" s="1"/>
  <c r="I92" i="4" a="1"/>
  <c r="I92" i="4" s="1"/>
  <c r="I93" i="4" a="1"/>
  <c r="I93" i="4" s="1"/>
  <c r="I94" i="4" a="1"/>
  <c r="I94" i="4" s="1"/>
  <c r="I95" i="4" a="1"/>
  <c r="I95" i="4" s="1"/>
  <c r="I96" i="4" a="1"/>
  <c r="I96" i="4" s="1"/>
  <c r="I97" i="4" a="1"/>
  <c r="I97" i="4" s="1"/>
  <c r="I98" i="4" a="1"/>
  <c r="I98" i="4" s="1"/>
  <c r="I99" i="4" a="1"/>
  <c r="I99" i="4" s="1"/>
  <c r="I100" i="4" a="1"/>
  <c r="I100" i="4" s="1"/>
  <c r="I101" i="4" a="1"/>
  <c r="I101" i="4" s="1"/>
  <c r="I102" i="4" a="1"/>
  <c r="I102" i="4" s="1"/>
  <c r="I103" i="4" a="1"/>
  <c r="I103" i="4" s="1"/>
  <c r="I104" i="4" a="1"/>
  <c r="I104" i="4" s="1"/>
  <c r="I105" i="4" a="1"/>
  <c r="I105" i="4" s="1"/>
  <c r="I106" i="4" a="1"/>
  <c r="I106" i="4" s="1"/>
  <c r="I107" i="4" a="1"/>
  <c r="I107" i="4" s="1"/>
  <c r="I108" i="4" a="1"/>
  <c r="I108" i="4" s="1"/>
  <c r="I109" i="4" a="1"/>
  <c r="I109" i="4" s="1"/>
  <c r="I110" i="4" a="1"/>
  <c r="I110" i="4" s="1"/>
  <c r="I111" i="4" a="1"/>
  <c r="I111" i="4" s="1"/>
  <c r="I112" i="4" a="1"/>
  <c r="I112" i="4" s="1"/>
  <c r="I113" i="4" a="1"/>
  <c r="I113" i="4" s="1"/>
  <c r="I114" i="4" a="1"/>
  <c r="I114" i="4"/>
  <c r="I115" i="4" a="1"/>
  <c r="I115" i="4" s="1"/>
  <c r="I116" i="4" a="1"/>
  <c r="I116" i="4" s="1"/>
  <c r="I117" i="4" a="1"/>
  <c r="I117" i="4" s="1"/>
  <c r="I118" i="4" a="1"/>
  <c r="I118" i="4" s="1"/>
  <c r="I119" i="4" a="1"/>
  <c r="I119" i="4" s="1"/>
  <c r="I120" i="4" a="1"/>
  <c r="I120" i="4" s="1"/>
  <c r="I121" i="4" a="1"/>
  <c r="I121" i="4" s="1"/>
  <c r="I122" i="4" a="1"/>
  <c r="I122" i="4" s="1"/>
  <c r="J122" i="4" s="1"/>
  <c r="I123" i="4" a="1"/>
  <c r="I123" i="4" s="1"/>
  <c r="I124" i="4" a="1"/>
  <c r="I124" i="4" s="1"/>
  <c r="I125" i="4" a="1"/>
  <c r="I125" i="4" s="1"/>
  <c r="I126" i="4" a="1"/>
  <c r="I126" i="4" s="1"/>
  <c r="I127" i="4" a="1"/>
  <c r="I127" i="4" s="1"/>
  <c r="I128" i="4" a="1"/>
  <c r="I128" i="4" s="1"/>
  <c r="I129" i="4" a="1"/>
  <c r="I129" i="4" s="1"/>
  <c r="I130" i="4" a="1"/>
  <c r="I130" i="4" s="1"/>
  <c r="I131" i="4" a="1"/>
  <c r="I131" i="4" s="1"/>
  <c r="I132" i="4" a="1"/>
  <c r="I132" i="4" s="1"/>
  <c r="I133" i="4" a="1"/>
  <c r="I133" i="4" s="1"/>
  <c r="I134" i="4" a="1"/>
  <c r="I134" i="4" s="1"/>
  <c r="I135" i="4" a="1"/>
  <c r="I135" i="4" s="1"/>
  <c r="I136" i="4" a="1"/>
  <c r="I136" i="4" s="1"/>
  <c r="I137" i="4" a="1"/>
  <c r="I137" i="4" s="1"/>
  <c r="I138" i="4" a="1"/>
  <c r="I138" i="4" s="1"/>
  <c r="I139" i="4" a="1"/>
  <c r="I139" i="4" s="1"/>
  <c r="I140" i="4" a="1"/>
  <c r="I140" i="4" s="1"/>
  <c r="I141" i="4" a="1"/>
  <c r="I141" i="4" s="1"/>
  <c r="I142" i="4" a="1"/>
  <c r="I142" i="4"/>
  <c r="I143" i="4" a="1"/>
  <c r="I143" i="4" s="1"/>
  <c r="I144" i="4" a="1"/>
  <c r="I144" i="4" s="1"/>
  <c r="I145" i="4" a="1"/>
  <c r="I145" i="4" s="1"/>
  <c r="I146" i="4" a="1"/>
  <c r="I146" i="4" s="1"/>
  <c r="J146" i="4" s="1"/>
  <c r="I147" i="4" a="1"/>
  <c r="I147" i="4" s="1"/>
  <c r="I148" i="4" a="1"/>
  <c r="I148" i="4" s="1"/>
  <c r="I149" i="4" a="1"/>
  <c r="I149" i="4" s="1"/>
  <c r="I150" i="4" a="1"/>
  <c r="I150" i="4" s="1"/>
  <c r="I151" i="4" a="1"/>
  <c r="I151" i="4" s="1"/>
  <c r="I152" i="4" a="1"/>
  <c r="I152" i="4" s="1"/>
  <c r="I153" i="4" a="1"/>
  <c r="I153" i="4" s="1"/>
  <c r="I154" i="4" a="1"/>
  <c r="I154" i="4" s="1"/>
  <c r="J154" i="4" s="1"/>
  <c r="I155" i="4" a="1"/>
  <c r="I155" i="4" s="1"/>
  <c r="I156" i="4" a="1"/>
  <c r="I156" i="4" s="1"/>
  <c r="I157" i="4" a="1"/>
  <c r="I157" i="4" s="1"/>
  <c r="I158" i="4" a="1"/>
  <c r="I158" i="4" s="1"/>
  <c r="I159" i="4" a="1"/>
  <c r="I159" i="4" s="1"/>
  <c r="I160" i="4" a="1"/>
  <c r="I160" i="4" s="1"/>
  <c r="I161" i="4" a="1"/>
  <c r="I161" i="4" s="1"/>
  <c r="I162" i="4" a="1"/>
  <c r="I162" i="4" s="1"/>
  <c r="I163" i="4" a="1"/>
  <c r="I163" i="4" s="1"/>
  <c r="I164" i="4" a="1"/>
  <c r="I164" i="4" s="1"/>
  <c r="I165" i="4" a="1"/>
  <c r="I165" i="4" s="1"/>
  <c r="I166" i="4" a="1"/>
  <c r="I166" i="4" s="1"/>
  <c r="I167" i="4" a="1"/>
  <c r="I167" i="4" s="1"/>
  <c r="I168" i="4" a="1"/>
  <c r="I168" i="4" s="1"/>
  <c r="I169" i="4" a="1"/>
  <c r="I169" i="4" s="1"/>
  <c r="I170" i="4" a="1"/>
  <c r="I170" i="4" s="1"/>
  <c r="I171" i="4" a="1"/>
  <c r="I171" i="4" s="1"/>
  <c r="I172" i="4" a="1"/>
  <c r="I172" i="4" s="1"/>
  <c r="I173" i="4" a="1"/>
  <c r="I173" i="4" s="1"/>
  <c r="I174" i="4" a="1"/>
  <c r="I174" i="4" s="1"/>
  <c r="I175" i="4" a="1"/>
  <c r="I175" i="4" s="1"/>
  <c r="I176" i="4" a="1"/>
  <c r="I176" i="4" s="1"/>
  <c r="I177" i="4" a="1"/>
  <c r="I177" i="4" s="1"/>
  <c r="I178" i="4" a="1"/>
  <c r="I178" i="4"/>
  <c r="I179" i="4" a="1"/>
  <c r="I179" i="4" s="1"/>
  <c r="I180" i="4" a="1"/>
  <c r="I180" i="4" s="1"/>
  <c r="I181" i="4" a="1"/>
  <c r="I181" i="4" s="1"/>
  <c r="I182" i="4" a="1"/>
  <c r="I182" i="4" s="1"/>
  <c r="I183" i="4" a="1"/>
  <c r="I183" i="4" s="1"/>
  <c r="I184" i="4" a="1"/>
  <c r="I184" i="4" s="1"/>
  <c r="I185" i="4" a="1"/>
  <c r="I185" i="4" s="1"/>
  <c r="I186" i="4" a="1"/>
  <c r="I186" i="4" s="1"/>
  <c r="J186" i="4" s="1"/>
  <c r="I187" i="4" a="1"/>
  <c r="I187" i="4" s="1"/>
  <c r="I188" i="4" a="1"/>
  <c r="I188" i="4" s="1"/>
  <c r="I189" i="4" a="1"/>
  <c r="I189" i="4" s="1"/>
  <c r="I190" i="4" a="1"/>
  <c r="I190" i="4" s="1"/>
  <c r="I191" i="4" a="1"/>
  <c r="I191" i="4" s="1"/>
  <c r="I192" i="4" a="1"/>
  <c r="I192" i="4" s="1"/>
  <c r="I193" i="4" a="1"/>
  <c r="I193" i="4" s="1"/>
  <c r="I194" i="4" a="1"/>
  <c r="I194" i="4" s="1"/>
  <c r="I195" i="4" a="1"/>
  <c r="I195" i="4" s="1"/>
  <c r="I196" i="4" a="1"/>
  <c r="I196" i="4" s="1"/>
  <c r="I197" i="4" a="1"/>
  <c r="I197" i="4" s="1"/>
  <c r="I198" i="4" a="1"/>
  <c r="I198" i="4" s="1"/>
  <c r="I199" i="4" a="1"/>
  <c r="I199" i="4" s="1"/>
  <c r="I200" i="4" a="1"/>
  <c r="I200" i="4" s="1"/>
  <c r="I201" i="4" a="1"/>
  <c r="I201" i="4" s="1"/>
  <c r="I202" i="4" a="1"/>
  <c r="I202" i="4" s="1"/>
  <c r="I203" i="4" a="1"/>
  <c r="I203" i="4" s="1"/>
  <c r="I204" i="4" a="1"/>
  <c r="I204" i="4" s="1"/>
  <c r="I205" i="4" a="1"/>
  <c r="I205" i="4" s="1"/>
  <c r="I206" i="4" a="1"/>
  <c r="I206" i="4"/>
  <c r="I207" i="4" a="1"/>
  <c r="I207" i="4" s="1"/>
  <c r="I208" i="4" a="1"/>
  <c r="I208" i="4" s="1"/>
  <c r="I209" i="4" a="1"/>
  <c r="I209" i="4" s="1"/>
  <c r="I210" i="4" a="1"/>
  <c r="I210" i="4" s="1"/>
  <c r="J210" i="4" s="1"/>
  <c r="I211" i="4" a="1"/>
  <c r="I211" i="4" s="1"/>
  <c r="I212" i="4" a="1"/>
  <c r="I212" i="4" s="1"/>
  <c r="I213" i="4" a="1"/>
  <c r="I213" i="4" s="1"/>
  <c r="I214" i="4" a="1"/>
  <c r="I214" i="4" s="1"/>
  <c r="J214" i="4" s="1"/>
  <c r="I215" i="4" a="1"/>
  <c r="I215" i="4" s="1"/>
  <c r="I216" i="4" a="1"/>
  <c r="I216" i="4" s="1"/>
  <c r="I217" i="4" a="1"/>
  <c r="I217" i="4" s="1"/>
  <c r="I218" i="4" a="1"/>
  <c r="I218" i="4" s="1"/>
  <c r="J218" i="4" s="1"/>
  <c r="I219" i="4" a="1"/>
  <c r="I219" i="4" s="1"/>
  <c r="I220" i="4" a="1"/>
  <c r="I220" i="4" s="1"/>
  <c r="I221" i="4" a="1"/>
  <c r="I221" i="4" s="1"/>
  <c r="I222" i="4" a="1"/>
  <c r="I222" i="4" s="1"/>
  <c r="I223" i="4" a="1"/>
  <c r="I223" i="4" s="1"/>
  <c r="I224" i="4" a="1"/>
  <c r="I224" i="4" s="1"/>
  <c r="I225" i="4" a="1"/>
  <c r="I225" i="4" s="1"/>
  <c r="I226" i="4" a="1"/>
  <c r="I226" i="4" s="1"/>
  <c r="I227" i="4" a="1"/>
  <c r="I227" i="4" s="1"/>
  <c r="I228" i="4" a="1"/>
  <c r="I228" i="4" s="1"/>
  <c r="I229" i="4" a="1"/>
  <c r="I229" i="4" s="1"/>
  <c r="I230" i="4" a="1"/>
  <c r="I230" i="4" s="1"/>
  <c r="I231" i="4" a="1"/>
  <c r="I231" i="4" s="1"/>
  <c r="I232" i="4" a="1"/>
  <c r="I232" i="4" s="1"/>
  <c r="I233" i="4" a="1"/>
  <c r="I233" i="4" s="1"/>
  <c r="I234" i="4" a="1"/>
  <c r="I234" i="4" s="1"/>
  <c r="I235" i="4" a="1"/>
  <c r="I235" i="4" s="1"/>
  <c r="I236" i="4" a="1"/>
  <c r="I236" i="4" s="1"/>
  <c r="I237" i="4" a="1"/>
  <c r="I237" i="4" s="1"/>
  <c r="I238" i="4" a="1"/>
  <c r="I238" i="4" s="1"/>
  <c r="J238" i="4" s="1"/>
  <c r="I239" i="4" a="1"/>
  <c r="I239" i="4" s="1"/>
  <c r="I240" i="4" a="1"/>
  <c r="I240" i="4" s="1"/>
  <c r="I241" i="4" a="1"/>
  <c r="I241" i="4" s="1"/>
  <c r="I242" i="4" a="1"/>
  <c r="I242" i="4"/>
  <c r="I243" i="4" a="1"/>
  <c r="I243" i="4" s="1"/>
  <c r="I244" i="4" a="1"/>
  <c r="I244" i="4" s="1"/>
  <c r="I245" i="4" a="1"/>
  <c r="I245" i="4" s="1"/>
  <c r="I246" i="4" a="1"/>
  <c r="I246" i="4" s="1"/>
  <c r="J246" i="4" s="1"/>
  <c r="I247" i="4" a="1"/>
  <c r="I247" i="4" s="1"/>
  <c r="I248" i="4" a="1"/>
  <c r="I248" i="4" s="1"/>
  <c r="I249" i="4" a="1"/>
  <c r="I249" i="4" s="1"/>
  <c r="I250" i="4" a="1"/>
  <c r="I250" i="4" s="1"/>
  <c r="J250" i="4" s="1"/>
  <c r="I251" i="4" a="1"/>
  <c r="I251" i="4" s="1"/>
  <c r="I252" i="4" a="1"/>
  <c r="I252" i="4" s="1"/>
  <c r="I253" i="4" a="1"/>
  <c r="I253" i="4" s="1"/>
  <c r="I254" i="4" a="1"/>
  <c r="I254" i="4" s="1"/>
  <c r="I255" i="4" a="1"/>
  <c r="I255" i="4" s="1"/>
  <c r="I256" i="4" a="1"/>
  <c r="I256" i="4" s="1"/>
  <c r="I257" i="4" a="1"/>
  <c r="I257" i="4" s="1"/>
  <c r="I258" i="4" a="1"/>
  <c r="I258" i="4" s="1"/>
  <c r="I259" i="4" a="1"/>
  <c r="I259" i="4" s="1"/>
  <c r="I260" i="4" a="1"/>
  <c r="I260" i="4" s="1"/>
  <c r="I261" i="4" a="1"/>
  <c r="I261" i="4" s="1"/>
  <c r="I262" i="4" a="1"/>
  <c r="I262" i="4"/>
  <c r="I263" i="4" a="1"/>
  <c r="I263" i="4" s="1"/>
  <c r="I264" i="4" a="1"/>
  <c r="I264" i="4" s="1"/>
  <c r="I265" i="4" a="1"/>
  <c r="I265" i="4" s="1"/>
  <c r="I266" i="4" a="1"/>
  <c r="I266" i="4" s="1"/>
  <c r="I267" i="4" a="1"/>
  <c r="I267" i="4" s="1"/>
  <c r="J267" i="4" s="1"/>
  <c r="I268" i="4" a="1"/>
  <c r="I268" i="4" s="1"/>
  <c r="I269" i="4" a="1"/>
  <c r="I269" i="4" s="1"/>
  <c r="I270" i="4" a="1"/>
  <c r="I270" i="4" s="1"/>
  <c r="J270" i="4" s="1"/>
  <c r="I271" i="4" a="1"/>
  <c r="I271" i="4" s="1"/>
  <c r="J271" i="4" s="1"/>
  <c r="I272" i="4" a="1"/>
  <c r="I272" i="4" s="1"/>
  <c r="I273" i="4" a="1"/>
  <c r="I273" i="4" s="1"/>
  <c r="I274" i="4" a="1"/>
  <c r="I274" i="4" s="1"/>
  <c r="I275" i="4" a="1"/>
  <c r="I275" i="4" s="1"/>
  <c r="I276" i="4" a="1"/>
  <c r="I276" i="4" s="1"/>
  <c r="I277" i="4" a="1"/>
  <c r="I277" i="4" s="1"/>
  <c r="I278" i="4" a="1"/>
  <c r="I278" i="4" s="1"/>
  <c r="J278" i="4" s="1"/>
  <c r="I279" i="4" a="1"/>
  <c r="I279" i="4" s="1"/>
  <c r="I280" i="4" a="1"/>
  <c r="I280" i="4" s="1"/>
  <c r="I281" i="4" a="1"/>
  <c r="I281" i="4" s="1"/>
  <c r="I282" i="4" a="1"/>
  <c r="I282" i="4"/>
  <c r="I283" i="4" a="1"/>
  <c r="I283" i="4" s="1"/>
  <c r="J283" i="4" s="1"/>
  <c r="I284" i="4" a="1"/>
  <c r="I284" i="4" s="1"/>
  <c r="I285" i="4" a="1"/>
  <c r="I285" i="4" s="1"/>
  <c r="I286" i="4" a="1"/>
  <c r="I286" i="4" s="1"/>
  <c r="I287" i="4" a="1"/>
  <c r="I287" i="4"/>
  <c r="I288" i="4" a="1"/>
  <c r="I288" i="4" s="1"/>
  <c r="I289" i="4" a="1"/>
  <c r="I289" i="4" s="1"/>
  <c r="I290" i="4" a="1"/>
  <c r="I290" i="4" s="1"/>
  <c r="I291" i="4" a="1"/>
  <c r="I291" i="4" s="1"/>
  <c r="I292" i="4" a="1"/>
  <c r="I292" i="4" s="1"/>
  <c r="I293" i="4" a="1"/>
  <c r="I293" i="4" s="1"/>
  <c r="I294" i="4" a="1"/>
  <c r="I294" i="4"/>
  <c r="I295" i="4" a="1"/>
  <c r="I295" i="4" s="1"/>
  <c r="I296" i="4" a="1"/>
  <c r="I296" i="4" s="1"/>
  <c r="I297" i="4" a="1"/>
  <c r="I297" i="4" s="1"/>
  <c r="I298" i="4" a="1"/>
  <c r="I298" i="4" s="1"/>
  <c r="I299" i="4" a="1"/>
  <c r="I299" i="4" s="1"/>
  <c r="J299" i="4" s="1"/>
  <c r="I300" i="4" a="1"/>
  <c r="I300" i="4" s="1"/>
  <c r="I301" i="4" a="1"/>
  <c r="I301" i="4" s="1"/>
  <c r="I302" i="4" a="1"/>
  <c r="I302" i="4" s="1"/>
  <c r="J302" i="4" s="1"/>
  <c r="I303" i="4" a="1"/>
  <c r="I303" i="4" s="1"/>
  <c r="J303" i="4" s="1"/>
  <c r="I304" i="4" a="1"/>
  <c r="I304" i="4" s="1"/>
  <c r="I305" i="4" a="1"/>
  <c r="I305" i="4" s="1"/>
  <c r="I306" i="4" a="1"/>
  <c r="I306" i="4" s="1"/>
  <c r="I307" i="4" a="1"/>
  <c r="I307" i="4" s="1"/>
  <c r="I308" i="4" a="1"/>
  <c r="I308" i="4" s="1"/>
  <c r="I309" i="4" a="1"/>
  <c r="I309" i="4" s="1"/>
  <c r="J309" i="4" s="1"/>
  <c r="I310" i="4" a="1"/>
  <c r="I310" i="4" s="1"/>
  <c r="J310" i="4" s="1"/>
  <c r="I311" i="4" a="1"/>
  <c r="I311" i="4" s="1"/>
  <c r="I312" i="4" a="1"/>
  <c r="I312" i="4" s="1"/>
  <c r="I313" i="4" a="1"/>
  <c r="I313" i="4" s="1"/>
  <c r="I314" i="4" a="1"/>
  <c r="I314" i="4"/>
  <c r="I315" i="4" a="1"/>
  <c r="I315" i="4" s="1"/>
  <c r="J315" i="4" s="1"/>
  <c r="I316" i="4" a="1"/>
  <c r="I316" i="4" s="1"/>
  <c r="I317" i="4" a="1"/>
  <c r="I317" i="4" s="1"/>
  <c r="I318" i="4" a="1"/>
  <c r="I318" i="4" s="1"/>
  <c r="I319" i="4" a="1"/>
  <c r="I319" i="4"/>
  <c r="I320" i="4" a="1"/>
  <c r="I320" i="4" s="1"/>
  <c r="I321" i="4" a="1"/>
  <c r="I321" i="4" s="1"/>
  <c r="I322" i="4" a="1"/>
  <c r="I322" i="4" s="1"/>
  <c r="I323" i="4" a="1"/>
  <c r="I323" i="4" s="1"/>
  <c r="I324" i="4" a="1"/>
  <c r="I324" i="4" s="1"/>
  <c r="I325" i="4" a="1"/>
  <c r="I325" i="4" s="1"/>
  <c r="I326" i="4" a="1"/>
  <c r="I326" i="4" s="1"/>
  <c r="J326" i="4" s="1"/>
  <c r="I327" i="4" a="1"/>
  <c r="I327" i="4" s="1"/>
  <c r="I328" i="4" a="1"/>
  <c r="I328" i="4" s="1"/>
  <c r="I329" i="4" a="1"/>
  <c r="I329" i="4" s="1"/>
  <c r="I330" i="4" a="1"/>
  <c r="I330" i="4" s="1"/>
  <c r="J330" i="4" s="1"/>
  <c r="I331" i="4" a="1"/>
  <c r="I331" i="4" s="1"/>
  <c r="J331" i="4" s="1"/>
  <c r="I332" i="4" a="1"/>
  <c r="I332" i="4" s="1"/>
  <c r="I333" i="4" a="1"/>
  <c r="I333" i="4" s="1"/>
  <c r="I334" i="4" a="1"/>
  <c r="I334" i="4" s="1"/>
  <c r="J334" i="4" s="1"/>
  <c r="I335" i="4" a="1"/>
  <c r="I335" i="4" s="1"/>
  <c r="J335" i="4" s="1"/>
  <c r="I336" i="4" a="1"/>
  <c r="I336" i="4" s="1"/>
  <c r="I337" i="4" a="1"/>
  <c r="I337" i="4" s="1"/>
  <c r="I338" i="4" a="1"/>
  <c r="I338" i="4" s="1"/>
  <c r="I339" i="4" a="1"/>
  <c r="I339" i="4" s="1"/>
  <c r="I340" i="4" a="1"/>
  <c r="I340" i="4" s="1"/>
  <c r="I341" i="4" a="1"/>
  <c r="I341" i="4" s="1"/>
  <c r="J341" i="4" s="1"/>
  <c r="I342" i="4" a="1"/>
  <c r="I342" i="4" s="1"/>
  <c r="J342" i="4" s="1"/>
  <c r="I343" i="4" a="1"/>
  <c r="I343" i="4" s="1"/>
  <c r="I344" i="4" a="1"/>
  <c r="I344" i="4" s="1"/>
  <c r="I345" i="4" a="1"/>
  <c r="I345" i="4" s="1"/>
  <c r="I346" i="4" a="1"/>
  <c r="I346" i="4"/>
  <c r="I347" i="4" a="1"/>
  <c r="I347" i="4" s="1"/>
  <c r="I348" i="4" a="1"/>
  <c r="I348" i="4" s="1"/>
  <c r="I349" i="4" a="1"/>
  <c r="I349" i="4" s="1"/>
  <c r="I350" i="4" a="1"/>
  <c r="I350" i="4" s="1"/>
  <c r="I351" i="4" a="1"/>
  <c r="I351" i="4" s="1"/>
  <c r="J351" i="4" s="1"/>
  <c r="I352" i="4" a="1"/>
  <c r="I352" i="4" s="1"/>
  <c r="I353" i="4" a="1"/>
  <c r="I353" i="4" s="1"/>
  <c r="I354" i="4" a="1"/>
  <c r="I354" i="4" s="1"/>
  <c r="J354" i="4" s="1"/>
  <c r="I355" i="4" a="1"/>
  <c r="I355" i="4"/>
  <c r="I356" i="4" a="1"/>
  <c r="I356" i="4" s="1"/>
  <c r="I357" i="4" a="1"/>
  <c r="I357" i="4"/>
  <c r="I358" i="4" a="1"/>
  <c r="I358" i="4" s="1"/>
  <c r="J358" i="4" s="1"/>
  <c r="I359" i="4" a="1"/>
  <c r="I359" i="4"/>
  <c r="I360" i="4" a="1"/>
  <c r="I360" i="4" s="1"/>
  <c r="I361" i="4" a="1"/>
  <c r="I361" i="4"/>
  <c r="I362" i="4" a="1"/>
  <c r="I362" i="4" s="1"/>
  <c r="I363" i="4" a="1"/>
  <c r="I363" i="4" s="1"/>
  <c r="J363" i="4" s="1"/>
  <c r="I364" i="4" a="1"/>
  <c r="I364" i="4" s="1"/>
  <c r="I365" i="4" a="1"/>
  <c r="I365" i="4" s="1"/>
  <c r="J365" i="4" s="1"/>
  <c r="I366" i="4" a="1"/>
  <c r="I366" i="4"/>
  <c r="I367" i="4" a="1"/>
  <c r="I367" i="4" s="1"/>
  <c r="J367" i="4" s="1"/>
  <c r="I368" i="4" a="1"/>
  <c r="I368" i="4" s="1"/>
  <c r="I369" i="4" a="1"/>
  <c r="I369" i="4"/>
  <c r="I370" i="4" a="1"/>
  <c r="I370" i="4"/>
  <c r="I371" i="4" a="1"/>
  <c r="I371" i="4" s="1"/>
  <c r="J371" i="4" s="1"/>
  <c r="I372" i="4" a="1"/>
  <c r="I372" i="4" s="1"/>
  <c r="I373" i="4" a="1"/>
  <c r="I373" i="4"/>
  <c r="I374" i="4" a="1"/>
  <c r="I374" i="4" s="1"/>
  <c r="J374" i="4" s="1"/>
  <c r="I375" i="4" a="1"/>
  <c r="I375" i="4"/>
  <c r="J375" i="4" s="1"/>
  <c r="I376" i="4" a="1"/>
  <c r="I376" i="4" s="1"/>
  <c r="I377" i="4" a="1"/>
  <c r="I377" i="4" s="1"/>
  <c r="J377" i="4" s="1"/>
  <c r="I378" i="4" a="1"/>
  <c r="I378" i="4"/>
  <c r="I379" i="4" a="1"/>
  <c r="I379" i="4" s="1"/>
  <c r="I380" i="4" a="1"/>
  <c r="I380" i="4" s="1"/>
  <c r="I381" i="4" a="1"/>
  <c r="I381" i="4" s="1"/>
  <c r="J381" i="4" s="1"/>
  <c r="I382" i="4" a="1"/>
  <c r="I382" i="4" s="1"/>
  <c r="J382" i="4" s="1"/>
  <c r="I383" i="4" a="1"/>
  <c r="I383" i="4" s="1"/>
  <c r="I384" i="4" a="1"/>
  <c r="I384" i="4" s="1"/>
  <c r="I385" i="4" a="1"/>
  <c r="I385" i="4"/>
  <c r="I386" i="4" a="1"/>
  <c r="I386" i="4" s="1"/>
  <c r="I387" i="4" a="1"/>
  <c r="I387" i="4" s="1"/>
  <c r="I388" i="4" a="1"/>
  <c r="I388" i="4" s="1"/>
  <c r="I389" i="4" a="1"/>
  <c r="I389" i="4" s="1"/>
  <c r="J389" i="4" s="1"/>
  <c r="I390" i="4" a="1"/>
  <c r="I390" i="4" s="1"/>
  <c r="J390" i="4" s="1"/>
  <c r="I391" i="4" a="1"/>
  <c r="I391" i="4" s="1"/>
  <c r="J391" i="4" s="1"/>
  <c r="I392" i="4" a="1"/>
  <c r="I392" i="4" s="1"/>
  <c r="I393" i="4" a="1"/>
  <c r="I393" i="4" s="1"/>
  <c r="J393" i="4" s="1"/>
  <c r="I394" i="4" a="1"/>
  <c r="I394" i="4" s="1"/>
  <c r="I395" i="4" a="1"/>
  <c r="I395" i="4" s="1"/>
  <c r="I396" i="4" a="1"/>
  <c r="I396" i="4" s="1"/>
  <c r="I397" i="4" a="1"/>
  <c r="I397" i="4" s="1"/>
  <c r="J397" i="4" s="1"/>
  <c r="I398" i="4" a="1"/>
  <c r="I398" i="4" s="1"/>
  <c r="J398" i="4" s="1"/>
  <c r="I399" i="4" a="1"/>
  <c r="I399" i="4" s="1"/>
  <c r="I400" i="4" a="1"/>
  <c r="I400" i="4" s="1"/>
  <c r="I401" i="4" a="1"/>
  <c r="I401" i="4" s="1"/>
  <c r="I402" i="4" a="1"/>
  <c r="I402" i="4" s="1"/>
  <c r="I403" i="4" a="1"/>
  <c r="I403" i="4" s="1"/>
  <c r="I404" i="4" a="1"/>
  <c r="I404" i="4" s="1"/>
  <c r="I405" i="4" a="1"/>
  <c r="I405" i="4" s="1"/>
  <c r="I406" i="4" a="1"/>
  <c r="I406" i="4" s="1"/>
  <c r="J406" i="4" s="1"/>
  <c r="I407" i="4" a="1"/>
  <c r="I407" i="4" s="1"/>
  <c r="I408" i="4" a="1"/>
  <c r="I408" i="4" s="1"/>
  <c r="I409" i="4" a="1"/>
  <c r="I409" i="4" s="1"/>
  <c r="J409" i="4" s="1"/>
  <c r="I410" i="4" a="1"/>
  <c r="I410" i="4"/>
  <c r="I411" i="4" a="1"/>
  <c r="I411" i="4" s="1"/>
  <c r="I412" i="4" a="1"/>
  <c r="I412" i="4" s="1"/>
  <c r="I413" i="4" a="1"/>
  <c r="I413" i="4"/>
  <c r="J413" i="4" s="1"/>
  <c r="I414" i="4" a="1"/>
  <c r="I414" i="4" s="1"/>
  <c r="J414" i="4" s="1"/>
  <c r="I415" i="4" a="1"/>
  <c r="I415" i="4" s="1"/>
  <c r="I416" i="4" a="1"/>
  <c r="I416" i="4" s="1"/>
  <c r="I417" i="4" a="1"/>
  <c r="I417" i="4" s="1"/>
  <c r="I418" i="4" a="1"/>
  <c r="I418" i="4"/>
  <c r="I419" i="4" a="1"/>
  <c r="I419" i="4" s="1"/>
  <c r="I420" i="4" a="1"/>
  <c r="I420" i="4" s="1"/>
  <c r="I421" i="4" a="1"/>
  <c r="I421" i="4" s="1"/>
  <c r="I422" i="4" a="1"/>
  <c r="I422" i="4" s="1"/>
  <c r="J422" i="4" s="1"/>
  <c r="I423" i="4" a="1"/>
  <c r="I423" i="4" s="1"/>
  <c r="I424" i="4" a="1"/>
  <c r="I424" i="4" s="1"/>
  <c r="I425" i="4" a="1"/>
  <c r="I425" i="4" s="1"/>
  <c r="I426" i="4" a="1"/>
  <c r="I426" i="4" s="1"/>
  <c r="I427" i="4" a="1"/>
  <c r="I427" i="4" s="1"/>
  <c r="I428" i="4" a="1"/>
  <c r="I428" i="4" s="1"/>
  <c r="I429" i="4" a="1"/>
  <c r="I429" i="4" s="1"/>
  <c r="J429" i="4" s="1"/>
  <c r="I430" i="4" a="1"/>
  <c r="I430" i="4"/>
  <c r="I431" i="4" a="1"/>
  <c r="I431" i="4" s="1"/>
  <c r="I432" i="4" a="1"/>
  <c r="I432" i="4" s="1"/>
  <c r="I433" i="4" a="1"/>
  <c r="I433" i="4"/>
  <c r="I434" i="4" a="1"/>
  <c r="I434" i="4" s="1"/>
  <c r="J434" i="4" s="1"/>
  <c r="I435" i="4" a="1"/>
  <c r="I435" i="4" s="1"/>
  <c r="I436" i="4" a="1"/>
  <c r="I436" i="4" s="1"/>
  <c r="J436" i="4" s="1"/>
  <c r="I437" i="4" a="1"/>
  <c r="I437" i="4" s="1"/>
  <c r="I438" i="4" a="1"/>
  <c r="I438" i="4" s="1"/>
  <c r="I439" i="4" a="1"/>
  <c r="I439" i="4" s="1"/>
  <c r="I440" i="4" a="1"/>
  <c r="I440" i="4" s="1"/>
  <c r="I441" i="4" a="1"/>
  <c r="I441" i="4" s="1"/>
  <c r="I442" i="4" a="1"/>
  <c r="I442" i="4" s="1"/>
  <c r="I443" i="4" a="1"/>
  <c r="I443" i="4" s="1"/>
  <c r="J443" i="4" s="1"/>
  <c r="I444" i="4" a="1"/>
  <c r="I444" i="4" s="1"/>
  <c r="I445" i="4" a="1"/>
  <c r="I445" i="4" s="1"/>
  <c r="I446" i="4" a="1"/>
  <c r="I446" i="4" s="1"/>
  <c r="I447" i="4" a="1"/>
  <c r="I447" i="4" s="1"/>
  <c r="I448" i="4" a="1"/>
  <c r="I448" i="4" s="1"/>
  <c r="I449" i="4" a="1"/>
  <c r="I449" i="4" s="1"/>
  <c r="I450" i="4" a="1"/>
  <c r="I450" i="4" s="1"/>
  <c r="J450" i="4" s="1"/>
  <c r="I451" i="4" a="1"/>
  <c r="I451" i="4" s="1"/>
  <c r="I452" i="4" a="1"/>
  <c r="I452" i="4" s="1"/>
  <c r="I453" i="4" a="1"/>
  <c r="I453" i="4" s="1"/>
  <c r="I454" i="4" a="1"/>
  <c r="I454" i="4" s="1"/>
  <c r="I455" i="4" a="1"/>
  <c r="I455" i="4" s="1"/>
  <c r="I456" i="4" a="1"/>
  <c r="I456" i="4" s="1"/>
  <c r="I457" i="4" a="1"/>
  <c r="I457" i="4" s="1"/>
  <c r="I458" i="4" a="1"/>
  <c r="I458" i="4" s="1"/>
  <c r="I459" i="4" a="1"/>
  <c r="I459" i="4" s="1"/>
  <c r="I460" i="4" a="1"/>
  <c r="I460" i="4" s="1"/>
  <c r="I461" i="4" a="1"/>
  <c r="I461" i="4" s="1"/>
  <c r="J461" i="4" s="1"/>
  <c r="I462" i="4" a="1"/>
  <c r="I462" i="4" s="1"/>
  <c r="I463" i="4" a="1"/>
  <c r="I463" i="4" s="1"/>
  <c r="I464" i="4" a="1"/>
  <c r="I464" i="4" s="1"/>
  <c r="J464" i="4" s="1"/>
  <c r="I465" i="4" a="1"/>
  <c r="I465" i="4" s="1"/>
  <c r="J465" i="4" s="1"/>
  <c r="I466" i="4" a="1"/>
  <c r="I466" i="4" s="1"/>
  <c r="J466" i="4" s="1"/>
  <c r="I467" i="4" a="1"/>
  <c r="I467" i="4" s="1"/>
  <c r="I468" i="4" a="1"/>
  <c r="I468" i="4" s="1"/>
  <c r="I469" i="4" a="1"/>
  <c r="I469" i="4" s="1"/>
  <c r="I470" i="4" a="1"/>
  <c r="I470" i="4" s="1"/>
  <c r="I471" i="4" a="1"/>
  <c r="I471" i="4" s="1"/>
  <c r="J471" i="4" s="1"/>
  <c r="I472" i="4" a="1"/>
  <c r="I472" i="4" s="1"/>
  <c r="J472" i="4" s="1"/>
  <c r="I473" i="4" a="1"/>
  <c r="I473" i="4" s="1"/>
  <c r="I474" i="4" a="1"/>
  <c r="I474" i="4" s="1"/>
  <c r="I475" i="4" a="1"/>
  <c r="I475" i="4" s="1"/>
  <c r="I476" i="4" a="1"/>
  <c r="I476" i="4" s="1"/>
  <c r="I477" i="4" a="1"/>
  <c r="I477" i="4"/>
  <c r="I478" i="4" a="1"/>
  <c r="I478" i="4" s="1"/>
  <c r="I479" i="4" a="1"/>
  <c r="I479" i="4" s="1"/>
  <c r="I480" i="4" a="1"/>
  <c r="I480" i="4" s="1"/>
  <c r="I481" i="4" a="1"/>
  <c r="I481" i="4" s="1"/>
  <c r="I482" i="4" a="1"/>
  <c r="I482" i="4" s="1"/>
  <c r="J482" i="4" s="1"/>
  <c r="I483" i="4" a="1"/>
  <c r="I483" i="4" s="1"/>
  <c r="I484" i="4" a="1"/>
  <c r="I484" i="4" s="1"/>
  <c r="I485" i="4" a="1"/>
  <c r="I485" i="4" s="1"/>
  <c r="J485" i="4" s="1"/>
  <c r="I486" i="4" a="1"/>
  <c r="I486" i="4" s="1"/>
  <c r="J486" i="4" s="1"/>
  <c r="I487" i="4" a="1"/>
  <c r="I487" i="4" s="1"/>
  <c r="I488" i="4" a="1"/>
  <c r="I488" i="4" s="1"/>
  <c r="I489" i="4" a="1"/>
  <c r="I489" i="4" s="1"/>
  <c r="I490" i="4" a="1"/>
  <c r="I490" i="4" s="1"/>
  <c r="I491" i="4" a="1"/>
  <c r="I491" i="4" s="1"/>
  <c r="I492" i="4" a="1"/>
  <c r="I492" i="4" s="1"/>
  <c r="I493" i="4" a="1"/>
  <c r="I493" i="4" s="1"/>
  <c r="J493" i="4" s="1"/>
  <c r="I494" i="4" a="1"/>
  <c r="I494" i="4" s="1"/>
  <c r="I495" i="4" a="1"/>
  <c r="I495" i="4" s="1"/>
  <c r="I496" i="4" a="1"/>
  <c r="I496" i="4" s="1"/>
  <c r="I497" i="4" a="1"/>
  <c r="I497" i="4" s="1"/>
  <c r="I498" i="4" a="1"/>
  <c r="I498" i="4"/>
  <c r="I499" i="4" a="1"/>
  <c r="I499" i="4" s="1"/>
  <c r="J499" i="4" s="1"/>
  <c r="I500" i="4" a="1"/>
  <c r="I500" i="4" s="1"/>
  <c r="I501" i="4" a="1"/>
  <c r="I501" i="4" s="1"/>
  <c r="I502" i="4" a="1"/>
  <c r="I502" i="4" s="1"/>
  <c r="I503" i="4" a="1"/>
  <c r="I503" i="4" s="1"/>
  <c r="I504" i="4" a="1"/>
  <c r="I504" i="4" s="1"/>
  <c r="I505" i="4" a="1"/>
  <c r="I505" i="4" s="1"/>
  <c r="I506" i="4" a="1"/>
  <c r="I506" i="4" s="1"/>
  <c r="I507" i="4" a="1"/>
  <c r="I507" i="4" s="1"/>
  <c r="J507" i="4" s="1"/>
  <c r="I508" i="4" a="1"/>
  <c r="I508" i="4" s="1"/>
  <c r="I509" i="4" a="1"/>
  <c r="I509" i="4" s="1"/>
  <c r="J509" i="4" s="1"/>
  <c r="I510" i="4" a="1"/>
  <c r="I510" i="4" s="1"/>
  <c r="I511" i="4" a="1"/>
  <c r="I511" i="4" s="1"/>
  <c r="I512" i="4" a="1"/>
  <c r="I512" i="4" s="1"/>
  <c r="I513" i="4" a="1"/>
  <c r="I513" i="4" s="1"/>
  <c r="I514" i="4" a="1"/>
  <c r="I514" i="4" s="1"/>
  <c r="J514" i="4" s="1"/>
  <c r="I515" i="4" a="1"/>
  <c r="I515" i="4" s="1"/>
  <c r="I516" i="4" a="1"/>
  <c r="I516" i="4" s="1"/>
  <c r="I517" i="4" a="1"/>
  <c r="I517" i="4" s="1"/>
  <c r="I518" i="4" a="1"/>
  <c r="I518" i="4" s="1"/>
  <c r="I519" i="4" a="1"/>
  <c r="I519" i="4" s="1"/>
  <c r="I520" i="4" a="1"/>
  <c r="I520" i="4" s="1"/>
  <c r="I521" i="4" a="1"/>
  <c r="I521" i="4" s="1"/>
  <c r="I522" i="4" a="1"/>
  <c r="I522" i="4" s="1"/>
  <c r="J522" i="4" s="1"/>
  <c r="I523" i="4" a="1"/>
  <c r="I523" i="4" s="1"/>
  <c r="I524" i="4" a="1"/>
  <c r="I524" i="4" s="1"/>
  <c r="I525" i="4" a="1"/>
  <c r="I525" i="4" s="1"/>
  <c r="J525" i="4" s="1"/>
  <c r="I526" i="4" a="1"/>
  <c r="I526" i="4" s="1"/>
  <c r="I527" i="4" a="1"/>
  <c r="I527" i="4" s="1"/>
  <c r="I528" i="4" a="1"/>
  <c r="I528" i="4" s="1"/>
  <c r="I529" i="4" a="1"/>
  <c r="I529" i="4" s="1"/>
  <c r="J529" i="4" s="1"/>
  <c r="I530" i="4" a="1"/>
  <c r="I530" i="4" s="1"/>
  <c r="J530" i="4" s="1"/>
  <c r="I531" i="4" a="1"/>
  <c r="I531" i="4" s="1"/>
  <c r="I532" i="4" a="1"/>
  <c r="I532" i="4" s="1"/>
  <c r="I533" i="4" a="1"/>
  <c r="I533" i="4" s="1"/>
  <c r="I534" i="4" a="1"/>
  <c r="I534" i="4" s="1"/>
  <c r="I535" i="4" a="1"/>
  <c r="I535" i="4" s="1"/>
  <c r="I536" i="4" a="1"/>
  <c r="I536" i="4" s="1"/>
  <c r="I537" i="4" a="1"/>
  <c r="I537" i="4" s="1"/>
  <c r="I538" i="4" a="1"/>
  <c r="I538" i="4" s="1"/>
  <c r="I539" i="4" a="1"/>
  <c r="I539" i="4" s="1"/>
  <c r="I540" i="4" a="1"/>
  <c r="I540" i="4" s="1"/>
  <c r="I541" i="4" a="1"/>
  <c r="I541" i="4" s="1"/>
  <c r="J541" i="4" s="1"/>
  <c r="I542" i="4" a="1"/>
  <c r="I542" i="4" s="1"/>
  <c r="I543" i="4" a="1"/>
  <c r="I543" i="4" s="1"/>
  <c r="I544" i="4" a="1"/>
  <c r="I544" i="4" s="1"/>
  <c r="I545" i="4" a="1"/>
  <c r="I545" i="4" s="1"/>
  <c r="I546" i="4" a="1"/>
  <c r="I546" i="4" s="1"/>
  <c r="J546" i="4" s="1"/>
  <c r="I547" i="4" a="1"/>
  <c r="I547" i="4" s="1"/>
  <c r="I548" i="4" a="1"/>
  <c r="I548" i="4" s="1"/>
  <c r="I549" i="4" a="1"/>
  <c r="I549" i="4" s="1"/>
  <c r="J549" i="4" s="1"/>
  <c r="I550" i="4" a="1"/>
  <c r="I550" i="4" s="1"/>
  <c r="J550" i="4" s="1"/>
  <c r="I551" i="4" a="1"/>
  <c r="I551" i="4" s="1"/>
  <c r="I552" i="4" a="1"/>
  <c r="I552" i="4" s="1"/>
  <c r="I553" i="4" a="1"/>
  <c r="I553" i="4" s="1"/>
  <c r="I554" i="4" a="1"/>
  <c r="I554" i="4" s="1"/>
  <c r="I555" i="4" a="1"/>
  <c r="I555" i="4" s="1"/>
  <c r="I556" i="4" a="1"/>
  <c r="I556" i="4" s="1"/>
  <c r="I557" i="4" a="1"/>
  <c r="I557" i="4" s="1"/>
  <c r="J557" i="4" s="1"/>
  <c r="I558" i="4" a="1"/>
  <c r="I558" i="4" s="1"/>
  <c r="I559" i="4" a="1"/>
  <c r="I559" i="4" s="1"/>
  <c r="I560" i="4" a="1"/>
  <c r="I560" i="4" s="1"/>
  <c r="I561" i="4" a="1"/>
  <c r="I561" i="4" s="1"/>
  <c r="I562" i="4" a="1"/>
  <c r="I562" i="4" s="1"/>
  <c r="J562" i="4" s="1"/>
  <c r="I563" i="4" a="1"/>
  <c r="I563" i="4" s="1"/>
  <c r="J563" i="4" s="1"/>
  <c r="I564" i="4" a="1"/>
  <c r="I564" i="4" s="1"/>
  <c r="I565" i="4" a="1"/>
  <c r="I565" i="4" s="1"/>
  <c r="I566" i="4" a="1"/>
  <c r="I566" i="4" s="1"/>
  <c r="I567" i="4" a="1"/>
  <c r="I567" i="4" s="1"/>
  <c r="I568" i="4" a="1"/>
  <c r="I568" i="4" s="1"/>
  <c r="I569" i="4" a="1"/>
  <c r="I569" i="4" s="1"/>
  <c r="I570" i="4" a="1"/>
  <c r="I570" i="4" s="1"/>
  <c r="I571" i="4" a="1"/>
  <c r="I571" i="4" s="1"/>
  <c r="I572" i="4" a="1"/>
  <c r="I572" i="4" s="1"/>
  <c r="I573" i="4" a="1"/>
  <c r="I573" i="4" s="1"/>
  <c r="I574" i="4" a="1"/>
  <c r="I574" i="4" s="1"/>
  <c r="I575" i="4" a="1"/>
  <c r="I575" i="4" s="1"/>
  <c r="I576" i="4" a="1"/>
  <c r="I576" i="4" s="1"/>
  <c r="I577" i="4" a="1"/>
  <c r="I577" i="4" s="1"/>
  <c r="I578" i="4" a="1"/>
  <c r="I578" i="4"/>
  <c r="J578" i="4" s="1"/>
  <c r="I579" i="4" a="1"/>
  <c r="I579" i="4" s="1"/>
  <c r="I580" i="4" a="1"/>
  <c r="I580" i="4" s="1"/>
  <c r="I581" i="4" a="1"/>
  <c r="I581" i="4" s="1"/>
  <c r="I582" i="4" a="1"/>
  <c r="I582" i="4" s="1"/>
  <c r="I583" i="4" a="1"/>
  <c r="I583" i="4" s="1"/>
  <c r="I584" i="4" a="1"/>
  <c r="I584" i="4" s="1"/>
  <c r="I585" i="4" a="1"/>
  <c r="I585" i="4" s="1"/>
  <c r="I586" i="4" a="1"/>
  <c r="I586" i="4" s="1"/>
  <c r="J586" i="4" s="1"/>
  <c r="I587" i="4" a="1"/>
  <c r="I587" i="4" s="1"/>
  <c r="I588" i="4" a="1"/>
  <c r="I588" i="4" s="1"/>
  <c r="I589" i="4" a="1"/>
  <c r="I589" i="4"/>
  <c r="I590" i="4" a="1"/>
  <c r="I590" i="4" s="1"/>
  <c r="I591" i="4" a="1"/>
  <c r="I591" i="4" s="1"/>
  <c r="I592" i="4" a="1"/>
  <c r="I592" i="4" s="1"/>
  <c r="I593" i="4" a="1"/>
  <c r="I593" i="4" s="1"/>
  <c r="I594" i="4" a="1"/>
  <c r="I594" i="4" s="1"/>
  <c r="I595" i="4" a="1"/>
  <c r="I595" i="4" s="1"/>
  <c r="I596" i="4" a="1"/>
  <c r="I596" i="4" s="1"/>
  <c r="I597" i="4" a="1"/>
  <c r="I597" i="4" s="1"/>
  <c r="I598" i="4" a="1"/>
  <c r="I598" i="4" s="1"/>
  <c r="I599" i="4" a="1"/>
  <c r="I599" i="4" s="1"/>
  <c r="I600" i="4" a="1"/>
  <c r="I600" i="4" s="1"/>
  <c r="I601" i="4" a="1"/>
  <c r="I601" i="4" s="1"/>
  <c r="I602" i="4" a="1"/>
  <c r="I602" i="4" s="1"/>
  <c r="I603" i="4" a="1"/>
  <c r="I603" i="4" s="1"/>
  <c r="I604" i="4" a="1"/>
  <c r="I604" i="4" s="1"/>
  <c r="I605" i="4" a="1"/>
  <c r="I605" i="4" s="1"/>
  <c r="J605" i="4" s="1"/>
  <c r="I606" i="4" a="1"/>
  <c r="I606" i="4" s="1"/>
  <c r="I607" i="4" a="1"/>
  <c r="I607" i="4" s="1"/>
  <c r="I608" i="4" a="1"/>
  <c r="I608" i="4" s="1"/>
  <c r="I609" i="4" a="1"/>
  <c r="I609" i="4" s="1"/>
  <c r="I610" i="4" a="1"/>
  <c r="I610" i="4" s="1"/>
  <c r="I611" i="4" a="1"/>
  <c r="I611" i="4" s="1"/>
  <c r="I612" i="4" a="1"/>
  <c r="I612" i="4" s="1"/>
  <c r="I613" i="4" a="1"/>
  <c r="I613" i="4" s="1"/>
  <c r="I614" i="4" a="1"/>
  <c r="I614" i="4" s="1"/>
  <c r="I615" i="4" a="1"/>
  <c r="I615" i="4" s="1"/>
  <c r="I616" i="4" a="1"/>
  <c r="I616" i="4" s="1"/>
  <c r="J616" i="4" s="1"/>
  <c r="I617" i="4" a="1"/>
  <c r="I617" i="4" s="1"/>
  <c r="I618" i="4" a="1"/>
  <c r="I618" i="4" s="1"/>
  <c r="I619" i="4" a="1"/>
  <c r="I619" i="4" s="1"/>
  <c r="I620" i="4" a="1"/>
  <c r="I620" i="4" s="1"/>
  <c r="I621" i="4" a="1"/>
  <c r="I621" i="4" s="1"/>
  <c r="J621" i="4" s="1"/>
  <c r="I622" i="4" a="1"/>
  <c r="I622" i="4" s="1"/>
  <c r="I623" i="4" a="1"/>
  <c r="I623" i="4" s="1"/>
  <c r="I624" i="4" a="1"/>
  <c r="I624" i="4" s="1"/>
  <c r="I625" i="4" a="1"/>
  <c r="I625" i="4" s="1"/>
  <c r="I626" i="4" a="1"/>
  <c r="I626" i="4" s="1"/>
  <c r="I627" i="4" a="1"/>
  <c r="I627" i="4" s="1"/>
  <c r="I628" i="4" a="1"/>
  <c r="I628" i="4" s="1"/>
  <c r="I629" i="4" a="1"/>
  <c r="I629" i="4" s="1"/>
  <c r="I630" i="4" a="1"/>
  <c r="I630" i="4" s="1"/>
  <c r="I631" i="4" a="1"/>
  <c r="I631" i="4" s="1"/>
  <c r="J631" i="4" s="1"/>
  <c r="I632" i="4" a="1"/>
  <c r="I632" i="4" s="1"/>
  <c r="I633" i="4" a="1"/>
  <c r="I633" i="4" s="1"/>
  <c r="I634" i="4" a="1"/>
  <c r="I634" i="4" s="1"/>
  <c r="I635" i="4" a="1"/>
  <c r="I635" i="4" s="1"/>
  <c r="I636" i="4" a="1"/>
  <c r="I636" i="4" s="1"/>
  <c r="I637" i="4" a="1"/>
  <c r="I637" i="4" s="1"/>
  <c r="I638" i="4" a="1"/>
  <c r="I638" i="4" s="1"/>
  <c r="I639" i="4" a="1"/>
  <c r="I639" i="4" s="1"/>
  <c r="I640" i="4" a="1"/>
  <c r="I640" i="4" s="1"/>
  <c r="I641" i="4" a="1"/>
  <c r="I641" i="4" s="1"/>
  <c r="I642" i="4" a="1"/>
  <c r="I642" i="4"/>
  <c r="I643" i="4" a="1"/>
  <c r="I643" i="4" s="1"/>
  <c r="I644" i="4" a="1"/>
  <c r="I644" i="4" s="1"/>
  <c r="I645" i="4" a="1"/>
  <c r="I645" i="4" s="1"/>
  <c r="I646" i="4" a="1"/>
  <c r="I646" i="4" s="1"/>
  <c r="J646" i="4" s="1"/>
  <c r="I647" i="4" a="1"/>
  <c r="I647" i="4" s="1"/>
  <c r="I648" i="4" a="1"/>
  <c r="I648" i="4" s="1"/>
  <c r="I649" i="4" a="1"/>
  <c r="I649" i="4" s="1"/>
  <c r="I650" i="4" a="1"/>
  <c r="I650" i="4" s="1"/>
  <c r="I651" i="4" a="1"/>
  <c r="I651" i="4" s="1"/>
  <c r="I652" i="4" a="1"/>
  <c r="I652" i="4" s="1"/>
  <c r="I653" i="4" a="1"/>
  <c r="I653" i="4" s="1"/>
  <c r="I654" i="4" a="1"/>
  <c r="I654" i="4" s="1"/>
  <c r="I655" i="4" a="1"/>
  <c r="I655" i="4" s="1"/>
  <c r="I656" i="4" a="1"/>
  <c r="I656" i="4" s="1"/>
  <c r="I657" i="4" a="1"/>
  <c r="I657" i="4" s="1"/>
  <c r="I658" i="4" a="1"/>
  <c r="I658" i="4" s="1"/>
  <c r="I659" i="4" a="1"/>
  <c r="I659" i="4" s="1"/>
  <c r="I660" i="4" a="1"/>
  <c r="I660" i="4" s="1"/>
  <c r="I661" i="4" a="1"/>
  <c r="I661" i="4" s="1"/>
  <c r="I662" i="4" a="1"/>
  <c r="I662" i="4" s="1"/>
  <c r="J662" i="4" s="1"/>
  <c r="I663" i="4" a="1"/>
  <c r="I663" i="4" s="1"/>
  <c r="I664" i="4" a="1"/>
  <c r="I664" i="4" s="1"/>
  <c r="I665" i="4" a="1"/>
  <c r="I665" i="4" s="1"/>
  <c r="I666" i="4" a="1"/>
  <c r="I666" i="4" s="1"/>
  <c r="I667" i="4" a="1"/>
  <c r="I667" i="4" s="1"/>
  <c r="I668" i="4" a="1"/>
  <c r="I668" i="4" s="1"/>
  <c r="I669" i="4" a="1"/>
  <c r="I669" i="4" s="1"/>
  <c r="J669" i="4" s="1"/>
  <c r="I670" i="4" a="1"/>
  <c r="I670" i="4" s="1"/>
  <c r="J670" i="4" s="1"/>
  <c r="I671" i="4" a="1"/>
  <c r="I671" i="4" s="1"/>
  <c r="I672" i="4" a="1"/>
  <c r="I672" i="4" s="1"/>
  <c r="I673" i="4" a="1"/>
  <c r="I673" i="4" s="1"/>
  <c r="J673" i="4" s="1"/>
  <c r="I674" i="4" a="1"/>
  <c r="I674" i="4" s="1"/>
  <c r="I675" i="4" a="1"/>
  <c r="I675" i="4" s="1"/>
  <c r="I676" i="4" a="1"/>
  <c r="I676" i="4" s="1"/>
  <c r="I677" i="4" a="1"/>
  <c r="I677" i="4" s="1"/>
  <c r="I678" i="4" a="1"/>
  <c r="I678" i="4" s="1"/>
  <c r="I679" i="4" a="1"/>
  <c r="I679" i="4" s="1"/>
  <c r="I680" i="4" a="1"/>
  <c r="I680" i="4" s="1"/>
  <c r="I681" i="4" a="1"/>
  <c r="I681" i="4"/>
  <c r="J681" i="4" s="1"/>
  <c r="I682" i="4" a="1"/>
  <c r="I682" i="4" s="1"/>
  <c r="J682" i="4" s="1"/>
  <c r="I683" i="4" a="1"/>
  <c r="I683" i="4" s="1"/>
  <c r="I684" i="4" a="1"/>
  <c r="I684" i="4" s="1"/>
  <c r="I685" i="4" a="1"/>
  <c r="I685" i="4" s="1"/>
  <c r="I686" i="4" a="1"/>
  <c r="I686" i="4" s="1"/>
  <c r="I687" i="4" a="1"/>
  <c r="I687" i="4" s="1"/>
  <c r="I688" i="4" a="1"/>
  <c r="I688" i="4" s="1"/>
  <c r="I689" i="4" a="1"/>
  <c r="I689" i="4" s="1"/>
  <c r="J689" i="4" s="1"/>
  <c r="I690" i="4" a="1"/>
  <c r="I690" i="4" s="1"/>
  <c r="I691" i="4" a="1"/>
  <c r="I691" i="4" s="1"/>
  <c r="I692" i="4" a="1"/>
  <c r="I692" i="4" s="1"/>
  <c r="I693" i="4" a="1"/>
  <c r="I693" i="4" s="1"/>
  <c r="I694" i="4" a="1"/>
  <c r="I694" i="4" s="1"/>
  <c r="I695" i="4" a="1"/>
  <c r="I695" i="4" s="1"/>
  <c r="I696" i="4" a="1"/>
  <c r="I696" i="4" s="1"/>
  <c r="I697" i="4" a="1"/>
  <c r="I697" i="4" s="1"/>
  <c r="J697" i="4" s="1"/>
  <c r="I698" i="4" a="1"/>
  <c r="I698" i="4" s="1"/>
  <c r="I699" i="4" a="1"/>
  <c r="I699" i="4" s="1"/>
  <c r="I700" i="4" a="1"/>
  <c r="I700" i="4" s="1"/>
  <c r="I701" i="4" a="1"/>
  <c r="I701" i="4" s="1"/>
  <c r="I702" i="4" a="1"/>
  <c r="I702" i="4" s="1"/>
  <c r="I703" i="4" a="1"/>
  <c r="I703" i="4" s="1"/>
  <c r="J703" i="4" s="1"/>
  <c r="I704" i="4" a="1"/>
  <c r="I704" i="4" s="1"/>
  <c r="I705" i="4" a="1"/>
  <c r="I705" i="4" s="1"/>
  <c r="I706" i="4" a="1"/>
  <c r="I706" i="4" s="1"/>
  <c r="I707" i="4" a="1"/>
  <c r="I707" i="4" s="1"/>
  <c r="I708" i="4" a="1"/>
  <c r="I708" i="4" s="1"/>
  <c r="I709" i="4" a="1"/>
  <c r="I709" i="4" s="1"/>
  <c r="I710" i="4" a="1"/>
  <c r="I710" i="4" s="1"/>
  <c r="I711" i="4" a="1"/>
  <c r="I711" i="4" s="1"/>
  <c r="J711" i="4" s="1"/>
  <c r="I712" i="4" a="1"/>
  <c r="I712" i="4" s="1"/>
  <c r="I713" i="4" a="1"/>
  <c r="I713" i="4" s="1"/>
  <c r="J713" i="4" s="1"/>
  <c r="I714" i="4" a="1"/>
  <c r="I714" i="4" s="1"/>
  <c r="I715" i="4" a="1"/>
  <c r="I715" i="4" s="1"/>
  <c r="I716" i="4" a="1"/>
  <c r="I716" i="4" s="1"/>
  <c r="I717" i="4" a="1"/>
  <c r="I717" i="4" s="1"/>
  <c r="I718" i="4" a="1"/>
  <c r="I718" i="4" s="1"/>
  <c r="J718" i="4" s="1"/>
  <c r="I719" i="4" a="1"/>
  <c r="I719" i="4" s="1"/>
  <c r="I720" i="4" a="1"/>
  <c r="I720" i="4" s="1"/>
  <c r="I721" i="4" a="1"/>
  <c r="I721" i="4" s="1"/>
  <c r="I722" i="4" a="1"/>
  <c r="I722" i="4" s="1"/>
  <c r="I723" i="4" a="1"/>
  <c r="I723" i="4" s="1"/>
  <c r="I724" i="4" a="1"/>
  <c r="I724" i="4" s="1"/>
  <c r="I725" i="4" a="1"/>
  <c r="I725" i="4" s="1"/>
  <c r="I726" i="4" a="1"/>
  <c r="I726" i="4" s="1"/>
  <c r="J726" i="4" s="1"/>
  <c r="I727" i="4" a="1"/>
  <c r="I727" i="4" s="1"/>
  <c r="I728" i="4" a="1"/>
  <c r="I728" i="4" s="1"/>
  <c r="I729" i="4" a="1"/>
  <c r="I729" i="4"/>
  <c r="I730" i="4" a="1"/>
  <c r="I730" i="4" s="1"/>
  <c r="I731" i="4" a="1"/>
  <c r="I731" i="4" s="1"/>
  <c r="I732" i="4" a="1"/>
  <c r="I732" i="4" s="1"/>
  <c r="I733" i="4" a="1"/>
  <c r="I733" i="4" s="1"/>
  <c r="I734" i="4" a="1"/>
  <c r="I734" i="4" s="1"/>
  <c r="I735" i="4" a="1"/>
  <c r="I735" i="4" s="1"/>
  <c r="I736" i="4" a="1"/>
  <c r="I736" i="4" s="1"/>
  <c r="I737" i="4" a="1"/>
  <c r="I737" i="4" s="1"/>
  <c r="J737" i="4" s="1"/>
  <c r="I738" i="4" a="1"/>
  <c r="I738" i="4" s="1"/>
  <c r="I739" i="4" a="1"/>
  <c r="I739" i="4" s="1"/>
  <c r="I740" i="4" a="1"/>
  <c r="I740" i="4" s="1"/>
  <c r="I741" i="4" a="1"/>
  <c r="I741" i="4" s="1"/>
  <c r="I742" i="4" a="1"/>
  <c r="I742" i="4" s="1"/>
  <c r="I743" i="4" a="1"/>
  <c r="I743" i="4" s="1"/>
  <c r="I744" i="4" a="1"/>
  <c r="I744" i="4" s="1"/>
  <c r="I745" i="4" a="1"/>
  <c r="I745" i="4"/>
  <c r="I746" i="4" a="1"/>
  <c r="I746" i="4" s="1"/>
  <c r="J746" i="4" s="1"/>
  <c r="I747" i="4" a="1"/>
  <c r="I747" i="4" s="1"/>
  <c r="I748" i="4" a="1"/>
  <c r="I748" i="4" s="1"/>
  <c r="I749" i="4" a="1"/>
  <c r="I749" i="4" s="1"/>
  <c r="I750" i="4" a="1"/>
  <c r="I750" i="4" s="1"/>
  <c r="I751" i="4" a="1"/>
  <c r="I751" i="4" s="1"/>
  <c r="I752" i="4" a="1"/>
  <c r="I752" i="4" s="1"/>
  <c r="I753" i="4" a="1"/>
  <c r="I753" i="4" s="1"/>
  <c r="J753" i="4" s="1"/>
  <c r="I754" i="4" a="1"/>
  <c r="I754" i="4" s="1"/>
  <c r="I755" i="4" a="1"/>
  <c r="I755" i="4"/>
  <c r="I756" i="4" a="1"/>
  <c r="I756" i="4" s="1"/>
  <c r="I757" i="4" a="1"/>
  <c r="I757" i="4" s="1"/>
  <c r="I758" i="4" a="1"/>
  <c r="I758" i="4" s="1"/>
  <c r="I759" i="4" a="1"/>
  <c r="I759" i="4" s="1"/>
  <c r="I760" i="4" a="1"/>
  <c r="I760" i="4" s="1"/>
  <c r="I761" i="4" a="1"/>
  <c r="I761" i="4" s="1"/>
  <c r="J761" i="4" s="1"/>
  <c r="I762" i="4" a="1"/>
  <c r="I762" i="4" s="1"/>
  <c r="I763" i="4" a="1"/>
  <c r="I763" i="4" s="1"/>
  <c r="I764" i="4" a="1"/>
  <c r="I764" i="4" s="1"/>
  <c r="I765" i="4" a="1"/>
  <c r="I765" i="4" s="1"/>
  <c r="I766" i="4" a="1"/>
  <c r="I766" i="4" s="1"/>
  <c r="J766" i="4" s="1"/>
  <c r="I767" i="4" a="1"/>
  <c r="I767" i="4" s="1"/>
  <c r="I768" i="4" a="1"/>
  <c r="I768" i="4" s="1"/>
  <c r="I769" i="4" a="1"/>
  <c r="I769" i="4" s="1"/>
  <c r="J769" i="4" s="1"/>
  <c r="I770" i="4" a="1"/>
  <c r="I770" i="4" s="1"/>
  <c r="I771" i="4" a="1"/>
  <c r="I771" i="4"/>
  <c r="I772" i="4" a="1"/>
  <c r="I772" i="4" s="1"/>
  <c r="I773" i="4" a="1"/>
  <c r="I773" i="4" s="1"/>
  <c r="I774" i="4" a="1"/>
  <c r="I774" i="4" s="1"/>
  <c r="I775" i="4" a="1"/>
  <c r="I775" i="4" s="1"/>
  <c r="I776" i="4" a="1"/>
  <c r="I776" i="4" s="1"/>
  <c r="I777" i="4" a="1"/>
  <c r="I777" i="4"/>
  <c r="I778" i="4" a="1"/>
  <c r="I778" i="4" s="1"/>
  <c r="J778" i="4" s="1"/>
  <c r="I779" i="4" a="1"/>
  <c r="I779" i="4" s="1"/>
  <c r="I780" i="4" a="1"/>
  <c r="I780" i="4" s="1"/>
  <c r="I781" i="4" a="1"/>
  <c r="I781" i="4" s="1"/>
  <c r="I782" i="4" a="1"/>
  <c r="I782" i="4" s="1"/>
  <c r="I783" i="4" a="1"/>
  <c r="I783" i="4" s="1"/>
  <c r="I784" i="4" a="1"/>
  <c r="I784" i="4" s="1"/>
  <c r="I785" i="4" a="1"/>
  <c r="I785" i="4" s="1"/>
  <c r="J785" i="4" s="1"/>
  <c r="I786" i="4" a="1"/>
  <c r="I786" i="4" s="1"/>
  <c r="I787" i="4" a="1"/>
  <c r="I787" i="4"/>
  <c r="I788" i="4" a="1"/>
  <c r="I788" i="4" s="1"/>
  <c r="I789" i="4" a="1"/>
  <c r="I789" i="4" s="1"/>
  <c r="I790" i="4" a="1"/>
  <c r="I790" i="4" s="1"/>
  <c r="I791" i="4" a="1"/>
  <c r="I791" i="4" s="1"/>
  <c r="I792" i="4" a="1"/>
  <c r="I792" i="4" s="1"/>
  <c r="I793" i="4" a="1"/>
  <c r="I793" i="4" s="1"/>
  <c r="J793" i="4" s="1"/>
  <c r="I794" i="4" a="1"/>
  <c r="I794" i="4" s="1"/>
  <c r="I795" i="4" a="1"/>
  <c r="I795" i="4" s="1"/>
  <c r="I796" i="4" a="1"/>
  <c r="I796" i="4" s="1"/>
  <c r="I797" i="4" a="1"/>
  <c r="I797" i="4" s="1"/>
  <c r="I798" i="4" a="1"/>
  <c r="I798" i="4" s="1"/>
  <c r="J798" i="4" s="1"/>
  <c r="I799" i="4" a="1"/>
  <c r="I799" i="4" s="1"/>
  <c r="I800" i="4" a="1"/>
  <c r="I800" i="4" s="1"/>
  <c r="I801" i="4" a="1"/>
  <c r="I801" i="4" s="1"/>
  <c r="J801" i="4" s="1"/>
  <c r="I802" i="4" a="1"/>
  <c r="I802" i="4" s="1"/>
  <c r="I803" i="4" a="1"/>
  <c r="I803" i="4"/>
  <c r="I804" i="4" a="1"/>
  <c r="I804" i="4" s="1"/>
  <c r="I805" i="4" a="1"/>
  <c r="I805" i="4" s="1"/>
  <c r="I806" i="4" a="1"/>
  <c r="I806" i="4" s="1"/>
  <c r="I807" i="4" a="1"/>
  <c r="I807" i="4" s="1"/>
  <c r="I808" i="4" a="1"/>
  <c r="I808" i="4" s="1"/>
  <c r="I809" i="4" a="1"/>
  <c r="I809" i="4" s="1"/>
  <c r="J809" i="4" s="1"/>
  <c r="I810" i="4" a="1"/>
  <c r="I810" i="4" s="1"/>
  <c r="J810" i="4" s="1"/>
  <c r="I811" i="4" a="1"/>
  <c r="I811" i="4" s="1"/>
  <c r="I812" i="4" a="1"/>
  <c r="I812" i="4" s="1"/>
  <c r="I813" i="4" a="1"/>
  <c r="I813" i="4" s="1"/>
  <c r="I814" i="4" a="1"/>
  <c r="I814" i="4" s="1"/>
  <c r="I815" i="4" a="1"/>
  <c r="I815" i="4" s="1"/>
  <c r="I816" i="4" a="1"/>
  <c r="I816" i="4" s="1"/>
  <c r="I817" i="4" a="1"/>
  <c r="I817" i="4" s="1"/>
  <c r="J817" i="4" s="1"/>
  <c r="I818" i="4" a="1"/>
  <c r="I818" i="4" s="1"/>
  <c r="I819" i="4" a="1"/>
  <c r="I819" i="4" s="1"/>
  <c r="I820" i="4" a="1"/>
  <c r="I820" i="4" s="1"/>
  <c r="I821" i="4" a="1"/>
  <c r="I821" i="4" s="1"/>
  <c r="I822" i="4" a="1"/>
  <c r="I822" i="4" s="1"/>
  <c r="I823" i="4" a="1"/>
  <c r="I823" i="4" s="1"/>
  <c r="I824" i="4" a="1"/>
  <c r="I824" i="4" s="1"/>
  <c r="J824" i="4" s="1"/>
  <c r="I825" i="4" a="1"/>
  <c r="I825" i="4" s="1"/>
  <c r="J825" i="4" s="1"/>
  <c r="I826" i="4" a="1"/>
  <c r="I826" i="4" s="1"/>
  <c r="I827" i="4" a="1"/>
  <c r="I827" i="4" s="1"/>
  <c r="I828" i="4" a="1"/>
  <c r="I828" i="4" s="1"/>
  <c r="I829" i="4" a="1"/>
  <c r="I829" i="4" s="1"/>
  <c r="I830" i="4" a="1"/>
  <c r="I830" i="4" s="1"/>
  <c r="I831" i="4" a="1"/>
  <c r="I831" i="4" s="1"/>
  <c r="I832" i="4" a="1"/>
  <c r="I832" i="4" s="1"/>
  <c r="I833" i="4" a="1"/>
  <c r="I833" i="4"/>
  <c r="I834" i="4" a="1"/>
  <c r="I834" i="4" s="1"/>
  <c r="I835" i="4" a="1"/>
  <c r="I835" i="4" s="1"/>
  <c r="I836" i="4" a="1"/>
  <c r="I836" i="4" s="1"/>
  <c r="I837" i="4" a="1"/>
  <c r="I837" i="4" s="1"/>
  <c r="I838" i="4" a="1"/>
  <c r="I838" i="4" s="1"/>
  <c r="I839" i="4" a="1"/>
  <c r="I839" i="4" s="1"/>
  <c r="I840" i="4" a="1"/>
  <c r="I840" i="4" s="1"/>
  <c r="I841" i="4" a="1"/>
  <c r="I841" i="4" s="1"/>
  <c r="J841" i="4" s="1"/>
  <c r="I842" i="4" a="1"/>
  <c r="I842" i="4" s="1"/>
  <c r="I843" i="4" a="1"/>
  <c r="I843" i="4" s="1"/>
  <c r="I844" i="4" a="1"/>
  <c r="I844" i="4" s="1"/>
  <c r="J844" i="4" s="1"/>
  <c r="I845" i="4" a="1"/>
  <c r="I845" i="4" s="1"/>
  <c r="J845" i="4" s="1"/>
  <c r="I846" i="4" a="1"/>
  <c r="I846" i="4" s="1"/>
  <c r="I847" i="4" a="1"/>
  <c r="I847" i="4"/>
  <c r="I848" i="4" a="1"/>
  <c r="I848" i="4" s="1"/>
  <c r="I849" i="4" a="1"/>
  <c r="I849" i="4" s="1"/>
  <c r="J849" i="4" s="1"/>
  <c r="I850" i="4" a="1"/>
  <c r="I850" i="4" s="1"/>
  <c r="J850" i="4" s="1"/>
  <c r="I851" i="4" a="1"/>
  <c r="I851" i="4" s="1"/>
  <c r="J851" i="4" s="1"/>
  <c r="I852" i="4" a="1"/>
  <c r="I852" i="4" s="1"/>
  <c r="I853" i="4" a="1"/>
  <c r="I853" i="4" s="1"/>
  <c r="I854" i="4" a="1"/>
  <c r="I854" i="4" s="1"/>
  <c r="I855" i="4" a="1"/>
  <c r="I855" i="4" s="1"/>
  <c r="I856" i="4" a="1"/>
  <c r="I856" i="4" s="1"/>
  <c r="I857" i="4" a="1"/>
  <c r="I857" i="4"/>
  <c r="J857" i="4" s="1"/>
  <c r="I858" i="4" a="1"/>
  <c r="I858" i="4" s="1"/>
  <c r="I859" i="4" a="1"/>
  <c r="I859" i="4" s="1"/>
  <c r="I860" i="4" a="1"/>
  <c r="I860" i="4" s="1"/>
  <c r="I861" i="4" a="1"/>
  <c r="I861" i="4" s="1"/>
  <c r="J861" i="4" s="1"/>
  <c r="I862" i="4" a="1"/>
  <c r="I862" i="4" s="1"/>
  <c r="I863" i="4" a="1"/>
  <c r="I863" i="4"/>
  <c r="J863" i="4" s="1"/>
  <c r="I864" i="4" a="1"/>
  <c r="I864" i="4" s="1"/>
  <c r="I865" i="4" a="1"/>
  <c r="I865" i="4" s="1"/>
  <c r="J865" i="4" s="1"/>
  <c r="I866" i="4" a="1"/>
  <c r="I866" i="4" s="1"/>
  <c r="I867" i="4" a="1"/>
  <c r="I867" i="4" s="1"/>
  <c r="I868" i="4" a="1"/>
  <c r="I868" i="4" s="1"/>
  <c r="I869" i="4" a="1"/>
  <c r="I869" i="4" s="1"/>
  <c r="I870" i="4" a="1"/>
  <c r="I870" i="4" s="1"/>
  <c r="I871" i="4" a="1"/>
  <c r="I871" i="4" s="1"/>
  <c r="J871" i="4" s="1"/>
  <c r="I872" i="4" a="1"/>
  <c r="I872" i="4" s="1"/>
  <c r="I873" i="4" a="1"/>
  <c r="I873" i="4"/>
  <c r="I874" i="4" a="1"/>
  <c r="I874" i="4" s="1"/>
  <c r="I875" i="4" a="1"/>
  <c r="I875" i="4" s="1"/>
  <c r="I876" i="4" a="1"/>
  <c r="I876" i="4" s="1"/>
  <c r="I877" i="4" a="1"/>
  <c r="I877" i="4" s="1"/>
  <c r="J877" i="4" s="1"/>
  <c r="I878" i="4" a="1"/>
  <c r="I878" i="4" s="1"/>
  <c r="I879" i="4" a="1"/>
  <c r="I879" i="4"/>
  <c r="I880" i="4" a="1"/>
  <c r="I880" i="4" s="1"/>
  <c r="I881" i="4" a="1"/>
  <c r="I881" i="4" s="1"/>
  <c r="J881" i="4" s="1"/>
  <c r="I882" i="4" a="1"/>
  <c r="I882" i="4" s="1"/>
  <c r="I883" i="4" a="1"/>
  <c r="I883" i="4" s="1"/>
  <c r="J883" i="4" s="1"/>
  <c r="I884" i="4" a="1"/>
  <c r="I884" i="4" s="1"/>
  <c r="I885" i="4" a="1"/>
  <c r="I885" i="4" s="1"/>
  <c r="I886" i="4" a="1"/>
  <c r="I886" i="4" s="1"/>
  <c r="I887" i="4" a="1"/>
  <c r="I887" i="4" s="1"/>
  <c r="I888" i="4" a="1"/>
  <c r="I888" i="4" s="1"/>
  <c r="I889" i="4" a="1"/>
  <c r="I889" i="4"/>
  <c r="J889" i="4" s="1"/>
  <c r="I890" i="4" a="1"/>
  <c r="I890" i="4" s="1"/>
  <c r="J890" i="4" s="1"/>
  <c r="I891" i="4" a="1"/>
  <c r="I891" i="4" s="1"/>
  <c r="I892" i="4" a="1"/>
  <c r="I892" i="4" s="1"/>
  <c r="I893" i="4" a="1"/>
  <c r="I893" i="4" s="1"/>
  <c r="J893" i="4" s="1"/>
  <c r="I894" i="4" a="1"/>
  <c r="I894" i="4" s="1"/>
  <c r="I895" i="4" a="1"/>
  <c r="I895" i="4"/>
  <c r="I896" i="4" a="1"/>
  <c r="I896" i="4" s="1"/>
  <c r="I897" i="4" a="1"/>
  <c r="I897" i="4" s="1"/>
  <c r="J897" i="4" s="1"/>
  <c r="I898" i="4" a="1"/>
  <c r="I898" i="4" s="1"/>
  <c r="I899" i="4" a="1"/>
  <c r="I899" i="4" s="1"/>
  <c r="I900" i="4" a="1"/>
  <c r="I900" i="4" s="1"/>
  <c r="I901" i="4" a="1"/>
  <c r="I901" i="4" s="1"/>
  <c r="I902" i="4" a="1"/>
  <c r="I902" i="4" s="1"/>
  <c r="I903" i="4" a="1"/>
  <c r="I903" i="4" s="1"/>
  <c r="I904" i="4" a="1"/>
  <c r="I904" i="4" s="1"/>
  <c r="I905" i="4" a="1"/>
  <c r="I905" i="4" s="1"/>
  <c r="I906" i="4" a="1"/>
  <c r="I906" i="4"/>
  <c r="I907" i="4" a="1"/>
  <c r="I907" i="4" s="1"/>
  <c r="I908" i="4" a="1"/>
  <c r="I908" i="4" s="1"/>
  <c r="J908" i="4" s="1"/>
  <c r="I909" i="4" a="1"/>
  <c r="I909" i="4" s="1"/>
  <c r="J909" i="4" s="1"/>
  <c r="I910" i="4" a="1"/>
  <c r="I910" i="4" s="1"/>
  <c r="I911" i="4" a="1"/>
  <c r="I911" i="4" s="1"/>
  <c r="I912" i="4" a="1"/>
  <c r="I912" i="4" s="1"/>
  <c r="I913" i="4" a="1"/>
  <c r="I913" i="4" s="1"/>
  <c r="J913" i="4" s="1"/>
  <c r="I914" i="4" a="1"/>
  <c r="I914" i="4" s="1"/>
  <c r="J914" i="4" s="1"/>
  <c r="I915" i="4" a="1"/>
  <c r="I915" i="4" s="1"/>
  <c r="I916" i="4" a="1"/>
  <c r="I916" i="4" s="1"/>
  <c r="I917" i="4" a="1"/>
  <c r="I917" i="4"/>
  <c r="I918" i="4" a="1"/>
  <c r="I918" i="4" s="1"/>
  <c r="I919" i="4" a="1"/>
  <c r="I919" i="4" s="1"/>
  <c r="I920" i="4" a="1"/>
  <c r="I920" i="4" s="1"/>
  <c r="I921" i="4" a="1"/>
  <c r="I921" i="4" s="1"/>
  <c r="J921" i="4" s="1"/>
  <c r="I922" i="4" a="1"/>
  <c r="I922" i="4" s="1"/>
  <c r="I923" i="4" a="1"/>
  <c r="I923" i="4" s="1"/>
  <c r="I924" i="4" a="1"/>
  <c r="I924" i="4" s="1"/>
  <c r="I925" i="4" a="1"/>
  <c r="I925" i="4" s="1"/>
  <c r="J925" i="4" s="1"/>
  <c r="I926" i="4" a="1"/>
  <c r="I926" i="4" s="1"/>
  <c r="I927" i="4" a="1"/>
  <c r="I927" i="4" s="1"/>
  <c r="I928" i="4" a="1"/>
  <c r="I928" i="4" s="1"/>
  <c r="J928" i="4" s="1"/>
  <c r="I929" i="4" a="1"/>
  <c r="I929" i="4" s="1"/>
  <c r="J929" i="4" s="1"/>
  <c r="I930" i="4" a="1"/>
  <c r="I930" i="4" s="1"/>
  <c r="I931" i="4" a="1"/>
  <c r="I931" i="4" s="1"/>
  <c r="I932" i="4" a="1"/>
  <c r="I932" i="4" s="1"/>
  <c r="I933" i="4" a="1"/>
  <c r="I933" i="4"/>
  <c r="I934" i="4" a="1"/>
  <c r="I934" i="4" s="1"/>
  <c r="I935" i="4" a="1"/>
  <c r="I935" i="4" s="1"/>
  <c r="I936" i="4" a="1"/>
  <c r="I936" i="4" s="1"/>
  <c r="I937" i="4" a="1"/>
  <c r="I937" i="4"/>
  <c r="I938" i="4" a="1"/>
  <c r="I938" i="4" s="1"/>
  <c r="I939" i="4" a="1"/>
  <c r="I939" i="4" s="1"/>
  <c r="I940" i="4" a="1"/>
  <c r="I940" i="4" s="1"/>
  <c r="J940" i="4" s="1"/>
  <c r="I941" i="4" a="1"/>
  <c r="I941" i="4" s="1"/>
  <c r="J941" i="4" s="1"/>
  <c r="I942" i="4" a="1"/>
  <c r="I942" i="4" s="1"/>
  <c r="I943" i="4" a="1"/>
  <c r="I943" i="4"/>
  <c r="I944" i="4" a="1"/>
  <c r="I944" i="4" s="1"/>
  <c r="I945" i="4" a="1"/>
  <c r="I945" i="4"/>
  <c r="J945" i="4" s="1"/>
  <c r="I946" i="4" a="1"/>
  <c r="I946" i="4" s="1"/>
  <c r="I947" i="4" a="1"/>
  <c r="I947" i="4" s="1"/>
  <c r="I948" i="4" a="1"/>
  <c r="I948" i="4" s="1"/>
  <c r="I949" i="4" a="1"/>
  <c r="I949" i="4" s="1"/>
  <c r="J949" i="4" s="1"/>
  <c r="I950" i="4" a="1"/>
  <c r="I950" i="4" s="1"/>
  <c r="I951" i="4" a="1"/>
  <c r="I951" i="4" s="1"/>
  <c r="I952" i="4" a="1"/>
  <c r="I952" i="4" s="1"/>
  <c r="I953" i="4" a="1"/>
  <c r="I953" i="4"/>
  <c r="I954" i="4" a="1"/>
  <c r="I954" i="4" s="1"/>
  <c r="I955" i="4" a="1"/>
  <c r="I955" i="4"/>
  <c r="I956" i="4" a="1"/>
  <c r="I956" i="4" s="1"/>
  <c r="J956" i="4" s="1"/>
  <c r="I957" i="4" a="1"/>
  <c r="I957" i="4" s="1"/>
  <c r="J957" i="4" s="1"/>
  <c r="I958" i="4" a="1"/>
  <c r="I958" i="4" s="1"/>
  <c r="I959" i="4" a="1"/>
  <c r="I959" i="4"/>
  <c r="I960" i="4" a="1"/>
  <c r="I960" i="4" s="1"/>
  <c r="I961" i="4" a="1"/>
  <c r="I961" i="4"/>
  <c r="J961" i="4" s="1"/>
  <c r="I962" i="4" a="1"/>
  <c r="I962" i="4" s="1"/>
  <c r="J962" i="4" s="1"/>
  <c r="I963" i="4" a="1"/>
  <c r="I963" i="4" s="1"/>
  <c r="J963" i="4" s="1"/>
  <c r="I964" i="4" a="1"/>
  <c r="I964" i="4" s="1"/>
  <c r="I965" i="4" a="1"/>
  <c r="I965" i="4" s="1"/>
  <c r="J965" i="4" s="1"/>
  <c r="I966" i="4" a="1"/>
  <c r="I966" i="4" s="1"/>
  <c r="I967" i="4" a="1"/>
  <c r="I967" i="4" s="1"/>
  <c r="I968" i="4" a="1"/>
  <c r="I968" i="4" s="1"/>
  <c r="I969" i="4" a="1"/>
  <c r="I969" i="4" s="1"/>
  <c r="J969" i="4" s="1"/>
  <c r="I970" i="4" a="1"/>
  <c r="I970" i="4" s="1"/>
  <c r="I971" i="4" a="1"/>
  <c r="I971" i="4" s="1"/>
  <c r="I972" i="4" a="1"/>
  <c r="I972" i="4" s="1"/>
  <c r="I973" i="4" a="1"/>
  <c r="I973" i="4" s="1"/>
  <c r="J973" i="4" s="1"/>
  <c r="I974" i="4" a="1"/>
  <c r="I974" i="4" s="1"/>
  <c r="I975" i="4" a="1"/>
  <c r="I975" i="4" s="1"/>
  <c r="I976" i="4" a="1"/>
  <c r="I976" i="4" s="1"/>
  <c r="I977" i="4" a="1"/>
  <c r="I977" i="4" s="1"/>
  <c r="J977" i="4" s="1"/>
  <c r="I978" i="4" a="1"/>
  <c r="I978" i="4" s="1"/>
  <c r="J978" i="4" s="1"/>
  <c r="I979" i="4" a="1"/>
  <c r="I979" i="4" s="1"/>
  <c r="I980" i="4" a="1"/>
  <c r="I980" i="4" s="1"/>
  <c r="I981" i="4" a="1"/>
  <c r="I981" i="4" s="1"/>
  <c r="J981" i="4" s="1"/>
  <c r="I982" i="4" a="1"/>
  <c r="I982" i="4" s="1"/>
  <c r="I983" i="4" a="1"/>
  <c r="I983" i="4" s="1"/>
  <c r="I984" i="4" a="1"/>
  <c r="I984" i="4" s="1"/>
  <c r="I985" i="4" a="1"/>
  <c r="I985" i="4"/>
  <c r="I986" i="4" a="1"/>
  <c r="I986" i="4" s="1"/>
  <c r="J986" i="4" s="1"/>
  <c r="I987" i="4" a="1"/>
  <c r="I987" i="4" s="1"/>
  <c r="I988" i="4" a="1"/>
  <c r="I988" i="4" s="1"/>
  <c r="I989" i="4" a="1"/>
  <c r="I989" i="4" s="1"/>
  <c r="J989" i="4" s="1"/>
  <c r="I990" i="4" a="1"/>
  <c r="I990" i="4" s="1"/>
  <c r="I991" i="4" a="1"/>
  <c r="I991" i="4" s="1"/>
  <c r="I992" i="4" a="1"/>
  <c r="I992" i="4" s="1"/>
  <c r="I993" i="4" a="1"/>
  <c r="I993" i="4" s="1"/>
  <c r="J993" i="4" s="1"/>
  <c r="I994" i="4" a="1"/>
  <c r="I994" i="4" s="1"/>
  <c r="J994" i="4" s="1"/>
  <c r="I995" i="4" a="1"/>
  <c r="I995" i="4" s="1"/>
  <c r="J995" i="4" s="1"/>
  <c r="I996" i="4" a="1"/>
  <c r="I996" i="4" s="1"/>
  <c r="I997" i="4" a="1"/>
  <c r="I997" i="4" s="1"/>
  <c r="J997" i="4" s="1"/>
  <c r="I998" i="4" a="1"/>
  <c r="I998" i="4" s="1"/>
  <c r="I999" i="4" a="1"/>
  <c r="I999" i="4"/>
  <c r="I1000" i="4" a="1"/>
  <c r="I1000" i="4" s="1"/>
  <c r="J1000" i="4" s="1"/>
  <c r="I1001" i="4" a="1"/>
  <c r="I1001" i="4" s="1"/>
  <c r="J1001" i="4" s="1"/>
  <c r="I1002" i="4" a="1"/>
  <c r="I1002" i="4" s="1"/>
  <c r="I1003" i="4" a="1"/>
  <c r="I1003" i="4" s="1"/>
  <c r="I1004" i="4" a="1"/>
  <c r="I1004" i="4" s="1"/>
  <c r="I1005" i="4" a="1"/>
  <c r="I1005" i="4" s="1"/>
  <c r="J1005" i="4" s="1"/>
  <c r="I1006" i="4" a="1"/>
  <c r="I1006" i="4" s="1"/>
  <c r="I1007" i="4" a="1"/>
  <c r="I1007" i="4" s="1"/>
  <c r="I1008" i="4" a="1"/>
  <c r="I1008" i="4" s="1"/>
  <c r="I1009" i="4" a="1"/>
  <c r="I1009" i="4"/>
  <c r="I1010" i="4" a="1"/>
  <c r="I1010" i="4" s="1"/>
  <c r="J1010" i="4" s="1"/>
  <c r="I1011" i="4" a="1"/>
  <c r="I1011" i="4" s="1"/>
  <c r="I1012" i="4" a="1"/>
  <c r="I1012" i="4" s="1"/>
  <c r="I1013" i="4" a="1"/>
  <c r="I1013" i="4"/>
  <c r="J1013" i="4" s="1"/>
  <c r="I1014" i="4" a="1"/>
  <c r="I1014" i="4" s="1"/>
  <c r="I1015" i="4" a="1"/>
  <c r="I1015" i="4" s="1"/>
  <c r="I1016" i="4" a="1"/>
  <c r="I1016" i="4" s="1"/>
  <c r="I1017" i="4" a="1"/>
  <c r="I1017" i="4" s="1"/>
  <c r="I1018" i="4" a="1"/>
  <c r="I1018" i="4" s="1"/>
  <c r="I1019" i="4" a="1"/>
  <c r="I1019" i="4" s="1"/>
  <c r="I1020" i="4" a="1"/>
  <c r="I1020" i="4" s="1"/>
  <c r="J1020" i="4" s="1"/>
  <c r="I1021" i="4" a="1"/>
  <c r="I1021" i="4" s="1"/>
  <c r="J1021" i="4" s="1"/>
  <c r="I1022" i="4" a="1"/>
  <c r="I1022" i="4" s="1"/>
  <c r="I1023" i="4" a="1"/>
  <c r="I1023" i="4" s="1"/>
  <c r="I1024" i="4" a="1"/>
  <c r="I1024" i="4" s="1"/>
  <c r="I1025" i="4" a="1"/>
  <c r="I1025" i="4" s="1"/>
  <c r="I1026" i="4" a="1"/>
  <c r="I1026" i="4" s="1"/>
  <c r="J1026" i="4" s="1"/>
  <c r="I1027" i="4" a="1"/>
  <c r="I1027" i="4" s="1"/>
  <c r="J1027" i="4" s="1"/>
  <c r="I1028" i="4" a="1"/>
  <c r="I1028" i="4" s="1"/>
  <c r="J1028" i="4" s="1"/>
  <c r="I1029" i="4" a="1"/>
  <c r="I1029" i="4" s="1"/>
  <c r="J1029" i="4" s="1"/>
  <c r="I1030" i="4" a="1"/>
  <c r="I1030" i="4" s="1"/>
  <c r="I1031" i="4" a="1"/>
  <c r="I1031" i="4"/>
  <c r="I1032" i="4" a="1"/>
  <c r="I1032" i="4" s="1"/>
  <c r="I1033" i="4" a="1"/>
  <c r="I1033" i="4" s="1"/>
  <c r="I1034" i="4" a="1"/>
  <c r="I1034" i="4" s="1"/>
  <c r="I1035" i="4" a="1"/>
  <c r="I1035" i="4" s="1"/>
  <c r="J1035" i="4" s="1"/>
  <c r="I1036" i="4" a="1"/>
  <c r="I1036" i="4" s="1"/>
  <c r="I1037" i="4" a="1"/>
  <c r="I1037" i="4" s="1"/>
  <c r="J1037" i="4" s="1"/>
  <c r="I1038" i="4" a="1"/>
  <c r="I1038" i="4" s="1"/>
  <c r="I1039" i="4" a="1"/>
  <c r="I1039" i="4" s="1"/>
  <c r="I1040" i="4" a="1"/>
  <c r="I1040" i="4" s="1"/>
  <c r="I1041" i="4" a="1"/>
  <c r="I1041" i="4" s="1"/>
  <c r="I1042" i="4" a="1"/>
  <c r="I1042" i="4" s="1"/>
  <c r="J1042" i="4" s="1"/>
  <c r="I1043" i="4" a="1"/>
  <c r="I1043" i="4" s="1"/>
  <c r="J1043" i="4" s="1"/>
  <c r="I1044" i="4" a="1"/>
  <c r="I1044" i="4" s="1"/>
  <c r="I1045" i="4" a="1"/>
  <c r="I1045" i="4" s="1"/>
  <c r="J1045" i="4" s="1"/>
  <c r="I1046" i="4" a="1"/>
  <c r="I1046" i="4" s="1"/>
  <c r="I1047" i="4" a="1"/>
  <c r="I1047" i="4" s="1"/>
  <c r="I1048" i="4" a="1"/>
  <c r="I1048" i="4" s="1"/>
  <c r="I1049" i="4" a="1"/>
  <c r="I1049" i="4" s="1"/>
  <c r="I1050" i="4" a="1"/>
  <c r="I1050" i="4" s="1"/>
  <c r="I1051" i="4" a="1"/>
  <c r="I1051" i="4" s="1"/>
  <c r="J1051" i="4" s="1"/>
  <c r="I1052" i="4" a="1"/>
  <c r="I1052" i="4" s="1"/>
  <c r="I1053" i="4" a="1"/>
  <c r="I1053" i="4" s="1"/>
  <c r="J1053" i="4" s="1"/>
  <c r="I1054" i="4" a="1"/>
  <c r="I1054" i="4" s="1"/>
  <c r="I1055" i="4" a="1"/>
  <c r="I1055" i="4" s="1"/>
  <c r="I1056" i="4" a="1"/>
  <c r="I1056" i="4" s="1"/>
  <c r="I1057" i="4" a="1"/>
  <c r="I1057" i="4" s="1"/>
  <c r="I1058" i="4" a="1"/>
  <c r="I1058" i="4" s="1"/>
  <c r="J1058" i="4" s="1"/>
  <c r="I1059" i="4" a="1"/>
  <c r="I1059" i="4" s="1"/>
  <c r="J1059" i="4" s="1"/>
  <c r="I1060" i="4" a="1"/>
  <c r="I1060" i="4" s="1"/>
  <c r="I1061" i="4" a="1"/>
  <c r="I1061" i="4" s="1"/>
  <c r="J1061" i="4" s="1"/>
  <c r="I1062" i="4" a="1"/>
  <c r="I1062" i="4" s="1"/>
  <c r="I1063" i="4" a="1"/>
  <c r="I1063" i="4" s="1"/>
  <c r="I1064" i="4" a="1"/>
  <c r="I1064" i="4" s="1"/>
  <c r="I1065" i="4" a="1"/>
  <c r="I1065" i="4" s="1"/>
  <c r="I1066" i="4" a="1"/>
  <c r="I1066" i="4" s="1"/>
  <c r="I1067" i="4" a="1"/>
  <c r="I1067" i="4" s="1"/>
  <c r="J1067" i="4" s="1"/>
  <c r="I1068" i="4" a="1"/>
  <c r="I1068" i="4" s="1"/>
  <c r="I1069" i="4" a="1"/>
  <c r="I1069" i="4" s="1"/>
  <c r="J1069" i="4" s="1"/>
  <c r="I1070" i="4" a="1"/>
  <c r="I1070" i="4" s="1"/>
  <c r="J1070" i="4" s="1"/>
  <c r="I1071" i="4" a="1"/>
  <c r="I1071" i="4" s="1"/>
  <c r="I1072" i="4" a="1"/>
  <c r="I1072" i="4" s="1"/>
  <c r="I1073" i="4" a="1"/>
  <c r="I1073" i="4" s="1"/>
  <c r="I1074" i="4" a="1"/>
  <c r="I1074" i="4" s="1"/>
  <c r="J1074" i="4" s="1"/>
  <c r="I1075" i="4" a="1"/>
  <c r="I1075" i="4" s="1"/>
  <c r="I1076" i="4" a="1"/>
  <c r="I1076" i="4" s="1"/>
  <c r="I1077" i="4" a="1"/>
  <c r="I1077" i="4"/>
  <c r="J1077" i="4" s="1"/>
  <c r="I1078" i="4" a="1"/>
  <c r="I1078" i="4" s="1"/>
  <c r="I1079" i="4" a="1"/>
  <c r="I1079" i="4" s="1"/>
  <c r="I1080" i="4" a="1"/>
  <c r="I1080" i="4" s="1"/>
  <c r="I1081" i="4" a="1"/>
  <c r="I1081" i="4" s="1"/>
  <c r="J1081" i="4" s="1"/>
  <c r="I1082" i="4" a="1"/>
  <c r="I1082" i="4" s="1"/>
  <c r="I1083" i="4" a="1"/>
  <c r="I1083" i="4"/>
  <c r="J1083" i="4" s="1"/>
  <c r="I1084" i="4" a="1"/>
  <c r="I1084" i="4" s="1"/>
  <c r="I1085" i="4" a="1"/>
  <c r="I1085" i="4" s="1"/>
  <c r="J1085" i="4" s="1"/>
  <c r="I1086" i="4" a="1"/>
  <c r="I1086" i="4" s="1"/>
  <c r="I1087" i="4" a="1"/>
  <c r="I1087" i="4" s="1"/>
  <c r="I1088" i="4" a="1"/>
  <c r="I1088" i="4" s="1"/>
  <c r="I1089" i="4" a="1"/>
  <c r="I1089" i="4" s="1"/>
  <c r="J1089" i="4" s="1"/>
  <c r="I1090" i="4" a="1"/>
  <c r="I1090" i="4" s="1"/>
  <c r="J1090" i="4" s="1"/>
  <c r="I1091" i="4" a="1"/>
  <c r="I1091" i="4" s="1"/>
  <c r="J1091" i="4" s="1"/>
  <c r="I1092" i="4" a="1"/>
  <c r="I1092" i="4" s="1"/>
  <c r="I1093" i="4" a="1"/>
  <c r="I1093" i="4" s="1"/>
  <c r="J1093" i="4" s="1"/>
  <c r="I1094" i="4" a="1"/>
  <c r="I1094" i="4" s="1"/>
  <c r="I1095" i="4" a="1"/>
  <c r="I1095" i="4" s="1"/>
  <c r="I1096" i="4" a="1"/>
  <c r="I1096" i="4" s="1"/>
  <c r="I1097" i="4" a="1"/>
  <c r="I1097" i="4" s="1"/>
  <c r="I1098" i="4" a="1"/>
  <c r="I1098" i="4" s="1"/>
  <c r="I1099" i="4" a="1"/>
  <c r="I1099" i="4" s="1"/>
  <c r="J1099" i="4" s="1"/>
  <c r="I1100" i="4" a="1"/>
  <c r="I1100" i="4" s="1"/>
  <c r="I1101" i="4" a="1"/>
  <c r="I1101" i="4" s="1"/>
  <c r="J1101" i="4" s="1"/>
  <c r="I1102" i="4" a="1"/>
  <c r="I1102" i="4" s="1"/>
  <c r="I1103" i="4" a="1"/>
  <c r="I1103" i="4" s="1"/>
  <c r="I1104" i="4" a="1"/>
  <c r="I1104" i="4" s="1"/>
  <c r="I1105" i="4" a="1"/>
  <c r="I1105" i="4" s="1"/>
  <c r="J1105" i="4" s="1"/>
  <c r="I1106" i="4" a="1"/>
  <c r="I1106" i="4" s="1"/>
  <c r="I1107" i="4" a="1"/>
  <c r="I1107" i="4" s="1"/>
  <c r="J1107" i="4" s="1"/>
  <c r="I1108" i="4" a="1"/>
  <c r="I1108" i="4" s="1"/>
  <c r="I1109" i="4" a="1"/>
  <c r="I1109" i="4" s="1"/>
  <c r="J1109" i="4" s="1"/>
  <c r="I1110" i="4" a="1"/>
  <c r="I1110" i="4" s="1"/>
  <c r="I1111" i="4" a="1"/>
  <c r="I1111" i="4" s="1"/>
  <c r="I1112" i="4" a="1"/>
  <c r="I1112" i="4" s="1"/>
  <c r="I1113" i="4" a="1"/>
  <c r="I1113" i="4" s="1"/>
  <c r="J1113" i="4" s="1"/>
  <c r="I1114" i="4" a="1"/>
  <c r="I1114" i="4" s="1"/>
  <c r="I1115" i="4" a="1"/>
  <c r="I1115" i="4" s="1"/>
  <c r="J1115" i="4" s="1"/>
  <c r="I1116" i="4" a="1"/>
  <c r="I1116" i="4" s="1"/>
  <c r="I1117" i="4" a="1"/>
  <c r="I1117" i="4" s="1"/>
  <c r="J1117" i="4" s="1"/>
  <c r="I1118" i="4" a="1"/>
  <c r="I1118" i="4" s="1"/>
  <c r="I1119" i="4" a="1"/>
  <c r="I1119" i="4" s="1"/>
  <c r="I1120" i="4" a="1"/>
  <c r="I1120" i="4" s="1"/>
  <c r="I1121" i="4" a="1"/>
  <c r="I1121" i="4" s="1"/>
  <c r="J1121" i="4" s="1"/>
  <c r="I1122" i="4" a="1"/>
  <c r="I1122" i="4" s="1"/>
  <c r="J1122" i="4" s="1"/>
  <c r="I1123" i="4" a="1"/>
  <c r="I1123" i="4" s="1"/>
  <c r="J1123" i="4" s="1"/>
  <c r="I1124" i="4" a="1"/>
  <c r="I1124" i="4" s="1"/>
  <c r="I1125" i="4" a="1"/>
  <c r="I1125" i="4" s="1"/>
  <c r="J1125" i="4" s="1"/>
  <c r="I1126" i="4" a="1"/>
  <c r="I1126" i="4" s="1"/>
  <c r="I1127" i="4" a="1"/>
  <c r="I1127" i="4" s="1"/>
  <c r="I1128" i="4" a="1"/>
  <c r="I1128" i="4" s="1"/>
  <c r="I1129" i="4" a="1"/>
  <c r="I1129" i="4" s="1"/>
  <c r="I1130" i="4" a="1"/>
  <c r="I1130" i="4" s="1"/>
  <c r="I1131" i="4" a="1"/>
  <c r="I1131" i="4" s="1"/>
  <c r="J1131" i="4" s="1"/>
  <c r="I1132" i="4" a="1"/>
  <c r="I1132" i="4" s="1"/>
  <c r="I1133" i="4" a="1"/>
  <c r="I1133" i="4" s="1"/>
  <c r="J1133" i="4" s="1"/>
  <c r="I1134" i="4" a="1"/>
  <c r="I1134" i="4" s="1"/>
  <c r="I1135" i="4" a="1"/>
  <c r="I1135" i="4" s="1"/>
  <c r="I1136" i="4" a="1"/>
  <c r="I1136" i="4" s="1"/>
  <c r="I1137" i="4" a="1"/>
  <c r="I1137" i="4" s="1"/>
  <c r="J1137" i="4" s="1"/>
  <c r="I1138" i="4" a="1"/>
  <c r="I1138" i="4" s="1"/>
  <c r="J1138" i="4" s="1"/>
  <c r="I1139" i="4" a="1"/>
  <c r="I1139" i="4" s="1"/>
  <c r="J1139" i="4" s="1"/>
  <c r="I1140" i="4" a="1"/>
  <c r="I1140" i="4" s="1"/>
  <c r="I1141" i="4" a="1"/>
  <c r="I1141" i="4" s="1"/>
  <c r="J1141" i="4" s="1"/>
  <c r="I1142" i="4" a="1"/>
  <c r="I1142" i="4" s="1"/>
  <c r="I1143" i="4" a="1"/>
  <c r="I1143" i="4"/>
  <c r="I1144" i="4" a="1"/>
  <c r="I1144" i="4" s="1"/>
  <c r="J1144" i="4" s="1"/>
  <c r="I1145" i="4" a="1"/>
  <c r="I1145" i="4" s="1"/>
  <c r="J1145" i="4" s="1"/>
  <c r="I1146" i="4" a="1"/>
  <c r="I1146" i="4" s="1"/>
  <c r="I1147" i="4" a="1"/>
  <c r="I1147" i="4" s="1"/>
  <c r="J1147" i="4" s="1"/>
  <c r="I1148" i="4" a="1"/>
  <c r="I1148" i="4" s="1"/>
  <c r="I1149" i="4" a="1"/>
  <c r="I1149" i="4" s="1"/>
  <c r="J1149" i="4" s="1"/>
  <c r="I1150" i="4" a="1"/>
  <c r="I1150" i="4" s="1"/>
  <c r="I1151" i="4" a="1"/>
  <c r="I1151" i="4" s="1"/>
  <c r="I1152" i="4" a="1"/>
  <c r="I1152" i="4" s="1"/>
  <c r="I1153" i="4" a="1"/>
  <c r="I1153" i="4" s="1"/>
  <c r="J1153" i="4" s="1"/>
  <c r="I1154" i="4" a="1"/>
  <c r="I1154" i="4" s="1"/>
  <c r="I1155" i="4" a="1"/>
  <c r="I1155" i="4" s="1"/>
  <c r="J1155" i="4" s="1"/>
  <c r="I1156" i="4" a="1"/>
  <c r="I1156" i="4" s="1"/>
  <c r="I1157" i="4" a="1"/>
  <c r="I1157" i="4"/>
  <c r="I1158" i="4" a="1"/>
  <c r="I1158" i="4" s="1"/>
  <c r="J1158" i="4" s="1"/>
  <c r="I1159" i="4" a="1"/>
  <c r="I1159" i="4" s="1"/>
  <c r="I1160" i="4" a="1"/>
  <c r="I1160" i="4" s="1"/>
  <c r="I1161" i="4" a="1"/>
  <c r="I1161" i="4" s="1"/>
  <c r="I1162" i="4" a="1"/>
  <c r="I1162" i="4" s="1"/>
  <c r="I1163" i="4" a="1"/>
  <c r="I1163" i="4" s="1"/>
  <c r="J1163" i="4" s="1"/>
  <c r="I1164" i="4" a="1"/>
  <c r="I1164" i="4" s="1"/>
  <c r="I1165" i="4" a="1"/>
  <c r="I1165" i="4" s="1"/>
  <c r="J1165" i="4" s="1"/>
  <c r="I1166" i="4" a="1"/>
  <c r="I1166" i="4" s="1"/>
  <c r="I1167" i="4" a="1"/>
  <c r="I1167" i="4" s="1"/>
  <c r="I1168" i="4" a="1"/>
  <c r="I1168" i="4" s="1"/>
  <c r="I1169" i="4" a="1"/>
  <c r="I1169" i="4" s="1"/>
  <c r="J1169" i="4" s="1"/>
  <c r="I1170" i="4" a="1"/>
  <c r="I1170" i="4" s="1"/>
  <c r="I1171" i="4" a="1"/>
  <c r="I1171" i="4" s="1"/>
  <c r="J1171" i="4" s="1"/>
  <c r="I1172" i="4" a="1"/>
  <c r="I1172" i="4" s="1"/>
  <c r="I1173" i="4" a="1"/>
  <c r="I1173" i="4" s="1"/>
  <c r="I1174" i="4" a="1"/>
  <c r="I1174" i="4" s="1"/>
  <c r="I1175" i="4" a="1"/>
  <c r="I1175" i="4"/>
  <c r="J1175" i="4" s="1"/>
  <c r="I1176" i="4" a="1"/>
  <c r="I1176" i="4" s="1"/>
  <c r="I1177" i="4" a="1"/>
  <c r="I1177" i="4" s="1"/>
  <c r="J1177" i="4" s="1"/>
  <c r="I1178" i="4" a="1"/>
  <c r="I1178" i="4" s="1"/>
  <c r="I1179" i="4" a="1"/>
  <c r="I1179" i="4" s="1"/>
  <c r="I1180" i="4" a="1"/>
  <c r="I1180" i="4" s="1"/>
  <c r="I1181" i="4" a="1"/>
  <c r="I1181" i="4" s="1"/>
  <c r="I1182" i="4" a="1"/>
  <c r="I1182" i="4" s="1"/>
  <c r="I1183" i="4" a="1"/>
  <c r="I1183" i="4" s="1"/>
  <c r="J1183" i="4" s="1"/>
  <c r="I1184" i="4" a="1"/>
  <c r="I1184" i="4" s="1"/>
  <c r="I1185" i="4" a="1"/>
  <c r="I1185" i="4" s="1"/>
  <c r="I1186" i="4" a="1"/>
  <c r="I1186" i="4" s="1"/>
  <c r="J1186" i="4" s="1"/>
  <c r="I1187" i="4" a="1"/>
  <c r="I1187" i="4" s="1"/>
  <c r="J1187" i="4" s="1"/>
  <c r="I1188" i="4" a="1"/>
  <c r="I1188" i="4" s="1"/>
  <c r="I1189" i="4" a="1"/>
  <c r="I1189" i="4" s="1"/>
  <c r="J1189" i="4" s="1"/>
  <c r="I1190" i="4" a="1"/>
  <c r="I1190" i="4" s="1"/>
  <c r="I1191" i="4" a="1"/>
  <c r="I1191" i="4" s="1"/>
  <c r="J1191" i="4" s="1"/>
  <c r="I1192" i="4" a="1"/>
  <c r="I1192" i="4" s="1"/>
  <c r="J1192" i="4" s="1"/>
  <c r="I1193" i="4" a="1"/>
  <c r="I1193" i="4" s="1"/>
  <c r="J1193" i="4" s="1"/>
  <c r="I1194" i="4" a="1"/>
  <c r="I1194" i="4" s="1"/>
  <c r="I1195" i="4" a="1"/>
  <c r="I1195" i="4" s="1"/>
  <c r="I1196" i="4" a="1"/>
  <c r="I1196" i="4" s="1"/>
  <c r="I1197" i="4" a="1"/>
  <c r="I1197" i="4" s="1"/>
  <c r="J1197" i="4" s="1"/>
  <c r="I1198" i="4" a="1"/>
  <c r="I1198" i="4" s="1"/>
  <c r="I1199" i="4" a="1"/>
  <c r="I1199" i="4" s="1"/>
  <c r="J1199" i="4" s="1"/>
  <c r="I1200" i="4" a="1"/>
  <c r="I1200" i="4" s="1"/>
  <c r="I1201" i="4" a="1"/>
  <c r="I1201" i="4" s="1"/>
  <c r="J1201" i="4" s="1"/>
  <c r="I1202" i="4" a="1"/>
  <c r="I1202" i="4" s="1"/>
  <c r="I1203" i="4" a="1"/>
  <c r="I1203" i="4" s="1"/>
  <c r="J1203" i="4" s="1"/>
  <c r="I1204" i="4" a="1"/>
  <c r="I1204" i="4" s="1"/>
  <c r="I1205" i="4" a="1"/>
  <c r="I1205" i="4" s="1"/>
  <c r="J1205" i="4" s="1"/>
  <c r="I1206" i="4" a="1"/>
  <c r="I1206" i="4" s="1"/>
  <c r="J1206" i="4" s="1"/>
  <c r="I1207" i="4" a="1"/>
  <c r="I1207" i="4" s="1"/>
  <c r="J1207" i="4" s="1"/>
  <c r="I1208" i="4" a="1"/>
  <c r="I1208" i="4" s="1"/>
  <c r="I1209" i="4" a="1"/>
  <c r="I1209" i="4" s="1"/>
  <c r="J1209" i="4" s="1"/>
  <c r="I1210" i="4" a="1"/>
  <c r="I1210" i="4" s="1"/>
  <c r="I1211" i="4" a="1"/>
  <c r="I1211" i="4" s="1"/>
  <c r="I1212" i="4" a="1"/>
  <c r="I1212" i="4" s="1"/>
  <c r="J1212" i="4" s="1"/>
  <c r="I1213" i="4" a="1"/>
  <c r="I1213" i="4" s="1"/>
  <c r="J1213" i="4" s="1"/>
  <c r="I1214" i="4" a="1"/>
  <c r="I1214" i="4" s="1"/>
  <c r="I1215" i="4" a="1"/>
  <c r="I1215" i="4" s="1"/>
  <c r="J1215" i="4" s="1"/>
  <c r="I1216" i="4" a="1"/>
  <c r="I1216" i="4" s="1"/>
  <c r="I1217" i="4" a="1"/>
  <c r="I1217" i="4" s="1"/>
  <c r="J1217" i="4" s="1"/>
  <c r="I1218" i="4" a="1"/>
  <c r="I1218" i="4" s="1"/>
  <c r="J1218" i="4" s="1"/>
  <c r="I1219" i="4" a="1"/>
  <c r="I1219" i="4" s="1"/>
  <c r="J1219" i="4" s="1"/>
  <c r="I1220" i="4" a="1"/>
  <c r="I1220" i="4" s="1"/>
  <c r="I1221" i="4" a="1"/>
  <c r="I1221" i="4" s="1"/>
  <c r="J1221" i="4" s="1"/>
  <c r="I1222" i="4" a="1"/>
  <c r="I1222" i="4" s="1"/>
  <c r="I1223" i="4" a="1"/>
  <c r="I1223" i="4"/>
  <c r="J1223" i="4" s="1"/>
  <c r="I1224" i="4" a="1"/>
  <c r="I1224" i="4" s="1"/>
  <c r="I1225" i="4" a="1"/>
  <c r="I1225" i="4" s="1"/>
  <c r="I1226" i="4" a="1"/>
  <c r="I1226" i="4" s="1"/>
  <c r="J1226" i="4" s="1"/>
  <c r="I1227" i="4" a="1"/>
  <c r="I1227" i="4" s="1"/>
  <c r="J1227" i="4" s="1"/>
  <c r="I1228" i="4" a="1"/>
  <c r="I1228" i="4" s="1"/>
  <c r="I1229" i="4" a="1"/>
  <c r="I1229" i="4" s="1"/>
  <c r="J1229" i="4" s="1"/>
  <c r="I1230" i="4" a="1"/>
  <c r="I1230" i="4" s="1"/>
  <c r="I1231" i="4" a="1"/>
  <c r="I1231" i="4" s="1"/>
  <c r="J1231" i="4" s="1"/>
  <c r="I1232" i="4" a="1"/>
  <c r="I1232" i="4" s="1"/>
  <c r="I1233" i="4" a="1"/>
  <c r="I1233" i="4" s="1"/>
  <c r="I1234" i="4" a="1"/>
  <c r="I1234" i="4" s="1"/>
  <c r="J1234" i="4" s="1"/>
  <c r="I1235" i="4" a="1"/>
  <c r="I1235" i="4" s="1"/>
  <c r="J1235" i="4" s="1"/>
  <c r="I1236" i="4" a="1"/>
  <c r="I1236" i="4" s="1"/>
  <c r="I1237" i="4" a="1"/>
  <c r="I1237" i="4" s="1"/>
  <c r="I1238" i="4" a="1"/>
  <c r="I1238" i="4" s="1"/>
  <c r="I1239" i="4" a="1"/>
  <c r="I1239" i="4" s="1"/>
  <c r="J1239" i="4" s="1"/>
  <c r="I1240" i="4" a="1"/>
  <c r="I1240" i="4" s="1"/>
  <c r="J1240" i="4" s="1"/>
  <c r="I1241" i="4" a="1"/>
  <c r="I1241" i="4" s="1"/>
  <c r="I1242" i="4" a="1"/>
  <c r="I1242" i="4" s="1"/>
  <c r="I1243" i="4" a="1"/>
  <c r="I1243" i="4" s="1"/>
  <c r="I1244" i="4" a="1"/>
  <c r="I1244" i="4" s="1"/>
  <c r="I1245" i="4" a="1"/>
  <c r="I1245" i="4" s="1"/>
  <c r="J1245" i="4" s="1"/>
  <c r="I1246" i="4" a="1"/>
  <c r="I1246" i="4" s="1"/>
  <c r="I1247" i="4" a="1"/>
  <c r="I1247" i="4" s="1"/>
  <c r="J1247" i="4" s="1"/>
  <c r="I1248" i="4" a="1"/>
  <c r="I1248" i="4" s="1"/>
  <c r="I1249" i="4" a="1"/>
  <c r="I1249" i="4" s="1"/>
  <c r="J1249" i="4" s="1"/>
  <c r="I1250" i="4" a="1"/>
  <c r="I1250" i="4" s="1"/>
  <c r="J1250" i="4" s="1"/>
  <c r="I1251" i="4" a="1"/>
  <c r="I1251" i="4" s="1"/>
  <c r="J1251" i="4" s="1"/>
  <c r="I1252" i="4" a="1"/>
  <c r="I1252" i="4" s="1"/>
  <c r="I1253" i="4" a="1"/>
  <c r="I1253" i="4" s="1"/>
  <c r="J1253" i="4" s="1"/>
  <c r="I1254" i="4" a="1"/>
  <c r="I1254" i="4" s="1"/>
  <c r="I1255" i="4" a="1"/>
  <c r="I1255" i="4" s="1"/>
  <c r="J1255" i="4" s="1"/>
  <c r="I1256" i="4" a="1"/>
  <c r="I1256" i="4" s="1"/>
  <c r="I1257" i="4" a="1"/>
  <c r="I1257" i="4" s="1"/>
  <c r="I1258" i="4" a="1"/>
  <c r="I1258" i="4" s="1"/>
  <c r="I1259" i="4" a="1"/>
  <c r="I1259" i="4" s="1"/>
  <c r="J1259" i="4" s="1"/>
  <c r="I1260" i="4" a="1"/>
  <c r="I1260" i="4" s="1"/>
  <c r="I1261" i="4" a="1"/>
  <c r="I1261" i="4" s="1"/>
  <c r="J1261" i="4" s="1"/>
  <c r="I1262" i="4" a="1"/>
  <c r="I1262" i="4" s="1"/>
  <c r="I1263" i="4" a="1"/>
  <c r="I1263" i="4" s="1"/>
  <c r="J1263" i="4" s="1"/>
  <c r="I1264" i="4" a="1"/>
  <c r="I1264" i="4" s="1"/>
  <c r="I1265" i="4" a="1"/>
  <c r="I1265" i="4" s="1"/>
  <c r="J1265" i="4" s="1"/>
  <c r="I1266" i="4" a="1"/>
  <c r="I1266" i="4" s="1"/>
  <c r="I1267" i="4" a="1"/>
  <c r="I1267" i="4" s="1"/>
  <c r="I1268" i="4" a="1"/>
  <c r="I1268" i="4" s="1"/>
  <c r="I1269" i="4" a="1"/>
  <c r="I1269" i="4" s="1"/>
  <c r="J1269" i="4" s="1"/>
  <c r="I1270" i="4" a="1"/>
  <c r="I1270" i="4" s="1"/>
  <c r="I1271" i="4" a="1"/>
  <c r="I1271" i="4" s="1"/>
  <c r="J1271" i="4" s="1"/>
  <c r="I1272" i="4" a="1"/>
  <c r="I1272" i="4" s="1"/>
  <c r="I1273" i="4" a="1"/>
  <c r="I1273" i="4" s="1"/>
  <c r="I1274" i="4" a="1"/>
  <c r="I1274" i="4" s="1"/>
  <c r="I1275" i="4" a="1"/>
  <c r="I1275" i="4"/>
  <c r="J1275" i="4" s="1"/>
  <c r="I1276" i="4" a="1"/>
  <c r="I1276" i="4" s="1"/>
  <c r="I1277" i="4" a="1"/>
  <c r="I1277" i="4" s="1"/>
  <c r="J1277" i="4" s="1"/>
  <c r="I1278" i="4" a="1"/>
  <c r="I1278" i="4" s="1"/>
  <c r="I1279" i="4" a="1"/>
  <c r="I1279" i="4" s="1"/>
  <c r="J1279" i="4" s="1"/>
  <c r="I1280" i="4" a="1"/>
  <c r="I1280" i="4" s="1"/>
  <c r="I1281" i="4" a="1"/>
  <c r="I1281" i="4" s="1"/>
  <c r="J1281" i="4" s="1"/>
  <c r="I1282" i="4" a="1"/>
  <c r="I1282" i="4" s="1"/>
  <c r="J1282" i="4" s="1"/>
  <c r="I1283" i="4" a="1"/>
  <c r="I1283" i="4" s="1"/>
  <c r="J1283" i="4" s="1"/>
  <c r="I1284" i="4" a="1"/>
  <c r="I1284" i="4" s="1"/>
  <c r="I1285" i="4" a="1"/>
  <c r="I1285" i="4" s="1"/>
  <c r="J1285" i="4" s="1"/>
  <c r="I1286" i="4" a="1"/>
  <c r="I1286" i="4" s="1"/>
  <c r="I1287" i="4" a="1"/>
  <c r="I1287" i="4"/>
  <c r="I1288" i="4" a="1"/>
  <c r="I1288" i="4" s="1"/>
  <c r="I1289" i="4" a="1"/>
  <c r="I1289" i="4" s="1"/>
  <c r="I1290" i="4" a="1"/>
  <c r="I1290" i="4" s="1"/>
  <c r="I1291" i="4" a="1"/>
  <c r="I1291" i="4" s="1"/>
  <c r="J1291" i="4" s="1"/>
  <c r="I1292" i="4" a="1"/>
  <c r="I1292" i="4" s="1"/>
  <c r="I1293" i="4" a="1"/>
  <c r="I1293" i="4" s="1"/>
  <c r="J1293" i="4" s="1"/>
  <c r="I1294" i="4" a="1"/>
  <c r="I1294" i="4" s="1"/>
  <c r="I1295" i="4" a="1"/>
  <c r="I1295" i="4" s="1"/>
  <c r="J1295" i="4" s="1"/>
  <c r="I1296" i="4" a="1"/>
  <c r="I1296" i="4" s="1"/>
  <c r="I1297" i="4" a="1"/>
  <c r="I1297" i="4" s="1"/>
  <c r="I1298" i="4" a="1"/>
  <c r="I1298" i="4" s="1"/>
  <c r="J1298" i="4" s="1"/>
  <c r="I1299" i="4" a="1"/>
  <c r="I1299" i="4" s="1"/>
  <c r="J1299" i="4" s="1"/>
  <c r="I1300" i="4" a="1"/>
  <c r="I1300" i="4" s="1"/>
  <c r="I1301" i="4" a="1"/>
  <c r="I1301" i="4" s="1"/>
  <c r="I1302" i="4" a="1"/>
  <c r="I1302" i="4" s="1"/>
  <c r="I1303" i="4" a="1"/>
  <c r="I1303" i="4" s="1"/>
  <c r="J1303" i="4" s="1"/>
  <c r="I1304" i="4" a="1"/>
  <c r="I1304" i="4" s="1"/>
  <c r="J1304" i="4" s="1"/>
  <c r="I1305" i="4" a="1"/>
  <c r="I1305" i="4" s="1"/>
  <c r="I1306" i="4" a="1"/>
  <c r="I1306" i="4" s="1"/>
  <c r="I1307" i="4" a="1"/>
  <c r="I1307" i="4"/>
  <c r="I1308" i="4" a="1"/>
  <c r="I1308" i="4" s="1"/>
  <c r="I1309" i="4" a="1"/>
  <c r="I1309" i="4" s="1"/>
  <c r="J1309" i="4" s="1"/>
  <c r="I1310" i="4" a="1"/>
  <c r="I1310" i="4" s="1"/>
  <c r="I1311" i="4" a="1"/>
  <c r="I1311" i="4" s="1"/>
  <c r="J1311" i="4" s="1"/>
  <c r="I1312" i="4" a="1"/>
  <c r="I1312" i="4" s="1"/>
  <c r="I1313" i="4" a="1"/>
  <c r="I1313" i="4" s="1"/>
  <c r="J1313" i="4" s="1"/>
  <c r="I1314" i="4" a="1"/>
  <c r="I1314" i="4" s="1"/>
  <c r="J1314" i="4" s="1"/>
  <c r="I1315" i="4" a="1"/>
  <c r="I1315" i="4" s="1"/>
  <c r="J1315" i="4" s="1"/>
  <c r="I1316" i="4" a="1"/>
  <c r="I1316" i="4" s="1"/>
  <c r="I1317" i="4" a="1"/>
  <c r="I1317" i="4" s="1"/>
  <c r="J1317" i="4" s="1"/>
  <c r="I1318" i="4" a="1"/>
  <c r="I1318" i="4" s="1"/>
  <c r="I1319" i="4" a="1"/>
  <c r="I1319" i="4" s="1"/>
  <c r="J1319" i="4" s="1"/>
  <c r="I1320" i="4" a="1"/>
  <c r="I1320" i="4" s="1"/>
  <c r="I1321" i="4" a="1"/>
  <c r="I1321" i="4" s="1"/>
  <c r="I1322" i="4" a="1"/>
  <c r="I1322" i="4" s="1"/>
  <c r="I1323" i="4" a="1"/>
  <c r="I1323" i="4" s="1"/>
  <c r="J1323" i="4" s="1"/>
  <c r="I1324" i="4" a="1"/>
  <c r="I1324" i="4" s="1"/>
  <c r="I1325" i="4" a="1"/>
  <c r="I1325" i="4" s="1"/>
  <c r="J1325" i="4" s="1"/>
  <c r="I1326" i="4" a="1"/>
  <c r="I1326" i="4" s="1"/>
  <c r="I1327" i="4" a="1"/>
  <c r="I1327" i="4" s="1"/>
  <c r="J1327" i="4" s="1"/>
  <c r="I1328" i="4" a="1"/>
  <c r="I1328" i="4" s="1"/>
  <c r="I1329" i="4" a="1"/>
  <c r="I1329" i="4" s="1"/>
  <c r="J1329" i="4" s="1"/>
  <c r="I1330" i="4" a="1"/>
  <c r="I1330" i="4" s="1"/>
  <c r="J1330" i="4" s="1"/>
  <c r="I1331" i="4" a="1"/>
  <c r="I1331" i="4" s="1"/>
  <c r="I1332" i="4" a="1"/>
  <c r="I1332" i="4" s="1"/>
  <c r="I1333" i="4" a="1"/>
  <c r="I1333" i="4" s="1"/>
  <c r="J1333" i="4" s="1"/>
  <c r="I1334" i="4" a="1"/>
  <c r="I1334" i="4" s="1"/>
  <c r="J1334" i="4" s="1"/>
  <c r="I1335" i="4" a="1"/>
  <c r="I1335" i="4" s="1"/>
  <c r="J1335" i="4" s="1"/>
  <c r="I1336" i="4" a="1"/>
  <c r="I1336" i="4" s="1"/>
  <c r="I1337" i="4" a="1"/>
  <c r="I1337" i="4" s="1"/>
  <c r="I1338" i="4" a="1"/>
  <c r="I1338" i="4" s="1"/>
  <c r="I1339" i="4" a="1"/>
  <c r="I1339" i="4"/>
  <c r="I1340" i="4" a="1"/>
  <c r="I1340" i="4" s="1"/>
  <c r="I1341" i="4" a="1"/>
  <c r="I1341" i="4" s="1"/>
  <c r="J1341" i="4" s="1"/>
  <c r="I1342" i="4" a="1"/>
  <c r="I1342" i="4" s="1"/>
  <c r="I1343" i="4" a="1"/>
  <c r="I1343" i="4"/>
  <c r="I1344" i="4" a="1"/>
  <c r="I1344" i="4" s="1"/>
  <c r="I1345" i="4" a="1"/>
  <c r="I1345" i="4" s="1"/>
  <c r="J1345" i="4" s="1"/>
  <c r="I1346" i="4" a="1"/>
  <c r="I1346" i="4" s="1"/>
  <c r="J1346" i="4" s="1"/>
  <c r="I1347" i="4" a="1"/>
  <c r="I1347" i="4" s="1"/>
  <c r="J1347" i="4" s="1"/>
  <c r="I1348" i="4" a="1"/>
  <c r="I1348" i="4" s="1"/>
  <c r="I1349" i="4" a="1"/>
  <c r="I1349" i="4" s="1"/>
  <c r="J1349" i="4" s="1"/>
  <c r="I1350" i="4" a="1"/>
  <c r="I1350" i="4" s="1"/>
  <c r="I1351" i="4" a="1"/>
  <c r="I1351" i="4" s="1"/>
  <c r="J1351" i="4" s="1"/>
  <c r="I1352" i="4" a="1"/>
  <c r="I1352" i="4" s="1"/>
  <c r="I1353" i="4" a="1"/>
  <c r="I1353" i="4" s="1"/>
  <c r="I1354" i="4" a="1"/>
  <c r="I1354" i="4" s="1"/>
  <c r="J1354" i="4" s="1"/>
  <c r="I1355" i="4" a="1"/>
  <c r="I1355" i="4" s="1"/>
  <c r="J1355" i="4" s="1"/>
  <c r="I1356" i="4" a="1"/>
  <c r="I1356" i="4" s="1"/>
  <c r="I1357" i="4" a="1"/>
  <c r="I1357" i="4" s="1"/>
  <c r="J1357" i="4" s="1"/>
  <c r="I1358" i="4" a="1"/>
  <c r="I1358" i="4" s="1"/>
  <c r="I1359" i="4" a="1"/>
  <c r="I1359" i="4"/>
  <c r="J1359" i="4" s="1"/>
  <c r="I1360" i="4" a="1"/>
  <c r="I1360" i="4" s="1"/>
  <c r="J1360" i="4" s="1"/>
  <c r="I1361" i="4" a="1"/>
  <c r="I1361" i="4" s="1"/>
  <c r="I1362" i="4" a="1"/>
  <c r="I1362" i="4" s="1"/>
  <c r="J1362" i="4" s="1"/>
  <c r="I1363" i="4" a="1"/>
  <c r="I1363" i="4" s="1"/>
  <c r="I1364" i="4" a="1"/>
  <c r="I1364" i="4" s="1"/>
  <c r="I1365" i="4" a="1"/>
  <c r="I1365" i="4"/>
  <c r="I1366" i="4" a="1"/>
  <c r="I1366" i="4" s="1"/>
  <c r="I1367" i="4" a="1"/>
  <c r="I1367" i="4" s="1"/>
  <c r="J1367" i="4" s="1"/>
  <c r="I1368" i="4" a="1"/>
  <c r="I1368" i="4" s="1"/>
  <c r="I1369" i="4" a="1"/>
  <c r="I1369" i="4" s="1"/>
  <c r="I1370" i="4" a="1"/>
  <c r="I1370" i="4" s="1"/>
  <c r="I1371" i="4" a="1"/>
  <c r="I1371" i="4"/>
  <c r="J1371" i="4" s="1"/>
  <c r="I1372" i="4" a="1"/>
  <c r="I1372" i="4" s="1"/>
  <c r="I1373" i="4" a="1"/>
  <c r="I1373" i="4" s="1"/>
  <c r="J1373" i="4" s="1"/>
  <c r="I1374" i="4" a="1"/>
  <c r="I1374" i="4" s="1"/>
  <c r="I1375" i="4" a="1"/>
  <c r="I1375" i="4"/>
  <c r="I1376" i="4" a="1"/>
  <c r="I1376" i="4" s="1"/>
  <c r="I1377" i="4" a="1"/>
  <c r="I1377" i="4"/>
  <c r="J1377" i="4" s="1"/>
  <c r="I1378" i="4" a="1"/>
  <c r="I1378" i="4" s="1"/>
  <c r="J1378" i="4" s="1"/>
  <c r="I1379" i="4" a="1"/>
  <c r="I1379" i="4" s="1"/>
  <c r="I1380" i="4" a="1"/>
  <c r="I1380" i="4" s="1"/>
  <c r="I1381" i="4" a="1"/>
  <c r="I1381" i="4" s="1"/>
  <c r="J1381" i="4" s="1"/>
  <c r="I1382" i="4" a="1"/>
  <c r="I1382" i="4" s="1"/>
  <c r="I1383" i="4" a="1"/>
  <c r="I1383" i="4" s="1"/>
  <c r="J1383" i="4" s="1"/>
  <c r="I1384" i="4" a="1"/>
  <c r="I1384" i="4" s="1"/>
  <c r="J1384" i="4" s="1"/>
  <c r="I1385" i="4" a="1"/>
  <c r="I1385" i="4" s="1"/>
  <c r="I1386" i="4" a="1"/>
  <c r="I1386" i="4" s="1"/>
  <c r="I1387" i="4" a="1"/>
  <c r="I1387" i="4"/>
  <c r="I1388" i="4" a="1"/>
  <c r="I1388" i="4" s="1"/>
  <c r="I1389" i="4" a="1"/>
  <c r="I1389" i="4" s="1"/>
  <c r="J1389" i="4" s="1"/>
  <c r="I1390" i="4" a="1"/>
  <c r="I1390" i="4" s="1"/>
  <c r="I1391" i="4" a="1"/>
  <c r="I1391" i="4" s="1"/>
  <c r="J1391" i="4" s="1"/>
  <c r="I1392" i="4" a="1"/>
  <c r="I1392" i="4" s="1"/>
  <c r="I1393" i="4" a="1"/>
  <c r="I1393" i="4" s="1"/>
  <c r="I1394" i="4" a="1"/>
  <c r="I1394" i="4" s="1"/>
  <c r="J1394" i="4" s="1"/>
  <c r="I1395" i="4" a="1"/>
  <c r="I1395" i="4" s="1"/>
  <c r="J1395" i="4" s="1"/>
  <c r="I1396" i="4" a="1"/>
  <c r="I1396" i="4" s="1"/>
  <c r="I1397" i="4" a="1"/>
  <c r="I1397" i="4" s="1"/>
  <c r="J1397" i="4" s="1"/>
  <c r="I1398" i="4" a="1"/>
  <c r="I1398" i="4" s="1"/>
  <c r="J1398" i="4" s="1"/>
  <c r="I1399" i="4" a="1"/>
  <c r="I1399" i="4" s="1"/>
  <c r="J1399" i="4" s="1"/>
  <c r="I1400" i="4" a="1"/>
  <c r="I1400" i="4" s="1"/>
  <c r="I1401" i="4" a="1"/>
  <c r="I1401" i="4" s="1"/>
  <c r="I1402" i="4" a="1"/>
  <c r="I1402" i="4" s="1"/>
  <c r="I1403" i="4" a="1"/>
  <c r="I1403" i="4" s="1"/>
  <c r="J1403" i="4" s="1"/>
  <c r="I1404" i="4" a="1"/>
  <c r="I1404" i="4" s="1"/>
  <c r="I1405" i="4" a="1"/>
  <c r="I1405" i="4" s="1"/>
  <c r="J1405" i="4" s="1"/>
  <c r="I1406" i="4" a="1"/>
  <c r="I1406" i="4" s="1"/>
  <c r="I1407" i="4" a="1"/>
  <c r="I1407" i="4"/>
  <c r="I1408" i="4" a="1"/>
  <c r="I1408" i="4" s="1"/>
  <c r="I1409" i="4" a="1"/>
  <c r="I1409" i="4" s="1"/>
  <c r="I1410" i="4" a="1"/>
  <c r="I1410" i="4" s="1"/>
  <c r="J1410" i="4" s="1"/>
  <c r="I1411" i="4" a="1"/>
  <c r="I1411" i="4" s="1"/>
  <c r="J1411" i="4" s="1"/>
  <c r="I1412" i="4" a="1"/>
  <c r="I1412" i="4" s="1"/>
  <c r="I1413" i="4" a="1"/>
  <c r="I1413" i="4"/>
  <c r="I1414" i="4" a="1"/>
  <c r="I1414" i="4" s="1"/>
  <c r="I1415" i="4" a="1"/>
  <c r="I1415" i="4" s="1"/>
  <c r="J1415" i="4" s="1"/>
  <c r="I1416" i="4" a="1"/>
  <c r="I1416" i="4" s="1"/>
  <c r="J1416" i="4" s="1"/>
  <c r="I1417" i="4" a="1"/>
  <c r="I1417" i="4" s="1"/>
  <c r="J1417" i="4" s="1"/>
  <c r="I1418" i="4" a="1"/>
  <c r="I1418" i="4" s="1"/>
  <c r="I1419" i="4" a="1"/>
  <c r="I1419" i="4"/>
  <c r="I1420" i="4" a="1"/>
  <c r="I1420" i="4" s="1"/>
  <c r="I1421" i="4" a="1"/>
  <c r="I1421" i="4" s="1"/>
  <c r="J1421" i="4" s="1"/>
  <c r="I1422" i="4" a="1"/>
  <c r="I1422" i="4" s="1"/>
  <c r="I1423" i="4" a="1"/>
  <c r="I1423" i="4" s="1"/>
  <c r="J1423" i="4" s="1"/>
  <c r="I1424" i="4" a="1"/>
  <c r="I1424" i="4" s="1"/>
  <c r="I1425" i="4" a="1"/>
  <c r="I1425" i="4"/>
  <c r="I1426" i="4" a="1"/>
  <c r="I1426" i="4" s="1"/>
  <c r="J1426" i="4" s="1"/>
  <c r="I1427" i="4" a="1"/>
  <c r="I1427" i="4" s="1"/>
  <c r="J1427" i="4" s="1"/>
  <c r="I1428" i="4" a="1"/>
  <c r="I1428" i="4" s="1"/>
  <c r="I1429" i="4" a="1"/>
  <c r="I1429" i="4" s="1"/>
  <c r="J1429" i="4" s="1"/>
  <c r="I1430" i="4" a="1"/>
  <c r="I1430" i="4" s="1"/>
  <c r="I1431" i="4" a="1"/>
  <c r="I1431" i="4"/>
  <c r="I1432" i="4" a="1"/>
  <c r="I1432" i="4" s="1"/>
  <c r="I1433" i="4" a="1"/>
  <c r="I1433" i="4" s="1"/>
  <c r="I1434" i="4" a="1"/>
  <c r="I1434" i="4" s="1"/>
  <c r="I1435" i="4" a="1"/>
  <c r="I1435" i="4" s="1"/>
  <c r="J1435" i="4" s="1"/>
  <c r="I1436" i="4" a="1"/>
  <c r="I1436" i="4" s="1"/>
  <c r="I1437" i="4" a="1"/>
  <c r="I1437" i="4" s="1"/>
  <c r="J1437" i="4" s="1"/>
  <c r="I1438" i="4" a="1"/>
  <c r="I1438" i="4" s="1"/>
  <c r="I1439" i="4" a="1"/>
  <c r="I1439" i="4" s="1"/>
  <c r="J1439" i="4" s="1"/>
  <c r="I1440" i="4" a="1"/>
  <c r="I1440" i="4" s="1"/>
  <c r="I1441" i="4" a="1"/>
  <c r="I1441" i="4" s="1"/>
  <c r="I1442" i="4" a="1"/>
  <c r="I1442" i="4" s="1"/>
  <c r="I1443" i="4" a="1"/>
  <c r="I1443" i="4" s="1"/>
  <c r="J1443" i="4" s="1"/>
  <c r="I1444" i="4" a="1"/>
  <c r="I1444" i="4" s="1"/>
  <c r="I1445" i="4" a="1"/>
  <c r="I1445" i="4" s="1"/>
  <c r="J1445" i="4" s="1"/>
  <c r="I1446" i="4" a="1"/>
  <c r="I1446" i="4" s="1"/>
  <c r="J1446" i="4" s="1"/>
  <c r="I1447" i="4" a="1"/>
  <c r="I1447" i="4" s="1"/>
  <c r="J1447" i="4" s="1"/>
  <c r="I1448" i="4" a="1"/>
  <c r="I1448" i="4" s="1"/>
  <c r="I1449" i="4" a="1"/>
  <c r="I1449" i="4" s="1"/>
  <c r="I1450" i="4" a="1"/>
  <c r="I1450" i="4" s="1"/>
  <c r="J1450" i="4" s="1"/>
  <c r="I1451" i="4" a="1"/>
  <c r="I1451" i="4" s="1"/>
  <c r="J1451" i="4" s="1"/>
  <c r="I1452" i="4" a="1"/>
  <c r="I1452" i="4" s="1"/>
  <c r="I1453" i="4" a="1"/>
  <c r="I1453" i="4" s="1"/>
  <c r="J1453" i="4" s="1"/>
  <c r="I1454" i="4" a="1"/>
  <c r="I1454" i="4" s="1"/>
  <c r="I1455" i="4" a="1"/>
  <c r="I1455" i="4" s="1"/>
  <c r="J1455" i="4" s="1"/>
  <c r="I1456" i="4" a="1"/>
  <c r="I1456" i="4" s="1"/>
  <c r="I1457" i="4" a="1"/>
  <c r="I1457" i="4" s="1"/>
  <c r="I1458" i="4" a="1"/>
  <c r="I1458" i="4" s="1"/>
  <c r="J1458" i="4" s="1"/>
  <c r="I1459" i="4" a="1"/>
  <c r="I1459" i="4" s="1"/>
  <c r="J1459" i="4" s="1"/>
  <c r="I1460" i="4" a="1"/>
  <c r="I1460" i="4" s="1"/>
  <c r="I1461" i="4" a="1"/>
  <c r="I1461" i="4" s="1"/>
  <c r="J1461" i="4" s="1"/>
  <c r="I1462" i="4" a="1"/>
  <c r="I1462" i="4" s="1"/>
  <c r="J1462" i="4" s="1"/>
  <c r="I1463" i="4" a="1"/>
  <c r="I1463" i="4" s="1"/>
  <c r="J1463" i="4" s="1"/>
  <c r="I1464" i="4" a="1"/>
  <c r="I1464" i="4" s="1"/>
  <c r="J1464" i="4" s="1"/>
  <c r="I1465" i="4" a="1"/>
  <c r="I1465" i="4" s="1"/>
  <c r="I1466" i="4" a="1"/>
  <c r="I1466" i="4" s="1"/>
  <c r="I1467" i="4" a="1"/>
  <c r="I1467" i="4" s="1"/>
  <c r="J1467" i="4" s="1"/>
  <c r="I1468" i="4" a="1"/>
  <c r="I1468" i="4" s="1"/>
  <c r="I1469" i="4" a="1"/>
  <c r="I1469" i="4" s="1"/>
  <c r="I1470" i="4" a="1"/>
  <c r="I1470" i="4" s="1"/>
  <c r="I1471" i="4" a="1"/>
  <c r="I1471" i="4" s="1"/>
  <c r="J1471" i="4" s="1"/>
  <c r="I1472" i="4" a="1"/>
  <c r="I1472" i="4" s="1"/>
  <c r="I1473" i="4" a="1"/>
  <c r="I1473" i="4" s="1"/>
  <c r="J1473" i="4" s="1"/>
  <c r="I1474" i="4" a="1"/>
  <c r="I1474" i="4" s="1"/>
  <c r="J1474" i="4" s="1"/>
  <c r="I1475" i="4" a="1"/>
  <c r="I1475" i="4" s="1"/>
  <c r="J1475" i="4" s="1"/>
  <c r="I1476" i="4" a="1"/>
  <c r="I1476" i="4" s="1"/>
  <c r="I1477" i="4" a="1"/>
  <c r="I1477" i="4" s="1"/>
  <c r="I1478" i="4" a="1"/>
  <c r="I1478" i="4" s="1"/>
  <c r="I1479" i="4" a="1"/>
  <c r="I1479" i="4"/>
  <c r="J1479" i="4" s="1"/>
  <c r="I1480" i="4" a="1"/>
  <c r="I1480" i="4" s="1"/>
  <c r="I1481" i="4" a="1"/>
  <c r="I1481" i="4" s="1"/>
  <c r="I1482" i="4" a="1"/>
  <c r="I1482" i="4" s="1"/>
  <c r="J1482" i="4" s="1"/>
  <c r="I1483" i="4" a="1"/>
  <c r="I1483" i="4" s="1"/>
  <c r="J1483" i="4" s="1"/>
  <c r="I1484" i="4" a="1"/>
  <c r="I1484" i="4" s="1"/>
  <c r="I1485" i="4" a="1"/>
  <c r="I1485" i="4" s="1"/>
  <c r="I1486" i="4" a="1"/>
  <c r="I1486" i="4" s="1"/>
  <c r="I1487" i="4" a="1"/>
  <c r="I1487" i="4" s="1"/>
  <c r="J1487" i="4" s="1"/>
  <c r="I1488" i="4" a="1"/>
  <c r="I1488" i="4" s="1"/>
  <c r="J1488" i="4" s="1"/>
  <c r="I1489" i="4" a="1"/>
  <c r="I1489" i="4" s="1"/>
  <c r="I1490" i="4" a="1"/>
  <c r="I1490" i="4" s="1"/>
  <c r="J1490" i="4" s="1"/>
  <c r="I1491" i="4" a="1"/>
  <c r="I1491" i="4"/>
  <c r="J1491" i="4" s="1"/>
  <c r="I1492" i="4" a="1"/>
  <c r="I1492" i="4" s="1"/>
  <c r="I1493" i="4" a="1"/>
  <c r="I1493" i="4"/>
  <c r="I1494" i="4" a="1"/>
  <c r="I1494" i="4" s="1"/>
  <c r="I1495" i="4" a="1"/>
  <c r="I1495" i="4" s="1"/>
  <c r="J1495" i="4" s="1"/>
  <c r="I1496" i="4" a="1"/>
  <c r="I1496" i="4" s="1"/>
  <c r="I1497" i="4" a="1"/>
  <c r="I1497" i="4" s="1"/>
  <c r="I1498" i="4" a="1"/>
  <c r="I1498" i="4" s="1"/>
  <c r="J1498" i="4" s="1"/>
  <c r="I1499" i="4" a="1"/>
  <c r="I1499" i="4"/>
  <c r="J1499" i="4" s="1"/>
  <c r="I1500" i="4" a="1"/>
  <c r="I1500" i="4" s="1"/>
  <c r="I1501" i="4" a="1"/>
  <c r="I1501" i="4" s="1"/>
  <c r="I1502" i="4" a="1"/>
  <c r="I1502" i="4" s="1"/>
  <c r="I1503" i="4" a="1"/>
  <c r="I1503" i="4"/>
  <c r="I1504" i="4" a="1"/>
  <c r="I1504" i="4" s="1"/>
  <c r="J1504" i="4" s="1"/>
  <c r="I1505" i="4" a="1"/>
  <c r="I1505" i="4" s="1"/>
  <c r="J1505" i="4" s="1"/>
  <c r="I1506" i="4" a="1"/>
  <c r="I1506" i="4" s="1"/>
  <c r="J1506" i="4" s="1"/>
  <c r="I1507" i="4" a="1"/>
  <c r="I1507" i="4" s="1"/>
  <c r="J1507" i="4" s="1"/>
  <c r="I1508" i="4" a="1"/>
  <c r="I1508" i="4" s="1"/>
  <c r="I1509" i="4" a="1"/>
  <c r="I1509" i="4"/>
  <c r="I1510" i="4" a="1"/>
  <c r="I1510" i="4" s="1"/>
  <c r="I1511" i="4" a="1"/>
  <c r="I1511" i="4"/>
  <c r="L13" i="3"/>
  <c r="K13" i="3"/>
  <c r="J13" i="3"/>
  <c r="I13" i="3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7" i="2"/>
  <c r="D7" i="2"/>
  <c r="E7" i="2"/>
  <c r="F7" i="2"/>
  <c r="G7" i="2"/>
  <c r="E11" i="2"/>
  <c r="D10" i="2"/>
  <c r="D8" i="2"/>
  <c r="J1503" i="4"/>
  <c r="J1502" i="4"/>
  <c r="J1496" i="4"/>
  <c r="J1494" i="4"/>
  <c r="J1486" i="4"/>
  <c r="J1480" i="4"/>
  <c r="J1478" i="4"/>
  <c r="J1472" i="4"/>
  <c r="J1470" i="4"/>
  <c r="J1466" i="4"/>
  <c r="J1456" i="4"/>
  <c r="J1454" i="4"/>
  <c r="J1448" i="4"/>
  <c r="J1442" i="4"/>
  <c r="J1440" i="4"/>
  <c r="J1438" i="4"/>
  <c r="J1434" i="4"/>
  <c r="J1432" i="4"/>
  <c r="J1431" i="4"/>
  <c r="J1430" i="4"/>
  <c r="J1424" i="4"/>
  <c r="J1422" i="4"/>
  <c r="J1419" i="4"/>
  <c r="J1418" i="4"/>
  <c r="J1414" i="4"/>
  <c r="J1413" i="4"/>
  <c r="J1408" i="4"/>
  <c r="J1407" i="4"/>
  <c r="J1406" i="4"/>
  <c r="J1402" i="4"/>
  <c r="J1400" i="4"/>
  <c r="J1392" i="4"/>
  <c r="J1390" i="4"/>
  <c r="J1386" i="4"/>
  <c r="J1382" i="4"/>
  <c r="J1376" i="4"/>
  <c r="J1375" i="4"/>
  <c r="J1374" i="4"/>
  <c r="J1370" i="4"/>
  <c r="J1368" i="4"/>
  <c r="J1366" i="4"/>
  <c r="J1358" i="4"/>
  <c r="J1352" i="4"/>
  <c r="J1350" i="4"/>
  <c r="J1344" i="4"/>
  <c r="J1343" i="4"/>
  <c r="J1342" i="4"/>
  <c r="J1339" i="4"/>
  <c r="J1338" i="4"/>
  <c r="J1336" i="4"/>
  <c r="J1328" i="4"/>
  <c r="J1326" i="4"/>
  <c r="J1322" i="4"/>
  <c r="J1320" i="4"/>
  <c r="J1312" i="4"/>
  <c r="J1310" i="4"/>
  <c r="J1306" i="4"/>
  <c r="J1302" i="4"/>
  <c r="J1296" i="4"/>
  <c r="J1290" i="4"/>
  <c r="J1288" i="4"/>
  <c r="J1287" i="4"/>
  <c r="J1286" i="4"/>
  <c r="J1280" i="4"/>
  <c r="J1278" i="4"/>
  <c r="J1274" i="4"/>
  <c r="J1272" i="4"/>
  <c r="J1270" i="4"/>
  <c r="J1266" i="4"/>
  <c r="J1264" i="4"/>
  <c r="J1262" i="4"/>
  <c r="J1258" i="4"/>
  <c r="J1256" i="4"/>
  <c r="J1248" i="4"/>
  <c r="J1246" i="4"/>
  <c r="J1242" i="4"/>
  <c r="J1238" i="4"/>
  <c r="J1232" i="4"/>
  <c r="J1224" i="4"/>
  <c r="J1222" i="4"/>
  <c r="J1216" i="4"/>
  <c r="J1214" i="4"/>
  <c r="J1208" i="4"/>
  <c r="J1204" i="4"/>
  <c r="J1202" i="4"/>
  <c r="J1200" i="4"/>
  <c r="J1196" i="4"/>
  <c r="J1190" i="4"/>
  <c r="J1188" i="4"/>
  <c r="J1184" i="4"/>
  <c r="J1180" i="4"/>
  <c r="J1176" i="4"/>
  <c r="J1174" i="4"/>
  <c r="J1168" i="4"/>
  <c r="J1166" i="4"/>
  <c r="J1160" i="4"/>
  <c r="J1157" i="4"/>
  <c r="J1152" i="4"/>
  <c r="J1150" i="4"/>
  <c r="J1142" i="4"/>
  <c r="J1136" i="4"/>
  <c r="J1134" i="4"/>
  <c r="J1130" i="4"/>
  <c r="J1128" i="4"/>
  <c r="J1126" i="4"/>
  <c r="J1120" i="4"/>
  <c r="J1118" i="4"/>
  <c r="J1114" i="4"/>
  <c r="J1112" i="4"/>
  <c r="J1110" i="4"/>
  <c r="J1106" i="4"/>
  <c r="J1104" i="4"/>
  <c r="J1102" i="4"/>
  <c r="J1098" i="4"/>
  <c r="J1096" i="4"/>
  <c r="J1094" i="4"/>
  <c r="J1088" i="4"/>
  <c r="J1086" i="4"/>
  <c r="J1082" i="4"/>
  <c r="J1080" i="4"/>
  <c r="J1078" i="4"/>
  <c r="J1072" i="4"/>
  <c r="J1066" i="4"/>
  <c r="J1062" i="4"/>
  <c r="J1054" i="4"/>
  <c r="J1050" i="4"/>
  <c r="J1046" i="4"/>
  <c r="J1038" i="4"/>
  <c r="J1034" i="4"/>
  <c r="J1024" i="4"/>
  <c r="J1018" i="4"/>
  <c r="J1016" i="4"/>
  <c r="J1012" i="4"/>
  <c r="J1008" i="4"/>
  <c r="J1004" i="4"/>
  <c r="J1002" i="4"/>
  <c r="J996" i="4"/>
  <c r="J992" i="4"/>
  <c r="J988" i="4"/>
  <c r="J985" i="4"/>
  <c r="J984" i="4"/>
  <c r="J980" i="4"/>
  <c r="J976" i="4"/>
  <c r="J972" i="4"/>
  <c r="J970" i="4"/>
  <c r="J968" i="4"/>
  <c r="J964" i="4"/>
  <c r="J960" i="4"/>
  <c r="J954" i="4"/>
  <c r="J953" i="4"/>
  <c r="J952" i="4"/>
  <c r="J948" i="4"/>
  <c r="J946" i="4"/>
  <c r="J944" i="4"/>
  <c r="J938" i="4"/>
  <c r="J937" i="4"/>
  <c r="J936" i="4"/>
  <c r="J933" i="4"/>
  <c r="J932" i="4"/>
  <c r="J931" i="4"/>
  <c r="J930" i="4"/>
  <c r="J924" i="4"/>
  <c r="J922" i="4"/>
  <c r="J920" i="4"/>
  <c r="J917" i="4"/>
  <c r="J916" i="4"/>
  <c r="J912" i="4"/>
  <c r="J906" i="4"/>
  <c r="J905" i="4"/>
  <c r="J904" i="4"/>
  <c r="J901" i="4"/>
  <c r="J900" i="4"/>
  <c r="J898" i="4"/>
  <c r="J896" i="4"/>
  <c r="J892" i="4"/>
  <c r="J891" i="4"/>
  <c r="J888" i="4"/>
  <c r="J887" i="4"/>
  <c r="J885" i="4"/>
  <c r="J884" i="4"/>
  <c r="J882" i="4"/>
  <c r="J880" i="4"/>
  <c r="J879" i="4"/>
  <c r="J876" i="4"/>
  <c r="J875" i="4"/>
  <c r="J874" i="4"/>
  <c r="J873" i="4"/>
  <c r="J872" i="4"/>
  <c r="J868" i="4"/>
  <c r="J867" i="4"/>
  <c r="J866" i="4"/>
  <c r="J864" i="4"/>
  <c r="J860" i="4"/>
  <c r="J859" i="4"/>
  <c r="J858" i="4"/>
  <c r="J856" i="4"/>
  <c r="J855" i="4"/>
  <c r="J853" i="4"/>
  <c r="J852" i="4"/>
  <c r="J847" i="4"/>
  <c r="J842" i="4"/>
  <c r="J839" i="4"/>
  <c r="J837" i="4"/>
  <c r="J834" i="4"/>
  <c r="J833" i="4"/>
  <c r="J832" i="4"/>
  <c r="J830" i="4"/>
  <c r="J826" i="4"/>
  <c r="J822" i="4"/>
  <c r="J818" i="4"/>
  <c r="J816" i="4"/>
  <c r="J814" i="4"/>
  <c r="J808" i="4"/>
  <c r="J806" i="4"/>
  <c r="J802" i="4"/>
  <c r="J800" i="4"/>
  <c r="J794" i="4"/>
  <c r="J792" i="4"/>
  <c r="J790" i="4"/>
  <c r="J788" i="4"/>
  <c r="J786" i="4"/>
  <c r="J784" i="4"/>
  <c r="J782" i="4"/>
  <c r="J777" i="4"/>
  <c r="J776" i="4"/>
  <c r="J774" i="4"/>
  <c r="J770" i="4"/>
  <c r="J768" i="4"/>
  <c r="J762" i="4"/>
  <c r="J760" i="4"/>
  <c r="J758" i="4"/>
  <c r="J754" i="4"/>
  <c r="J752" i="4"/>
  <c r="J750" i="4"/>
  <c r="J745" i="4"/>
  <c r="J744" i="4"/>
  <c r="J742" i="4"/>
  <c r="J738" i="4"/>
  <c r="J736" i="4"/>
  <c r="J734" i="4"/>
  <c r="J730" i="4"/>
  <c r="J729" i="4"/>
  <c r="J728" i="4"/>
  <c r="J724" i="4"/>
  <c r="J722" i="4"/>
  <c r="J721" i="4"/>
  <c r="J720" i="4"/>
  <c r="J719" i="4"/>
  <c r="J716" i="4"/>
  <c r="J714" i="4"/>
  <c r="J712" i="4"/>
  <c r="J710" i="4"/>
  <c r="J708" i="4"/>
  <c r="J706" i="4"/>
  <c r="J705" i="4"/>
  <c r="J704" i="4"/>
  <c r="J702" i="4"/>
  <c r="J700" i="4"/>
  <c r="J698" i="4"/>
  <c r="J696" i="4"/>
  <c r="J695" i="4"/>
  <c r="J694" i="4"/>
  <c r="J692" i="4"/>
  <c r="J690" i="4"/>
  <c r="J688" i="4"/>
  <c r="J687" i="4"/>
  <c r="J686" i="4"/>
  <c r="J685" i="4"/>
  <c r="J684" i="4"/>
  <c r="J680" i="4"/>
  <c r="J679" i="4"/>
  <c r="J678" i="4"/>
  <c r="J677" i="4"/>
  <c r="J675" i="4"/>
  <c r="J674" i="4"/>
  <c r="J672" i="4"/>
  <c r="J667" i="4"/>
  <c r="J666" i="4"/>
  <c r="J665" i="4"/>
  <c r="J664" i="4"/>
  <c r="J663" i="4"/>
  <c r="J661" i="4"/>
  <c r="J659" i="4"/>
  <c r="J658" i="4"/>
  <c r="J656" i="4"/>
  <c r="J655" i="4"/>
  <c r="J654" i="4"/>
  <c r="J653" i="4"/>
  <c r="J652" i="4"/>
  <c r="J651" i="4"/>
  <c r="J650" i="4"/>
  <c r="J648" i="4"/>
  <c r="J647" i="4"/>
  <c r="J645" i="4"/>
  <c r="J643" i="4"/>
  <c r="J642" i="4"/>
  <c r="J641" i="4"/>
  <c r="J640" i="4"/>
  <c r="J638" i="4"/>
  <c r="J637" i="4"/>
  <c r="J635" i="4"/>
  <c r="J634" i="4"/>
  <c r="J633" i="4"/>
  <c r="J632" i="4"/>
  <c r="J630" i="4"/>
  <c r="J629" i="4"/>
  <c r="J628" i="4"/>
  <c r="J627" i="4"/>
  <c r="J626" i="4"/>
  <c r="J624" i="4"/>
  <c r="J622" i="4"/>
  <c r="J619" i="4"/>
  <c r="J618" i="4"/>
  <c r="J617" i="4"/>
  <c r="J614" i="4"/>
  <c r="J612" i="4"/>
  <c r="J611" i="4"/>
  <c r="J606" i="4"/>
  <c r="J604" i="4"/>
  <c r="J603" i="4"/>
  <c r="J598" i="4"/>
  <c r="J597" i="4"/>
  <c r="J596" i="4"/>
  <c r="J595" i="4"/>
  <c r="J590" i="4"/>
  <c r="J589" i="4"/>
  <c r="J588" i="4"/>
  <c r="J587" i="4"/>
  <c r="J582" i="4"/>
  <c r="J581" i="4"/>
  <c r="J580" i="4"/>
  <c r="J579" i="4"/>
  <c r="J574" i="4"/>
  <c r="J573" i="4"/>
  <c r="J572" i="4"/>
  <c r="J571" i="4"/>
  <c r="J570" i="4"/>
  <c r="J566" i="4"/>
  <c r="J565" i="4"/>
  <c r="J564" i="4"/>
  <c r="J558" i="4"/>
  <c r="J556" i="4"/>
  <c r="J555" i="4"/>
  <c r="J554" i="4"/>
  <c r="J548" i="4"/>
  <c r="J547" i="4"/>
  <c r="J545" i="4"/>
  <c r="J542" i="4"/>
  <c r="J539" i="4"/>
  <c r="J538" i="4"/>
  <c r="J534" i="4"/>
  <c r="J533" i="4"/>
  <c r="J532" i="4"/>
  <c r="J531" i="4"/>
  <c r="J526" i="4"/>
  <c r="J523" i="4"/>
  <c r="J518" i="4"/>
  <c r="J517" i="4"/>
  <c r="J516" i="4"/>
  <c r="J515" i="4"/>
  <c r="J513" i="4"/>
  <c r="J510" i="4"/>
  <c r="J506" i="4"/>
  <c r="J503" i="4"/>
  <c r="J502" i="4"/>
  <c r="J501" i="4"/>
  <c r="J500" i="4"/>
  <c r="J498" i="4"/>
  <c r="J497" i="4"/>
  <c r="J495" i="4"/>
  <c r="J494" i="4"/>
  <c r="J492" i="4"/>
  <c r="J491" i="4"/>
  <c r="J490" i="4"/>
  <c r="J489" i="4"/>
  <c r="J487" i="4"/>
  <c r="J484" i="4"/>
  <c r="J483" i="4"/>
  <c r="J481" i="4"/>
  <c r="J480" i="4"/>
  <c r="J477" i="4"/>
  <c r="J475" i="4"/>
  <c r="J473" i="4"/>
  <c r="J470" i="4"/>
  <c r="J469" i="4"/>
  <c r="J468" i="4"/>
  <c r="J467" i="4"/>
  <c r="J463" i="4"/>
  <c r="J459" i="4"/>
  <c r="J456" i="4"/>
  <c r="J455" i="4"/>
  <c r="J454" i="4"/>
  <c r="J453" i="4"/>
  <c r="J452" i="4"/>
  <c r="J451" i="4"/>
  <c r="J447" i="4"/>
  <c r="J444" i="4"/>
  <c r="J442" i="4"/>
  <c r="J439" i="4"/>
  <c r="J435" i="4"/>
  <c r="J433" i="4"/>
  <c r="J432" i="4"/>
  <c r="J431" i="4"/>
  <c r="J430" i="4"/>
  <c r="J427" i="4"/>
  <c r="J423" i="4"/>
  <c r="J421" i="4"/>
  <c r="J420" i="4"/>
  <c r="J419" i="4"/>
  <c r="J415" i="4"/>
  <c r="J412" i="4"/>
  <c r="J411" i="4"/>
  <c r="J407" i="4"/>
  <c r="J405" i="4"/>
  <c r="J403" i="4"/>
  <c r="J399" i="4"/>
  <c r="J396" i="4"/>
  <c r="J395" i="4"/>
  <c r="J388" i="4"/>
  <c r="J387" i="4"/>
  <c r="J383" i="4"/>
  <c r="J380" i="4"/>
  <c r="J379" i="4"/>
  <c r="J373" i="4"/>
  <c r="J372" i="4"/>
  <c r="J369" i="4"/>
  <c r="J366" i="4"/>
  <c r="J359" i="4"/>
  <c r="J357" i="4"/>
  <c r="J356" i="4"/>
  <c r="J355" i="4"/>
  <c r="J350" i="4"/>
  <c r="J349" i="4"/>
  <c r="J348" i="4"/>
  <c r="J347" i="4"/>
  <c r="J346" i="4"/>
  <c r="J343" i="4"/>
  <c r="J340" i="4"/>
  <c r="J339" i="4"/>
  <c r="J338" i="4"/>
  <c r="J333" i="4"/>
  <c r="J332" i="4"/>
  <c r="J327" i="4"/>
  <c r="J325" i="4"/>
  <c r="J324" i="4"/>
  <c r="J323" i="4"/>
  <c r="J322" i="4"/>
  <c r="J319" i="4"/>
  <c r="J318" i="4"/>
  <c r="J317" i="4"/>
  <c r="J316" i="4"/>
  <c r="J314" i="4"/>
  <c r="J311" i="4"/>
  <c r="J308" i="4"/>
  <c r="J307" i="4"/>
  <c r="J306" i="4"/>
  <c r="J301" i="4"/>
  <c r="J295" i="4"/>
  <c r="J294" i="4"/>
  <c r="J292" i="4"/>
  <c r="J291" i="4"/>
  <c r="J290" i="4"/>
  <c r="J289" i="4"/>
  <c r="J287" i="4"/>
  <c r="J286" i="4"/>
  <c r="J284" i="4"/>
  <c r="J282" i="4"/>
  <c r="J281" i="4"/>
  <c r="J279" i="4"/>
  <c r="J276" i="4"/>
  <c r="J275" i="4"/>
  <c r="J274" i="4"/>
  <c r="J269" i="4"/>
  <c r="J263" i="4"/>
  <c r="J262" i="4"/>
  <c r="J260" i="4"/>
  <c r="J259" i="4"/>
  <c r="J258" i="4"/>
  <c r="J257" i="4"/>
  <c r="J255" i="4"/>
  <c r="J254" i="4"/>
  <c r="J252" i="4"/>
  <c r="J251" i="4"/>
  <c r="J249" i="4"/>
  <c r="J243" i="4"/>
  <c r="J239" i="4"/>
  <c r="J237" i="4"/>
  <c r="J236" i="4"/>
  <c r="J235" i="4"/>
  <c r="J234" i="4"/>
  <c r="J233" i="4"/>
  <c r="J230" i="4"/>
  <c r="J227" i="4"/>
  <c r="J223" i="4"/>
  <c r="J222" i="4"/>
  <c r="J221" i="4"/>
  <c r="J220" i="4"/>
  <c r="J219" i="4"/>
  <c r="J217" i="4"/>
  <c r="J213" i="4"/>
  <c r="J212" i="4"/>
  <c r="J211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5" i="4"/>
  <c r="J194" i="4"/>
  <c r="J191" i="4"/>
  <c r="J190" i="4"/>
  <c r="J188" i="4"/>
  <c r="J187" i="4"/>
  <c r="J185" i="4"/>
  <c r="J184" i="4"/>
  <c r="J183" i="4"/>
  <c r="J180" i="4"/>
  <c r="J179" i="4"/>
  <c r="J178" i="4"/>
  <c r="J177" i="4"/>
  <c r="J176" i="4"/>
  <c r="J175" i="4"/>
  <c r="J172" i="4"/>
  <c r="J171" i="4"/>
  <c r="J170" i="4"/>
  <c r="J169" i="4"/>
  <c r="J168" i="4"/>
  <c r="J167" i="4"/>
  <c r="J164" i="4"/>
  <c r="J163" i="4"/>
  <c r="J162" i="4"/>
  <c r="J161" i="4"/>
  <c r="J160" i="4"/>
  <c r="J159" i="4"/>
  <c r="J156" i="4"/>
  <c r="J155" i="4"/>
  <c r="J153" i="4"/>
  <c r="J152" i="4"/>
  <c r="J151" i="4"/>
  <c r="J148" i="4"/>
  <c r="J147" i="4"/>
  <c r="J145" i="4"/>
  <c r="J144" i="4"/>
  <c r="J143" i="4"/>
  <c r="J140" i="4"/>
  <c r="J139" i="4"/>
  <c r="J138" i="4"/>
  <c r="J137" i="4"/>
  <c r="J136" i="4"/>
  <c r="J135" i="4"/>
  <c r="J132" i="4"/>
  <c r="J131" i="4"/>
  <c r="J130" i="4"/>
  <c r="J129" i="4"/>
  <c r="J128" i="4"/>
  <c r="J127" i="4"/>
  <c r="J124" i="4"/>
  <c r="J123" i="4"/>
  <c r="J121" i="4"/>
  <c r="J120" i="4"/>
  <c r="J119" i="4"/>
  <c r="J116" i="4"/>
  <c r="J115" i="4"/>
  <c r="J114" i="4"/>
  <c r="J113" i="4"/>
  <c r="J112" i="4"/>
  <c r="J111" i="4"/>
  <c r="J108" i="4"/>
  <c r="J107" i="4"/>
  <c r="J106" i="4"/>
  <c r="J105" i="4"/>
  <c r="J104" i="4"/>
  <c r="J103" i="4"/>
  <c r="J100" i="4"/>
  <c r="J99" i="4"/>
  <c r="J98" i="4"/>
  <c r="J97" i="4"/>
  <c r="J96" i="4"/>
  <c r="J95" i="4"/>
  <c r="J92" i="4"/>
  <c r="J91" i="4"/>
  <c r="J89" i="4"/>
  <c r="J88" i="4"/>
  <c r="J87" i="4"/>
  <c r="J84" i="4"/>
  <c r="J83" i="4"/>
  <c r="J81" i="4"/>
  <c r="J80" i="4"/>
  <c r="J79" i="4"/>
  <c r="J76" i="4"/>
  <c r="J75" i="4"/>
  <c r="J74" i="4"/>
  <c r="J73" i="4"/>
  <c r="J71" i="4"/>
  <c r="J68" i="4"/>
  <c r="J67" i="4"/>
  <c r="J66" i="4"/>
  <c r="J65" i="4"/>
  <c r="J64" i="4"/>
  <c r="J63" i="4"/>
  <c r="J60" i="4"/>
  <c r="J59" i="4"/>
  <c r="J57" i="4"/>
  <c r="J56" i="4"/>
  <c r="J55" i="4"/>
  <c r="J52" i="4"/>
  <c r="J51" i="4"/>
  <c r="J49" i="4"/>
  <c r="J48" i="4"/>
  <c r="J47" i="4"/>
  <c r="J44" i="4"/>
  <c r="J43" i="4"/>
  <c r="J42" i="4"/>
  <c r="J41" i="4"/>
  <c r="J40" i="4"/>
  <c r="J39" i="4"/>
  <c r="J36" i="4"/>
  <c r="J35" i="4"/>
  <c r="J34" i="4"/>
  <c r="J33" i="4"/>
  <c r="J32" i="4"/>
  <c r="J31" i="4"/>
  <c r="J29" i="4"/>
  <c r="J28" i="4"/>
  <c r="J26" i="4"/>
  <c r="J25" i="4"/>
  <c r="J24" i="4"/>
  <c r="J23" i="4"/>
  <c r="J22" i="4"/>
  <c r="J18" i="4"/>
  <c r="J17" i="4"/>
  <c r="J16" i="4"/>
  <c r="J15" i="4"/>
  <c r="J14" i="4"/>
  <c r="L1512" i="3"/>
  <c r="K1512" i="3"/>
  <c r="J1512" i="3"/>
  <c r="I1512" i="3"/>
  <c r="L1511" i="3"/>
  <c r="K1511" i="3"/>
  <c r="J1511" i="3"/>
  <c r="I1511" i="3"/>
  <c r="L1510" i="3"/>
  <c r="K1510" i="3"/>
  <c r="J1510" i="3"/>
  <c r="I1510" i="3"/>
  <c r="L1509" i="3"/>
  <c r="K1509" i="3"/>
  <c r="J1509" i="3"/>
  <c r="I1509" i="3"/>
  <c r="L1508" i="3"/>
  <c r="K1508" i="3"/>
  <c r="J1508" i="3"/>
  <c r="I1508" i="3"/>
  <c r="L1507" i="3"/>
  <c r="K1507" i="3"/>
  <c r="J1507" i="3"/>
  <c r="I1507" i="3"/>
  <c r="L1506" i="3"/>
  <c r="K1506" i="3"/>
  <c r="J1506" i="3"/>
  <c r="I1506" i="3"/>
  <c r="L1505" i="3"/>
  <c r="K1505" i="3"/>
  <c r="J1505" i="3"/>
  <c r="I1505" i="3"/>
  <c r="L1504" i="3"/>
  <c r="K1504" i="3"/>
  <c r="J1504" i="3"/>
  <c r="I1504" i="3"/>
  <c r="L1503" i="3"/>
  <c r="K1503" i="3"/>
  <c r="J1503" i="3"/>
  <c r="I1503" i="3"/>
  <c r="L1502" i="3"/>
  <c r="K1502" i="3"/>
  <c r="J1502" i="3"/>
  <c r="I1502" i="3"/>
  <c r="L1501" i="3"/>
  <c r="K1501" i="3"/>
  <c r="J1501" i="3"/>
  <c r="I1501" i="3"/>
  <c r="L1500" i="3"/>
  <c r="K1500" i="3"/>
  <c r="J1500" i="3"/>
  <c r="I1500" i="3"/>
  <c r="L1499" i="3"/>
  <c r="K1499" i="3"/>
  <c r="J1499" i="3"/>
  <c r="I1499" i="3"/>
  <c r="L1498" i="3"/>
  <c r="K1498" i="3"/>
  <c r="J1498" i="3"/>
  <c r="I1498" i="3"/>
  <c r="L1497" i="3"/>
  <c r="K1497" i="3"/>
  <c r="J1497" i="3"/>
  <c r="I1497" i="3"/>
  <c r="L1496" i="3"/>
  <c r="K1496" i="3"/>
  <c r="J1496" i="3"/>
  <c r="I1496" i="3"/>
  <c r="L1495" i="3"/>
  <c r="K1495" i="3"/>
  <c r="J1495" i="3"/>
  <c r="I1495" i="3"/>
  <c r="L1494" i="3"/>
  <c r="K1494" i="3"/>
  <c r="J1494" i="3"/>
  <c r="I1494" i="3"/>
  <c r="L1493" i="3"/>
  <c r="K1493" i="3"/>
  <c r="J1493" i="3"/>
  <c r="I1493" i="3"/>
  <c r="L1492" i="3"/>
  <c r="K1492" i="3"/>
  <c r="J1492" i="3"/>
  <c r="I1492" i="3"/>
  <c r="L1491" i="3"/>
  <c r="K1491" i="3"/>
  <c r="J1491" i="3"/>
  <c r="I1491" i="3"/>
  <c r="L1490" i="3"/>
  <c r="K1490" i="3"/>
  <c r="J1490" i="3"/>
  <c r="I1490" i="3"/>
  <c r="L1489" i="3"/>
  <c r="K1489" i="3"/>
  <c r="J1489" i="3"/>
  <c r="I1489" i="3"/>
  <c r="L1488" i="3"/>
  <c r="K1488" i="3"/>
  <c r="J1488" i="3"/>
  <c r="I1488" i="3"/>
  <c r="L1487" i="3"/>
  <c r="K1487" i="3"/>
  <c r="J1487" i="3"/>
  <c r="I1487" i="3"/>
  <c r="L1486" i="3"/>
  <c r="K1486" i="3"/>
  <c r="J1486" i="3"/>
  <c r="I1486" i="3"/>
  <c r="L1485" i="3"/>
  <c r="K1485" i="3"/>
  <c r="J1485" i="3"/>
  <c r="I1485" i="3"/>
  <c r="L1484" i="3"/>
  <c r="K1484" i="3"/>
  <c r="J1484" i="3"/>
  <c r="I1484" i="3"/>
  <c r="L1483" i="3"/>
  <c r="K1483" i="3"/>
  <c r="J1483" i="3"/>
  <c r="I1483" i="3"/>
  <c r="L1482" i="3"/>
  <c r="K1482" i="3"/>
  <c r="J1482" i="3"/>
  <c r="I1482" i="3"/>
  <c r="L1481" i="3"/>
  <c r="K1481" i="3"/>
  <c r="J1481" i="3"/>
  <c r="I1481" i="3"/>
  <c r="L1480" i="3"/>
  <c r="K1480" i="3"/>
  <c r="J1480" i="3"/>
  <c r="I1480" i="3"/>
  <c r="L1479" i="3"/>
  <c r="K1479" i="3"/>
  <c r="J1479" i="3"/>
  <c r="I1479" i="3"/>
  <c r="L1478" i="3"/>
  <c r="K1478" i="3"/>
  <c r="J1478" i="3"/>
  <c r="I1478" i="3"/>
  <c r="L1477" i="3"/>
  <c r="K1477" i="3"/>
  <c r="J1477" i="3"/>
  <c r="I1477" i="3"/>
  <c r="L1476" i="3"/>
  <c r="K1476" i="3"/>
  <c r="J1476" i="3"/>
  <c r="I1476" i="3"/>
  <c r="L1475" i="3"/>
  <c r="K1475" i="3"/>
  <c r="J1475" i="3"/>
  <c r="I1475" i="3"/>
  <c r="L1474" i="3"/>
  <c r="K1474" i="3"/>
  <c r="J1474" i="3"/>
  <c r="I1474" i="3"/>
  <c r="L1473" i="3"/>
  <c r="K1473" i="3"/>
  <c r="J1473" i="3"/>
  <c r="I1473" i="3"/>
  <c r="L1472" i="3"/>
  <c r="K1472" i="3"/>
  <c r="J1472" i="3"/>
  <c r="I1472" i="3"/>
  <c r="L1471" i="3"/>
  <c r="K1471" i="3"/>
  <c r="J1471" i="3"/>
  <c r="I1471" i="3"/>
  <c r="L1470" i="3"/>
  <c r="K1470" i="3"/>
  <c r="J1470" i="3"/>
  <c r="I1470" i="3"/>
  <c r="L1469" i="3"/>
  <c r="K1469" i="3"/>
  <c r="J1469" i="3"/>
  <c r="I1469" i="3"/>
  <c r="L1468" i="3"/>
  <c r="K1468" i="3"/>
  <c r="J1468" i="3"/>
  <c r="I1468" i="3"/>
  <c r="L1467" i="3"/>
  <c r="K1467" i="3"/>
  <c r="J1467" i="3"/>
  <c r="I1467" i="3"/>
  <c r="L1466" i="3"/>
  <c r="K1466" i="3"/>
  <c r="J1466" i="3"/>
  <c r="I1466" i="3"/>
  <c r="L1465" i="3"/>
  <c r="K1465" i="3"/>
  <c r="J1465" i="3"/>
  <c r="I1465" i="3"/>
  <c r="L1464" i="3"/>
  <c r="K1464" i="3"/>
  <c r="J1464" i="3"/>
  <c r="I1464" i="3"/>
  <c r="L1463" i="3"/>
  <c r="K1463" i="3"/>
  <c r="J1463" i="3"/>
  <c r="I1463" i="3"/>
  <c r="L1462" i="3"/>
  <c r="K1462" i="3"/>
  <c r="J1462" i="3"/>
  <c r="I1462" i="3"/>
  <c r="L1461" i="3"/>
  <c r="K1461" i="3"/>
  <c r="J1461" i="3"/>
  <c r="I1461" i="3"/>
  <c r="L1460" i="3"/>
  <c r="K1460" i="3"/>
  <c r="J1460" i="3"/>
  <c r="I1460" i="3"/>
  <c r="L1459" i="3"/>
  <c r="K1459" i="3"/>
  <c r="J1459" i="3"/>
  <c r="I1459" i="3"/>
  <c r="L1458" i="3"/>
  <c r="K1458" i="3"/>
  <c r="J1458" i="3"/>
  <c r="I1458" i="3"/>
  <c r="L1457" i="3"/>
  <c r="K1457" i="3"/>
  <c r="J1457" i="3"/>
  <c r="I1457" i="3"/>
  <c r="L1456" i="3"/>
  <c r="K1456" i="3"/>
  <c r="J1456" i="3"/>
  <c r="I1456" i="3"/>
  <c r="L1455" i="3"/>
  <c r="K1455" i="3"/>
  <c r="J1455" i="3"/>
  <c r="I1455" i="3"/>
  <c r="L1454" i="3"/>
  <c r="K1454" i="3"/>
  <c r="J1454" i="3"/>
  <c r="I1454" i="3"/>
  <c r="L1453" i="3"/>
  <c r="K1453" i="3"/>
  <c r="J1453" i="3"/>
  <c r="I1453" i="3"/>
  <c r="L1452" i="3"/>
  <c r="K1452" i="3"/>
  <c r="J1452" i="3"/>
  <c r="I1452" i="3"/>
  <c r="L1451" i="3"/>
  <c r="K1451" i="3"/>
  <c r="J1451" i="3"/>
  <c r="I1451" i="3"/>
  <c r="L1450" i="3"/>
  <c r="K1450" i="3"/>
  <c r="J1450" i="3"/>
  <c r="I1450" i="3"/>
  <c r="L1449" i="3"/>
  <c r="K1449" i="3"/>
  <c r="J1449" i="3"/>
  <c r="I1449" i="3"/>
  <c r="L1448" i="3"/>
  <c r="K1448" i="3"/>
  <c r="J1448" i="3"/>
  <c r="I1448" i="3"/>
  <c r="L1447" i="3"/>
  <c r="K1447" i="3"/>
  <c r="J1447" i="3"/>
  <c r="I1447" i="3"/>
  <c r="L1446" i="3"/>
  <c r="K1446" i="3"/>
  <c r="J1446" i="3"/>
  <c r="I1446" i="3"/>
  <c r="L1445" i="3"/>
  <c r="K1445" i="3"/>
  <c r="J1445" i="3"/>
  <c r="I1445" i="3"/>
  <c r="L1444" i="3"/>
  <c r="K1444" i="3"/>
  <c r="J1444" i="3"/>
  <c r="I1444" i="3"/>
  <c r="L1443" i="3"/>
  <c r="K1443" i="3"/>
  <c r="J1443" i="3"/>
  <c r="I1443" i="3"/>
  <c r="L1442" i="3"/>
  <c r="K1442" i="3"/>
  <c r="J1442" i="3"/>
  <c r="I1442" i="3"/>
  <c r="L1441" i="3"/>
  <c r="K1441" i="3"/>
  <c r="J1441" i="3"/>
  <c r="I1441" i="3"/>
  <c r="L1440" i="3"/>
  <c r="K1440" i="3"/>
  <c r="J1440" i="3"/>
  <c r="I1440" i="3"/>
  <c r="L1439" i="3"/>
  <c r="K1439" i="3"/>
  <c r="J1439" i="3"/>
  <c r="I1439" i="3"/>
  <c r="L1438" i="3"/>
  <c r="K1438" i="3"/>
  <c r="J1438" i="3"/>
  <c r="I1438" i="3"/>
  <c r="L1437" i="3"/>
  <c r="K1437" i="3"/>
  <c r="J1437" i="3"/>
  <c r="I1437" i="3"/>
  <c r="L1436" i="3"/>
  <c r="K1436" i="3"/>
  <c r="J1436" i="3"/>
  <c r="I1436" i="3"/>
  <c r="L1435" i="3"/>
  <c r="K1435" i="3"/>
  <c r="J1435" i="3"/>
  <c r="I1435" i="3"/>
  <c r="L1434" i="3"/>
  <c r="K1434" i="3"/>
  <c r="J1434" i="3"/>
  <c r="I1434" i="3"/>
  <c r="L1433" i="3"/>
  <c r="K1433" i="3"/>
  <c r="J1433" i="3"/>
  <c r="I1433" i="3"/>
  <c r="L1432" i="3"/>
  <c r="K1432" i="3"/>
  <c r="J1432" i="3"/>
  <c r="I1432" i="3"/>
  <c r="L1431" i="3"/>
  <c r="K1431" i="3"/>
  <c r="J1431" i="3"/>
  <c r="I1431" i="3"/>
  <c r="L1430" i="3"/>
  <c r="K1430" i="3"/>
  <c r="J1430" i="3"/>
  <c r="I1430" i="3"/>
  <c r="L1429" i="3"/>
  <c r="K1429" i="3"/>
  <c r="J1429" i="3"/>
  <c r="I1429" i="3"/>
  <c r="L1428" i="3"/>
  <c r="K1428" i="3"/>
  <c r="J1428" i="3"/>
  <c r="I1428" i="3"/>
  <c r="L1427" i="3"/>
  <c r="K1427" i="3"/>
  <c r="J1427" i="3"/>
  <c r="I1427" i="3"/>
  <c r="L1426" i="3"/>
  <c r="K1426" i="3"/>
  <c r="J1426" i="3"/>
  <c r="I1426" i="3"/>
  <c r="L1425" i="3"/>
  <c r="K1425" i="3"/>
  <c r="J1425" i="3"/>
  <c r="I1425" i="3"/>
  <c r="L1424" i="3"/>
  <c r="K1424" i="3"/>
  <c r="J1424" i="3"/>
  <c r="I1424" i="3"/>
  <c r="L1423" i="3"/>
  <c r="K1423" i="3"/>
  <c r="J1423" i="3"/>
  <c r="I1423" i="3"/>
  <c r="L1422" i="3"/>
  <c r="K1422" i="3"/>
  <c r="J1422" i="3"/>
  <c r="I1422" i="3"/>
  <c r="L1421" i="3"/>
  <c r="K1421" i="3"/>
  <c r="J1421" i="3"/>
  <c r="I1421" i="3"/>
  <c r="L1420" i="3"/>
  <c r="K1420" i="3"/>
  <c r="J1420" i="3"/>
  <c r="I1420" i="3"/>
  <c r="L1419" i="3"/>
  <c r="K1419" i="3"/>
  <c r="J1419" i="3"/>
  <c r="I1419" i="3"/>
  <c r="L1418" i="3"/>
  <c r="K1418" i="3"/>
  <c r="J1418" i="3"/>
  <c r="I1418" i="3"/>
  <c r="L1417" i="3"/>
  <c r="K1417" i="3"/>
  <c r="J1417" i="3"/>
  <c r="I1417" i="3"/>
  <c r="L1416" i="3"/>
  <c r="K1416" i="3"/>
  <c r="J1416" i="3"/>
  <c r="I1416" i="3"/>
  <c r="L1415" i="3"/>
  <c r="K1415" i="3"/>
  <c r="J1415" i="3"/>
  <c r="I1415" i="3"/>
  <c r="L1414" i="3"/>
  <c r="K1414" i="3"/>
  <c r="J1414" i="3"/>
  <c r="I1414" i="3"/>
  <c r="L1413" i="3"/>
  <c r="K1413" i="3"/>
  <c r="J1413" i="3"/>
  <c r="I1413" i="3"/>
  <c r="L1412" i="3"/>
  <c r="K1412" i="3"/>
  <c r="J1412" i="3"/>
  <c r="I1412" i="3"/>
  <c r="L1411" i="3"/>
  <c r="K1411" i="3"/>
  <c r="J1411" i="3"/>
  <c r="I1411" i="3"/>
  <c r="L1410" i="3"/>
  <c r="K1410" i="3"/>
  <c r="J1410" i="3"/>
  <c r="I1410" i="3"/>
  <c r="L1409" i="3"/>
  <c r="K1409" i="3"/>
  <c r="J1409" i="3"/>
  <c r="I1409" i="3"/>
  <c r="L1408" i="3"/>
  <c r="K1408" i="3"/>
  <c r="J1408" i="3"/>
  <c r="I1408" i="3"/>
  <c r="L1407" i="3"/>
  <c r="K1407" i="3"/>
  <c r="J1407" i="3"/>
  <c r="I1407" i="3"/>
  <c r="L1406" i="3"/>
  <c r="K1406" i="3"/>
  <c r="J1406" i="3"/>
  <c r="I1406" i="3"/>
  <c r="L1405" i="3"/>
  <c r="K1405" i="3"/>
  <c r="J1405" i="3"/>
  <c r="I1405" i="3"/>
  <c r="L1404" i="3"/>
  <c r="K1404" i="3"/>
  <c r="J1404" i="3"/>
  <c r="I1404" i="3"/>
  <c r="L1403" i="3"/>
  <c r="K1403" i="3"/>
  <c r="J1403" i="3"/>
  <c r="I1403" i="3"/>
  <c r="L1402" i="3"/>
  <c r="K1402" i="3"/>
  <c r="J1402" i="3"/>
  <c r="I1402" i="3"/>
  <c r="L1401" i="3"/>
  <c r="K1401" i="3"/>
  <c r="J1401" i="3"/>
  <c r="I1401" i="3"/>
  <c r="L1400" i="3"/>
  <c r="K1400" i="3"/>
  <c r="J1400" i="3"/>
  <c r="I1400" i="3"/>
  <c r="L1399" i="3"/>
  <c r="K1399" i="3"/>
  <c r="J1399" i="3"/>
  <c r="I1399" i="3"/>
  <c r="L1398" i="3"/>
  <c r="K1398" i="3"/>
  <c r="J1398" i="3"/>
  <c r="I1398" i="3"/>
  <c r="L1397" i="3"/>
  <c r="K1397" i="3"/>
  <c r="J1397" i="3"/>
  <c r="I1397" i="3"/>
  <c r="L1396" i="3"/>
  <c r="K1396" i="3"/>
  <c r="J1396" i="3"/>
  <c r="I1396" i="3"/>
  <c r="L1395" i="3"/>
  <c r="K1395" i="3"/>
  <c r="J1395" i="3"/>
  <c r="I1395" i="3"/>
  <c r="L1394" i="3"/>
  <c r="K1394" i="3"/>
  <c r="J1394" i="3"/>
  <c r="I1394" i="3"/>
  <c r="L1393" i="3"/>
  <c r="K1393" i="3"/>
  <c r="J1393" i="3"/>
  <c r="I1393" i="3"/>
  <c r="L1392" i="3"/>
  <c r="K1392" i="3"/>
  <c r="J1392" i="3"/>
  <c r="I1392" i="3"/>
  <c r="L1391" i="3"/>
  <c r="K1391" i="3"/>
  <c r="J1391" i="3"/>
  <c r="I1391" i="3"/>
  <c r="L1390" i="3"/>
  <c r="K1390" i="3"/>
  <c r="J1390" i="3"/>
  <c r="I1390" i="3"/>
  <c r="L1389" i="3"/>
  <c r="K1389" i="3"/>
  <c r="J1389" i="3"/>
  <c r="I1389" i="3"/>
  <c r="L1388" i="3"/>
  <c r="K1388" i="3"/>
  <c r="J1388" i="3"/>
  <c r="I1388" i="3"/>
  <c r="L1387" i="3"/>
  <c r="K1387" i="3"/>
  <c r="J1387" i="3"/>
  <c r="I1387" i="3"/>
  <c r="L1386" i="3"/>
  <c r="K1386" i="3"/>
  <c r="J1386" i="3"/>
  <c r="I1386" i="3"/>
  <c r="L1385" i="3"/>
  <c r="K1385" i="3"/>
  <c r="J1385" i="3"/>
  <c r="I1385" i="3"/>
  <c r="L1384" i="3"/>
  <c r="K1384" i="3"/>
  <c r="J1384" i="3"/>
  <c r="I1384" i="3"/>
  <c r="L1383" i="3"/>
  <c r="K1383" i="3"/>
  <c r="J1383" i="3"/>
  <c r="I1383" i="3"/>
  <c r="L1382" i="3"/>
  <c r="K1382" i="3"/>
  <c r="J1382" i="3"/>
  <c r="I1382" i="3"/>
  <c r="L1381" i="3"/>
  <c r="K1381" i="3"/>
  <c r="J1381" i="3"/>
  <c r="I1381" i="3"/>
  <c r="L1380" i="3"/>
  <c r="K1380" i="3"/>
  <c r="J1380" i="3"/>
  <c r="I1380" i="3"/>
  <c r="L1379" i="3"/>
  <c r="K1379" i="3"/>
  <c r="J1379" i="3"/>
  <c r="I1379" i="3"/>
  <c r="L1378" i="3"/>
  <c r="K1378" i="3"/>
  <c r="J1378" i="3"/>
  <c r="I1378" i="3"/>
  <c r="L1377" i="3"/>
  <c r="K1377" i="3"/>
  <c r="J1377" i="3"/>
  <c r="I1377" i="3"/>
  <c r="L1376" i="3"/>
  <c r="K1376" i="3"/>
  <c r="J1376" i="3"/>
  <c r="I1376" i="3"/>
  <c r="L1375" i="3"/>
  <c r="K1375" i="3"/>
  <c r="J1375" i="3"/>
  <c r="I1375" i="3"/>
  <c r="L1374" i="3"/>
  <c r="K1374" i="3"/>
  <c r="J1374" i="3"/>
  <c r="I1374" i="3"/>
  <c r="L1373" i="3"/>
  <c r="K1373" i="3"/>
  <c r="J1373" i="3"/>
  <c r="I1373" i="3"/>
  <c r="L1372" i="3"/>
  <c r="K1372" i="3"/>
  <c r="J1372" i="3"/>
  <c r="I1372" i="3"/>
  <c r="L1371" i="3"/>
  <c r="K1371" i="3"/>
  <c r="J1371" i="3"/>
  <c r="I1371" i="3"/>
  <c r="L1370" i="3"/>
  <c r="K1370" i="3"/>
  <c r="J1370" i="3"/>
  <c r="I1370" i="3"/>
  <c r="L1369" i="3"/>
  <c r="K1369" i="3"/>
  <c r="J1369" i="3"/>
  <c r="I1369" i="3"/>
  <c r="L1368" i="3"/>
  <c r="K1368" i="3"/>
  <c r="J1368" i="3"/>
  <c r="I1368" i="3"/>
  <c r="L1367" i="3"/>
  <c r="K1367" i="3"/>
  <c r="J1367" i="3"/>
  <c r="I1367" i="3"/>
  <c r="L1366" i="3"/>
  <c r="K1366" i="3"/>
  <c r="J1366" i="3"/>
  <c r="I1366" i="3"/>
  <c r="L1365" i="3"/>
  <c r="K1365" i="3"/>
  <c r="J1365" i="3"/>
  <c r="I1365" i="3"/>
  <c r="L1364" i="3"/>
  <c r="K1364" i="3"/>
  <c r="J1364" i="3"/>
  <c r="I1364" i="3"/>
  <c r="L1363" i="3"/>
  <c r="K1363" i="3"/>
  <c r="J1363" i="3"/>
  <c r="I1363" i="3"/>
  <c r="L1362" i="3"/>
  <c r="K1362" i="3"/>
  <c r="J1362" i="3"/>
  <c r="I1362" i="3"/>
  <c r="L1361" i="3"/>
  <c r="K1361" i="3"/>
  <c r="J1361" i="3"/>
  <c r="I1361" i="3"/>
  <c r="L1360" i="3"/>
  <c r="K1360" i="3"/>
  <c r="J1360" i="3"/>
  <c r="I1360" i="3"/>
  <c r="L1359" i="3"/>
  <c r="K1359" i="3"/>
  <c r="J1359" i="3"/>
  <c r="I1359" i="3"/>
  <c r="L1358" i="3"/>
  <c r="K1358" i="3"/>
  <c r="J1358" i="3"/>
  <c r="I1358" i="3"/>
  <c r="L1357" i="3"/>
  <c r="K1357" i="3"/>
  <c r="J1357" i="3"/>
  <c r="I1357" i="3"/>
  <c r="L1356" i="3"/>
  <c r="K1356" i="3"/>
  <c r="J1356" i="3"/>
  <c r="I1356" i="3"/>
  <c r="L1355" i="3"/>
  <c r="K1355" i="3"/>
  <c r="J1355" i="3"/>
  <c r="I1355" i="3"/>
  <c r="L1354" i="3"/>
  <c r="K1354" i="3"/>
  <c r="J1354" i="3"/>
  <c r="I1354" i="3"/>
  <c r="L1353" i="3"/>
  <c r="K1353" i="3"/>
  <c r="J1353" i="3"/>
  <c r="I1353" i="3"/>
  <c r="L1352" i="3"/>
  <c r="K1352" i="3"/>
  <c r="J1352" i="3"/>
  <c r="I1352" i="3"/>
  <c r="L1351" i="3"/>
  <c r="K1351" i="3"/>
  <c r="J1351" i="3"/>
  <c r="I1351" i="3"/>
  <c r="L1350" i="3"/>
  <c r="K1350" i="3"/>
  <c r="J1350" i="3"/>
  <c r="I1350" i="3"/>
  <c r="L1349" i="3"/>
  <c r="K1349" i="3"/>
  <c r="J1349" i="3"/>
  <c r="I1349" i="3"/>
  <c r="L1348" i="3"/>
  <c r="K1348" i="3"/>
  <c r="J1348" i="3"/>
  <c r="I1348" i="3"/>
  <c r="L1347" i="3"/>
  <c r="K1347" i="3"/>
  <c r="J1347" i="3"/>
  <c r="I1347" i="3"/>
  <c r="L1346" i="3"/>
  <c r="K1346" i="3"/>
  <c r="J1346" i="3"/>
  <c r="I1346" i="3"/>
  <c r="L1345" i="3"/>
  <c r="K1345" i="3"/>
  <c r="J1345" i="3"/>
  <c r="I1345" i="3"/>
  <c r="L1344" i="3"/>
  <c r="K1344" i="3"/>
  <c r="J1344" i="3"/>
  <c r="I1344" i="3"/>
  <c r="L1343" i="3"/>
  <c r="K1343" i="3"/>
  <c r="J1343" i="3"/>
  <c r="I1343" i="3"/>
  <c r="L1342" i="3"/>
  <c r="K1342" i="3"/>
  <c r="J1342" i="3"/>
  <c r="I1342" i="3"/>
  <c r="L1341" i="3"/>
  <c r="K1341" i="3"/>
  <c r="J1341" i="3"/>
  <c r="I1341" i="3"/>
  <c r="L1340" i="3"/>
  <c r="K1340" i="3"/>
  <c r="J1340" i="3"/>
  <c r="I1340" i="3"/>
  <c r="L1339" i="3"/>
  <c r="K1339" i="3"/>
  <c r="J1339" i="3"/>
  <c r="I1339" i="3"/>
  <c r="L1338" i="3"/>
  <c r="K1338" i="3"/>
  <c r="J1338" i="3"/>
  <c r="I1338" i="3"/>
  <c r="L1337" i="3"/>
  <c r="K1337" i="3"/>
  <c r="J1337" i="3"/>
  <c r="I1337" i="3"/>
  <c r="L1336" i="3"/>
  <c r="K1336" i="3"/>
  <c r="J1336" i="3"/>
  <c r="I1336" i="3"/>
  <c r="L1335" i="3"/>
  <c r="K1335" i="3"/>
  <c r="J1335" i="3"/>
  <c r="I1335" i="3"/>
  <c r="L1334" i="3"/>
  <c r="K1334" i="3"/>
  <c r="J1334" i="3"/>
  <c r="I1334" i="3"/>
  <c r="L1333" i="3"/>
  <c r="K1333" i="3"/>
  <c r="J1333" i="3"/>
  <c r="I1333" i="3"/>
  <c r="L1332" i="3"/>
  <c r="K1332" i="3"/>
  <c r="J1332" i="3"/>
  <c r="I1332" i="3"/>
  <c r="L1331" i="3"/>
  <c r="K1331" i="3"/>
  <c r="J1331" i="3"/>
  <c r="I1331" i="3"/>
  <c r="L1330" i="3"/>
  <c r="K1330" i="3"/>
  <c r="J1330" i="3"/>
  <c r="I1330" i="3"/>
  <c r="L1329" i="3"/>
  <c r="K1329" i="3"/>
  <c r="J1329" i="3"/>
  <c r="I1329" i="3"/>
  <c r="L1328" i="3"/>
  <c r="K1328" i="3"/>
  <c r="J1328" i="3"/>
  <c r="I1328" i="3"/>
  <c r="L1327" i="3"/>
  <c r="K1327" i="3"/>
  <c r="J1327" i="3"/>
  <c r="I1327" i="3"/>
  <c r="L1326" i="3"/>
  <c r="K1326" i="3"/>
  <c r="J1326" i="3"/>
  <c r="I1326" i="3"/>
  <c r="L1325" i="3"/>
  <c r="K1325" i="3"/>
  <c r="J1325" i="3"/>
  <c r="I1325" i="3"/>
  <c r="L1324" i="3"/>
  <c r="K1324" i="3"/>
  <c r="J1324" i="3"/>
  <c r="I1324" i="3"/>
  <c r="L1323" i="3"/>
  <c r="K1323" i="3"/>
  <c r="J1323" i="3"/>
  <c r="I1323" i="3"/>
  <c r="L1322" i="3"/>
  <c r="K1322" i="3"/>
  <c r="J1322" i="3"/>
  <c r="I1322" i="3"/>
  <c r="L1321" i="3"/>
  <c r="K1321" i="3"/>
  <c r="J1321" i="3"/>
  <c r="I1321" i="3"/>
  <c r="L1320" i="3"/>
  <c r="K1320" i="3"/>
  <c r="J1320" i="3"/>
  <c r="I1320" i="3"/>
  <c r="L1319" i="3"/>
  <c r="K1319" i="3"/>
  <c r="J1319" i="3"/>
  <c r="I1319" i="3"/>
  <c r="L1318" i="3"/>
  <c r="K1318" i="3"/>
  <c r="J1318" i="3"/>
  <c r="I1318" i="3"/>
  <c r="L1317" i="3"/>
  <c r="K1317" i="3"/>
  <c r="J1317" i="3"/>
  <c r="I1317" i="3"/>
  <c r="L1316" i="3"/>
  <c r="K1316" i="3"/>
  <c r="J1316" i="3"/>
  <c r="I1316" i="3"/>
  <c r="L1315" i="3"/>
  <c r="K1315" i="3"/>
  <c r="J1315" i="3"/>
  <c r="I1315" i="3"/>
  <c r="L1314" i="3"/>
  <c r="K1314" i="3"/>
  <c r="J1314" i="3"/>
  <c r="I1314" i="3"/>
  <c r="L1313" i="3"/>
  <c r="K1313" i="3"/>
  <c r="J1313" i="3"/>
  <c r="I1313" i="3"/>
  <c r="L1312" i="3"/>
  <c r="K1312" i="3"/>
  <c r="J1312" i="3"/>
  <c r="I1312" i="3"/>
  <c r="L1311" i="3"/>
  <c r="K1311" i="3"/>
  <c r="J1311" i="3"/>
  <c r="I1311" i="3"/>
  <c r="L1310" i="3"/>
  <c r="K1310" i="3"/>
  <c r="J1310" i="3"/>
  <c r="I1310" i="3"/>
  <c r="L1309" i="3"/>
  <c r="K1309" i="3"/>
  <c r="J1309" i="3"/>
  <c r="I1309" i="3"/>
  <c r="L1308" i="3"/>
  <c r="K1308" i="3"/>
  <c r="J1308" i="3"/>
  <c r="I1308" i="3"/>
  <c r="L1307" i="3"/>
  <c r="K1307" i="3"/>
  <c r="J1307" i="3"/>
  <c r="I1307" i="3"/>
  <c r="L1306" i="3"/>
  <c r="K1306" i="3"/>
  <c r="J1306" i="3"/>
  <c r="I1306" i="3"/>
  <c r="L1305" i="3"/>
  <c r="K1305" i="3"/>
  <c r="J1305" i="3"/>
  <c r="I1305" i="3"/>
  <c r="L1304" i="3"/>
  <c r="K1304" i="3"/>
  <c r="J1304" i="3"/>
  <c r="I1304" i="3"/>
  <c r="L1303" i="3"/>
  <c r="K1303" i="3"/>
  <c r="J1303" i="3"/>
  <c r="I1303" i="3"/>
  <c r="L1302" i="3"/>
  <c r="K1302" i="3"/>
  <c r="J1302" i="3"/>
  <c r="I1302" i="3"/>
  <c r="L1301" i="3"/>
  <c r="K1301" i="3"/>
  <c r="J1301" i="3"/>
  <c r="I1301" i="3"/>
  <c r="L1300" i="3"/>
  <c r="K1300" i="3"/>
  <c r="J1300" i="3"/>
  <c r="I1300" i="3"/>
  <c r="L1299" i="3"/>
  <c r="K1299" i="3"/>
  <c r="J1299" i="3"/>
  <c r="I1299" i="3"/>
  <c r="L1298" i="3"/>
  <c r="K1298" i="3"/>
  <c r="J1298" i="3"/>
  <c r="I1298" i="3"/>
  <c r="L1297" i="3"/>
  <c r="K1297" i="3"/>
  <c r="J1297" i="3"/>
  <c r="I1297" i="3"/>
  <c r="L1296" i="3"/>
  <c r="K1296" i="3"/>
  <c r="J1296" i="3"/>
  <c r="I1296" i="3"/>
  <c r="L1295" i="3"/>
  <c r="K1295" i="3"/>
  <c r="J1295" i="3"/>
  <c r="I1295" i="3"/>
  <c r="L1294" i="3"/>
  <c r="K1294" i="3"/>
  <c r="J1294" i="3"/>
  <c r="I1294" i="3"/>
  <c r="L1293" i="3"/>
  <c r="K1293" i="3"/>
  <c r="J1293" i="3"/>
  <c r="I1293" i="3"/>
  <c r="L1292" i="3"/>
  <c r="K1292" i="3"/>
  <c r="J1292" i="3"/>
  <c r="I1292" i="3"/>
  <c r="L1291" i="3"/>
  <c r="K1291" i="3"/>
  <c r="J1291" i="3"/>
  <c r="I1291" i="3"/>
  <c r="L1290" i="3"/>
  <c r="K1290" i="3"/>
  <c r="J1290" i="3"/>
  <c r="I1290" i="3"/>
  <c r="L1289" i="3"/>
  <c r="K1289" i="3"/>
  <c r="J1289" i="3"/>
  <c r="I1289" i="3"/>
  <c r="L1288" i="3"/>
  <c r="K1288" i="3"/>
  <c r="J1288" i="3"/>
  <c r="I1288" i="3"/>
  <c r="L1287" i="3"/>
  <c r="K1287" i="3"/>
  <c r="J1287" i="3"/>
  <c r="I1287" i="3"/>
  <c r="L1286" i="3"/>
  <c r="K1286" i="3"/>
  <c r="J1286" i="3"/>
  <c r="I1286" i="3"/>
  <c r="L1285" i="3"/>
  <c r="K1285" i="3"/>
  <c r="J1285" i="3"/>
  <c r="I1285" i="3"/>
  <c r="L1284" i="3"/>
  <c r="K1284" i="3"/>
  <c r="J1284" i="3"/>
  <c r="I1284" i="3"/>
  <c r="L1283" i="3"/>
  <c r="K1283" i="3"/>
  <c r="J1283" i="3"/>
  <c r="I1283" i="3"/>
  <c r="L1282" i="3"/>
  <c r="K1282" i="3"/>
  <c r="J1282" i="3"/>
  <c r="I1282" i="3"/>
  <c r="L1281" i="3"/>
  <c r="K1281" i="3"/>
  <c r="J1281" i="3"/>
  <c r="I1281" i="3"/>
  <c r="L1280" i="3"/>
  <c r="K1280" i="3"/>
  <c r="J1280" i="3"/>
  <c r="I1280" i="3"/>
  <c r="L1279" i="3"/>
  <c r="K1279" i="3"/>
  <c r="J1279" i="3"/>
  <c r="I1279" i="3"/>
  <c r="L1278" i="3"/>
  <c r="K1278" i="3"/>
  <c r="J1278" i="3"/>
  <c r="I1278" i="3"/>
  <c r="L1277" i="3"/>
  <c r="K1277" i="3"/>
  <c r="J1277" i="3"/>
  <c r="I1277" i="3"/>
  <c r="L1276" i="3"/>
  <c r="K1276" i="3"/>
  <c r="J1276" i="3"/>
  <c r="I1276" i="3"/>
  <c r="L1275" i="3"/>
  <c r="K1275" i="3"/>
  <c r="J1275" i="3"/>
  <c r="I1275" i="3"/>
  <c r="L1274" i="3"/>
  <c r="K1274" i="3"/>
  <c r="J1274" i="3"/>
  <c r="I1274" i="3"/>
  <c r="L1273" i="3"/>
  <c r="K1273" i="3"/>
  <c r="J1273" i="3"/>
  <c r="I1273" i="3"/>
  <c r="L1272" i="3"/>
  <c r="K1272" i="3"/>
  <c r="J1272" i="3"/>
  <c r="I1272" i="3"/>
  <c r="L1271" i="3"/>
  <c r="K1271" i="3"/>
  <c r="J1271" i="3"/>
  <c r="I1271" i="3"/>
  <c r="L1270" i="3"/>
  <c r="K1270" i="3"/>
  <c r="J1270" i="3"/>
  <c r="I1270" i="3"/>
  <c r="L1269" i="3"/>
  <c r="K1269" i="3"/>
  <c r="J1269" i="3"/>
  <c r="I1269" i="3"/>
  <c r="L1268" i="3"/>
  <c r="K1268" i="3"/>
  <c r="J1268" i="3"/>
  <c r="I1268" i="3"/>
  <c r="L1267" i="3"/>
  <c r="K1267" i="3"/>
  <c r="J1267" i="3"/>
  <c r="I1267" i="3"/>
  <c r="L1266" i="3"/>
  <c r="K1266" i="3"/>
  <c r="J1266" i="3"/>
  <c r="I1266" i="3"/>
  <c r="L1265" i="3"/>
  <c r="K1265" i="3"/>
  <c r="J1265" i="3"/>
  <c r="I1265" i="3"/>
  <c r="L1264" i="3"/>
  <c r="K1264" i="3"/>
  <c r="J1264" i="3"/>
  <c r="I1264" i="3"/>
  <c r="L1263" i="3"/>
  <c r="K1263" i="3"/>
  <c r="J1263" i="3"/>
  <c r="I1263" i="3"/>
  <c r="L1262" i="3"/>
  <c r="K1262" i="3"/>
  <c r="J1262" i="3"/>
  <c r="I1262" i="3"/>
  <c r="L1261" i="3"/>
  <c r="K1261" i="3"/>
  <c r="J1261" i="3"/>
  <c r="I1261" i="3"/>
  <c r="L1260" i="3"/>
  <c r="K1260" i="3"/>
  <c r="J1260" i="3"/>
  <c r="I1260" i="3"/>
  <c r="L1259" i="3"/>
  <c r="K1259" i="3"/>
  <c r="J1259" i="3"/>
  <c r="I1259" i="3"/>
  <c r="L1258" i="3"/>
  <c r="K1258" i="3"/>
  <c r="J1258" i="3"/>
  <c r="I1258" i="3"/>
  <c r="L1257" i="3"/>
  <c r="K1257" i="3"/>
  <c r="J1257" i="3"/>
  <c r="I1257" i="3"/>
  <c r="L1256" i="3"/>
  <c r="K1256" i="3"/>
  <c r="J1256" i="3"/>
  <c r="I1256" i="3"/>
  <c r="L1255" i="3"/>
  <c r="K1255" i="3"/>
  <c r="J1255" i="3"/>
  <c r="I1255" i="3"/>
  <c r="L1254" i="3"/>
  <c r="K1254" i="3"/>
  <c r="J1254" i="3"/>
  <c r="I1254" i="3"/>
  <c r="L1253" i="3"/>
  <c r="K1253" i="3"/>
  <c r="J1253" i="3"/>
  <c r="I1253" i="3"/>
  <c r="L1252" i="3"/>
  <c r="K1252" i="3"/>
  <c r="J1252" i="3"/>
  <c r="I1252" i="3"/>
  <c r="L1251" i="3"/>
  <c r="K1251" i="3"/>
  <c r="J1251" i="3"/>
  <c r="I1251" i="3"/>
  <c r="L1250" i="3"/>
  <c r="K1250" i="3"/>
  <c r="J1250" i="3"/>
  <c r="I1250" i="3"/>
  <c r="L1249" i="3"/>
  <c r="K1249" i="3"/>
  <c r="J1249" i="3"/>
  <c r="I1249" i="3"/>
  <c r="L1248" i="3"/>
  <c r="K1248" i="3"/>
  <c r="J1248" i="3"/>
  <c r="I1248" i="3"/>
  <c r="L1247" i="3"/>
  <c r="K1247" i="3"/>
  <c r="J1247" i="3"/>
  <c r="I1247" i="3"/>
  <c r="L1246" i="3"/>
  <c r="K1246" i="3"/>
  <c r="J1246" i="3"/>
  <c r="I1246" i="3"/>
  <c r="L1245" i="3"/>
  <c r="K1245" i="3"/>
  <c r="J1245" i="3"/>
  <c r="I1245" i="3"/>
  <c r="L1244" i="3"/>
  <c r="K1244" i="3"/>
  <c r="J1244" i="3"/>
  <c r="I1244" i="3"/>
  <c r="L1243" i="3"/>
  <c r="K1243" i="3"/>
  <c r="J1243" i="3"/>
  <c r="I1243" i="3"/>
  <c r="L1242" i="3"/>
  <c r="K1242" i="3"/>
  <c r="J1242" i="3"/>
  <c r="I1242" i="3"/>
  <c r="L1241" i="3"/>
  <c r="K1241" i="3"/>
  <c r="J1241" i="3"/>
  <c r="I1241" i="3"/>
  <c r="L1240" i="3"/>
  <c r="K1240" i="3"/>
  <c r="J1240" i="3"/>
  <c r="I1240" i="3"/>
  <c r="L1239" i="3"/>
  <c r="K1239" i="3"/>
  <c r="J1239" i="3"/>
  <c r="I1239" i="3"/>
  <c r="L1238" i="3"/>
  <c r="K1238" i="3"/>
  <c r="J1238" i="3"/>
  <c r="I1238" i="3"/>
  <c r="L1237" i="3"/>
  <c r="K1237" i="3"/>
  <c r="J1237" i="3"/>
  <c r="I1237" i="3"/>
  <c r="L1236" i="3"/>
  <c r="K1236" i="3"/>
  <c r="J1236" i="3"/>
  <c r="I1236" i="3"/>
  <c r="L1235" i="3"/>
  <c r="K1235" i="3"/>
  <c r="J1235" i="3"/>
  <c r="I1235" i="3"/>
  <c r="L1234" i="3"/>
  <c r="K1234" i="3"/>
  <c r="J1234" i="3"/>
  <c r="I1234" i="3"/>
  <c r="L1233" i="3"/>
  <c r="K1233" i="3"/>
  <c r="J1233" i="3"/>
  <c r="I1233" i="3"/>
  <c r="L1232" i="3"/>
  <c r="K1232" i="3"/>
  <c r="J1232" i="3"/>
  <c r="I1232" i="3"/>
  <c r="L1231" i="3"/>
  <c r="K1231" i="3"/>
  <c r="J1231" i="3"/>
  <c r="I1231" i="3"/>
  <c r="L1230" i="3"/>
  <c r="K1230" i="3"/>
  <c r="J1230" i="3"/>
  <c r="I1230" i="3"/>
  <c r="L1229" i="3"/>
  <c r="K1229" i="3"/>
  <c r="J1229" i="3"/>
  <c r="I1229" i="3"/>
  <c r="L1228" i="3"/>
  <c r="K1228" i="3"/>
  <c r="J1228" i="3"/>
  <c r="I1228" i="3"/>
  <c r="L1227" i="3"/>
  <c r="K1227" i="3"/>
  <c r="J1227" i="3"/>
  <c r="I1227" i="3"/>
  <c r="L1226" i="3"/>
  <c r="K1226" i="3"/>
  <c r="J1226" i="3"/>
  <c r="I1226" i="3"/>
  <c r="L1225" i="3"/>
  <c r="K1225" i="3"/>
  <c r="J1225" i="3"/>
  <c r="I1225" i="3"/>
  <c r="L1224" i="3"/>
  <c r="K1224" i="3"/>
  <c r="J1224" i="3"/>
  <c r="I1224" i="3"/>
  <c r="L1223" i="3"/>
  <c r="K1223" i="3"/>
  <c r="J1223" i="3"/>
  <c r="I1223" i="3"/>
  <c r="L1222" i="3"/>
  <c r="K1222" i="3"/>
  <c r="J1222" i="3"/>
  <c r="I1222" i="3"/>
  <c r="L1221" i="3"/>
  <c r="K1221" i="3"/>
  <c r="J1221" i="3"/>
  <c r="I1221" i="3"/>
  <c r="L1220" i="3"/>
  <c r="K1220" i="3"/>
  <c r="J1220" i="3"/>
  <c r="I1220" i="3"/>
  <c r="L1219" i="3"/>
  <c r="K1219" i="3"/>
  <c r="J1219" i="3"/>
  <c r="I1219" i="3"/>
  <c r="L1218" i="3"/>
  <c r="K1218" i="3"/>
  <c r="J1218" i="3"/>
  <c r="I1218" i="3"/>
  <c r="L1217" i="3"/>
  <c r="K1217" i="3"/>
  <c r="J1217" i="3"/>
  <c r="I1217" i="3"/>
  <c r="L1216" i="3"/>
  <c r="K1216" i="3"/>
  <c r="J1216" i="3"/>
  <c r="I1216" i="3"/>
  <c r="L1215" i="3"/>
  <c r="K1215" i="3"/>
  <c r="J1215" i="3"/>
  <c r="I1215" i="3"/>
  <c r="L1214" i="3"/>
  <c r="K1214" i="3"/>
  <c r="J1214" i="3"/>
  <c r="I1214" i="3"/>
  <c r="L1213" i="3"/>
  <c r="K1213" i="3"/>
  <c r="J1213" i="3"/>
  <c r="I1213" i="3"/>
  <c r="L1212" i="3"/>
  <c r="K1212" i="3"/>
  <c r="J1212" i="3"/>
  <c r="I1212" i="3"/>
  <c r="L1211" i="3"/>
  <c r="K1211" i="3"/>
  <c r="J1211" i="3"/>
  <c r="I1211" i="3"/>
  <c r="L1210" i="3"/>
  <c r="K1210" i="3"/>
  <c r="J1210" i="3"/>
  <c r="I1210" i="3"/>
  <c r="L1209" i="3"/>
  <c r="K1209" i="3"/>
  <c r="J1209" i="3"/>
  <c r="I1209" i="3"/>
  <c r="L1208" i="3"/>
  <c r="K1208" i="3"/>
  <c r="J1208" i="3"/>
  <c r="I1208" i="3"/>
  <c r="L1207" i="3"/>
  <c r="K1207" i="3"/>
  <c r="J1207" i="3"/>
  <c r="I1207" i="3"/>
  <c r="L1206" i="3"/>
  <c r="K1206" i="3"/>
  <c r="J1206" i="3"/>
  <c r="I1206" i="3"/>
  <c r="L1205" i="3"/>
  <c r="K1205" i="3"/>
  <c r="J1205" i="3"/>
  <c r="I1205" i="3"/>
  <c r="L1204" i="3"/>
  <c r="K1204" i="3"/>
  <c r="J1204" i="3"/>
  <c r="I1204" i="3"/>
  <c r="L1203" i="3"/>
  <c r="K1203" i="3"/>
  <c r="J1203" i="3"/>
  <c r="I1203" i="3"/>
  <c r="L1202" i="3"/>
  <c r="K1202" i="3"/>
  <c r="J1202" i="3"/>
  <c r="I1202" i="3"/>
  <c r="L1201" i="3"/>
  <c r="K1201" i="3"/>
  <c r="J1201" i="3"/>
  <c r="I1201" i="3"/>
  <c r="L1200" i="3"/>
  <c r="K1200" i="3"/>
  <c r="J1200" i="3"/>
  <c r="I1200" i="3"/>
  <c r="L1199" i="3"/>
  <c r="K1199" i="3"/>
  <c r="J1199" i="3"/>
  <c r="I1199" i="3"/>
  <c r="L1198" i="3"/>
  <c r="K1198" i="3"/>
  <c r="J1198" i="3"/>
  <c r="I1198" i="3"/>
  <c r="L1197" i="3"/>
  <c r="K1197" i="3"/>
  <c r="J1197" i="3"/>
  <c r="I1197" i="3"/>
  <c r="L1196" i="3"/>
  <c r="K1196" i="3"/>
  <c r="J1196" i="3"/>
  <c r="I1196" i="3"/>
  <c r="L1195" i="3"/>
  <c r="K1195" i="3"/>
  <c r="J1195" i="3"/>
  <c r="I1195" i="3"/>
  <c r="L1194" i="3"/>
  <c r="K1194" i="3"/>
  <c r="J1194" i="3"/>
  <c r="I1194" i="3"/>
  <c r="L1193" i="3"/>
  <c r="K1193" i="3"/>
  <c r="J1193" i="3"/>
  <c r="I1193" i="3"/>
  <c r="L1192" i="3"/>
  <c r="K1192" i="3"/>
  <c r="J1192" i="3"/>
  <c r="I1192" i="3"/>
  <c r="L1191" i="3"/>
  <c r="K1191" i="3"/>
  <c r="J1191" i="3"/>
  <c r="I1191" i="3"/>
  <c r="L1190" i="3"/>
  <c r="K1190" i="3"/>
  <c r="J1190" i="3"/>
  <c r="I1190" i="3"/>
  <c r="L1189" i="3"/>
  <c r="K1189" i="3"/>
  <c r="J1189" i="3"/>
  <c r="I1189" i="3"/>
  <c r="L1188" i="3"/>
  <c r="K1188" i="3"/>
  <c r="J1188" i="3"/>
  <c r="I1188" i="3"/>
  <c r="L1187" i="3"/>
  <c r="K1187" i="3"/>
  <c r="J1187" i="3"/>
  <c r="I1187" i="3"/>
  <c r="L1186" i="3"/>
  <c r="K1186" i="3"/>
  <c r="J1186" i="3"/>
  <c r="I1186" i="3"/>
  <c r="L1185" i="3"/>
  <c r="K1185" i="3"/>
  <c r="J1185" i="3"/>
  <c r="I1185" i="3"/>
  <c r="L1184" i="3"/>
  <c r="K1184" i="3"/>
  <c r="J1184" i="3"/>
  <c r="I1184" i="3"/>
  <c r="L1183" i="3"/>
  <c r="K1183" i="3"/>
  <c r="J1183" i="3"/>
  <c r="I1183" i="3"/>
  <c r="L1182" i="3"/>
  <c r="K1182" i="3"/>
  <c r="J1182" i="3"/>
  <c r="I1182" i="3"/>
  <c r="L1181" i="3"/>
  <c r="K1181" i="3"/>
  <c r="J1181" i="3"/>
  <c r="I1181" i="3"/>
  <c r="L1180" i="3"/>
  <c r="K1180" i="3"/>
  <c r="J1180" i="3"/>
  <c r="I1180" i="3"/>
  <c r="L1179" i="3"/>
  <c r="K1179" i="3"/>
  <c r="J1179" i="3"/>
  <c r="I1179" i="3"/>
  <c r="L1178" i="3"/>
  <c r="K1178" i="3"/>
  <c r="J1178" i="3"/>
  <c r="I1178" i="3"/>
  <c r="L1177" i="3"/>
  <c r="K1177" i="3"/>
  <c r="J1177" i="3"/>
  <c r="I1177" i="3"/>
  <c r="L1176" i="3"/>
  <c r="K1176" i="3"/>
  <c r="J1176" i="3"/>
  <c r="I1176" i="3"/>
  <c r="L1175" i="3"/>
  <c r="K1175" i="3"/>
  <c r="J1175" i="3"/>
  <c r="I1175" i="3"/>
  <c r="L1174" i="3"/>
  <c r="K1174" i="3"/>
  <c r="J1174" i="3"/>
  <c r="I1174" i="3"/>
  <c r="L1173" i="3"/>
  <c r="K1173" i="3"/>
  <c r="J1173" i="3"/>
  <c r="I1173" i="3"/>
  <c r="L1172" i="3"/>
  <c r="K1172" i="3"/>
  <c r="J1172" i="3"/>
  <c r="I1172" i="3"/>
  <c r="L1171" i="3"/>
  <c r="K1171" i="3"/>
  <c r="J1171" i="3"/>
  <c r="I1171" i="3"/>
  <c r="L1170" i="3"/>
  <c r="K1170" i="3"/>
  <c r="J1170" i="3"/>
  <c r="I1170" i="3"/>
  <c r="L1169" i="3"/>
  <c r="K1169" i="3"/>
  <c r="J1169" i="3"/>
  <c r="I1169" i="3"/>
  <c r="L1168" i="3"/>
  <c r="K1168" i="3"/>
  <c r="J1168" i="3"/>
  <c r="I1168" i="3"/>
  <c r="L1167" i="3"/>
  <c r="K1167" i="3"/>
  <c r="J1167" i="3"/>
  <c r="I1167" i="3"/>
  <c r="L1166" i="3"/>
  <c r="K1166" i="3"/>
  <c r="J1166" i="3"/>
  <c r="I1166" i="3"/>
  <c r="L1165" i="3"/>
  <c r="K1165" i="3"/>
  <c r="J1165" i="3"/>
  <c r="I1165" i="3"/>
  <c r="L1164" i="3"/>
  <c r="K1164" i="3"/>
  <c r="J1164" i="3"/>
  <c r="I1164" i="3"/>
  <c r="L1163" i="3"/>
  <c r="K1163" i="3"/>
  <c r="J1163" i="3"/>
  <c r="I1163" i="3"/>
  <c r="L1162" i="3"/>
  <c r="K1162" i="3"/>
  <c r="J1162" i="3"/>
  <c r="I1162" i="3"/>
  <c r="L1161" i="3"/>
  <c r="K1161" i="3"/>
  <c r="J1161" i="3"/>
  <c r="I1161" i="3"/>
  <c r="L1160" i="3"/>
  <c r="K1160" i="3"/>
  <c r="J1160" i="3"/>
  <c r="I1160" i="3"/>
  <c r="L1159" i="3"/>
  <c r="K1159" i="3"/>
  <c r="J1159" i="3"/>
  <c r="I1159" i="3"/>
  <c r="L1158" i="3"/>
  <c r="K1158" i="3"/>
  <c r="J1158" i="3"/>
  <c r="I1158" i="3"/>
  <c r="L1157" i="3"/>
  <c r="K1157" i="3"/>
  <c r="J1157" i="3"/>
  <c r="I1157" i="3"/>
  <c r="L1156" i="3"/>
  <c r="K1156" i="3"/>
  <c r="J1156" i="3"/>
  <c r="I1156" i="3"/>
  <c r="L1155" i="3"/>
  <c r="K1155" i="3"/>
  <c r="J1155" i="3"/>
  <c r="I1155" i="3"/>
  <c r="L1154" i="3"/>
  <c r="K1154" i="3"/>
  <c r="J1154" i="3"/>
  <c r="I1154" i="3"/>
  <c r="L1153" i="3"/>
  <c r="K1153" i="3"/>
  <c r="J1153" i="3"/>
  <c r="I1153" i="3"/>
  <c r="L1152" i="3"/>
  <c r="K1152" i="3"/>
  <c r="J1152" i="3"/>
  <c r="I1152" i="3"/>
  <c r="L1151" i="3"/>
  <c r="K1151" i="3"/>
  <c r="J1151" i="3"/>
  <c r="I1151" i="3"/>
  <c r="L1150" i="3"/>
  <c r="K1150" i="3"/>
  <c r="J1150" i="3"/>
  <c r="I1150" i="3"/>
  <c r="L1149" i="3"/>
  <c r="K1149" i="3"/>
  <c r="J1149" i="3"/>
  <c r="I1149" i="3"/>
  <c r="L1148" i="3"/>
  <c r="K1148" i="3"/>
  <c r="J1148" i="3"/>
  <c r="I1148" i="3"/>
  <c r="L1147" i="3"/>
  <c r="K1147" i="3"/>
  <c r="J1147" i="3"/>
  <c r="I1147" i="3"/>
  <c r="L1146" i="3"/>
  <c r="K1146" i="3"/>
  <c r="J1146" i="3"/>
  <c r="I1146" i="3"/>
  <c r="L1145" i="3"/>
  <c r="K1145" i="3"/>
  <c r="J1145" i="3"/>
  <c r="I1145" i="3"/>
  <c r="L1144" i="3"/>
  <c r="K1144" i="3"/>
  <c r="J1144" i="3"/>
  <c r="I1144" i="3"/>
  <c r="L1143" i="3"/>
  <c r="K1143" i="3"/>
  <c r="J1143" i="3"/>
  <c r="I1143" i="3"/>
  <c r="L1142" i="3"/>
  <c r="K1142" i="3"/>
  <c r="J1142" i="3"/>
  <c r="I1142" i="3"/>
  <c r="L1141" i="3"/>
  <c r="K1141" i="3"/>
  <c r="J1141" i="3"/>
  <c r="I1141" i="3"/>
  <c r="L1140" i="3"/>
  <c r="K1140" i="3"/>
  <c r="J1140" i="3"/>
  <c r="I1140" i="3"/>
  <c r="L1139" i="3"/>
  <c r="K1139" i="3"/>
  <c r="J1139" i="3"/>
  <c r="I1139" i="3"/>
  <c r="L1138" i="3"/>
  <c r="K1138" i="3"/>
  <c r="J1138" i="3"/>
  <c r="I1138" i="3"/>
  <c r="L1137" i="3"/>
  <c r="K1137" i="3"/>
  <c r="J1137" i="3"/>
  <c r="I1137" i="3"/>
  <c r="L1136" i="3"/>
  <c r="K1136" i="3"/>
  <c r="J1136" i="3"/>
  <c r="I1136" i="3"/>
  <c r="L1135" i="3"/>
  <c r="K1135" i="3"/>
  <c r="J1135" i="3"/>
  <c r="I1135" i="3"/>
  <c r="L1134" i="3"/>
  <c r="K1134" i="3"/>
  <c r="J1134" i="3"/>
  <c r="I1134" i="3"/>
  <c r="L1133" i="3"/>
  <c r="K1133" i="3"/>
  <c r="J1133" i="3"/>
  <c r="I1133" i="3"/>
  <c r="L1132" i="3"/>
  <c r="K1132" i="3"/>
  <c r="J1132" i="3"/>
  <c r="I1132" i="3"/>
  <c r="L1131" i="3"/>
  <c r="K1131" i="3"/>
  <c r="J1131" i="3"/>
  <c r="I1131" i="3"/>
  <c r="L1130" i="3"/>
  <c r="K1130" i="3"/>
  <c r="J1130" i="3"/>
  <c r="I1130" i="3"/>
  <c r="L1129" i="3"/>
  <c r="K1129" i="3"/>
  <c r="J1129" i="3"/>
  <c r="I1129" i="3"/>
  <c r="L1128" i="3"/>
  <c r="K1128" i="3"/>
  <c r="J1128" i="3"/>
  <c r="I1128" i="3"/>
  <c r="L1127" i="3"/>
  <c r="K1127" i="3"/>
  <c r="J1127" i="3"/>
  <c r="I1127" i="3"/>
  <c r="L1126" i="3"/>
  <c r="K1126" i="3"/>
  <c r="J1126" i="3"/>
  <c r="I1126" i="3"/>
  <c r="L1125" i="3"/>
  <c r="K1125" i="3"/>
  <c r="J1125" i="3"/>
  <c r="I1125" i="3"/>
  <c r="L1124" i="3"/>
  <c r="K1124" i="3"/>
  <c r="J1124" i="3"/>
  <c r="I1124" i="3"/>
  <c r="L1123" i="3"/>
  <c r="K1123" i="3"/>
  <c r="J1123" i="3"/>
  <c r="I1123" i="3"/>
  <c r="L1122" i="3"/>
  <c r="K1122" i="3"/>
  <c r="J1122" i="3"/>
  <c r="I1122" i="3"/>
  <c r="L1121" i="3"/>
  <c r="K1121" i="3"/>
  <c r="J1121" i="3"/>
  <c r="I1121" i="3"/>
  <c r="L1120" i="3"/>
  <c r="K1120" i="3"/>
  <c r="J1120" i="3"/>
  <c r="I1120" i="3"/>
  <c r="L1119" i="3"/>
  <c r="K1119" i="3"/>
  <c r="J1119" i="3"/>
  <c r="I1119" i="3"/>
  <c r="L1118" i="3"/>
  <c r="K1118" i="3"/>
  <c r="J1118" i="3"/>
  <c r="I1118" i="3"/>
  <c r="L1117" i="3"/>
  <c r="K1117" i="3"/>
  <c r="J1117" i="3"/>
  <c r="I1117" i="3"/>
  <c r="L1116" i="3"/>
  <c r="K1116" i="3"/>
  <c r="J1116" i="3"/>
  <c r="I1116" i="3"/>
  <c r="L1115" i="3"/>
  <c r="K1115" i="3"/>
  <c r="J1115" i="3"/>
  <c r="I1115" i="3"/>
  <c r="L1114" i="3"/>
  <c r="K1114" i="3"/>
  <c r="J1114" i="3"/>
  <c r="I1114" i="3"/>
  <c r="L1113" i="3"/>
  <c r="K1113" i="3"/>
  <c r="J1113" i="3"/>
  <c r="I1113" i="3"/>
  <c r="L1112" i="3"/>
  <c r="K1112" i="3"/>
  <c r="J1112" i="3"/>
  <c r="I1112" i="3"/>
  <c r="L1111" i="3"/>
  <c r="K1111" i="3"/>
  <c r="J1111" i="3"/>
  <c r="I1111" i="3"/>
  <c r="L1110" i="3"/>
  <c r="K1110" i="3"/>
  <c r="J1110" i="3"/>
  <c r="I1110" i="3"/>
  <c r="L1109" i="3"/>
  <c r="K1109" i="3"/>
  <c r="J1109" i="3"/>
  <c r="I1109" i="3"/>
  <c r="L1108" i="3"/>
  <c r="K1108" i="3"/>
  <c r="J1108" i="3"/>
  <c r="I1108" i="3"/>
  <c r="L1107" i="3"/>
  <c r="K1107" i="3"/>
  <c r="J1107" i="3"/>
  <c r="I1107" i="3"/>
  <c r="L1106" i="3"/>
  <c r="K1106" i="3"/>
  <c r="J1106" i="3"/>
  <c r="I1106" i="3"/>
  <c r="L1105" i="3"/>
  <c r="K1105" i="3"/>
  <c r="J1105" i="3"/>
  <c r="I1105" i="3"/>
  <c r="L1104" i="3"/>
  <c r="K1104" i="3"/>
  <c r="J1104" i="3"/>
  <c r="I1104" i="3"/>
  <c r="L1103" i="3"/>
  <c r="K1103" i="3"/>
  <c r="J1103" i="3"/>
  <c r="I1103" i="3"/>
  <c r="L1102" i="3"/>
  <c r="K1102" i="3"/>
  <c r="J1102" i="3"/>
  <c r="I1102" i="3"/>
  <c r="L1101" i="3"/>
  <c r="K1101" i="3"/>
  <c r="J1101" i="3"/>
  <c r="I1101" i="3"/>
  <c r="L1100" i="3"/>
  <c r="K1100" i="3"/>
  <c r="J1100" i="3"/>
  <c r="I1100" i="3"/>
  <c r="L1099" i="3"/>
  <c r="K1099" i="3"/>
  <c r="J1099" i="3"/>
  <c r="I1099" i="3"/>
  <c r="L1098" i="3"/>
  <c r="K1098" i="3"/>
  <c r="J1098" i="3"/>
  <c r="I1098" i="3"/>
  <c r="L1097" i="3"/>
  <c r="K1097" i="3"/>
  <c r="J1097" i="3"/>
  <c r="I1097" i="3"/>
  <c r="L1096" i="3"/>
  <c r="K1096" i="3"/>
  <c r="J1096" i="3"/>
  <c r="I1096" i="3"/>
  <c r="L1095" i="3"/>
  <c r="K1095" i="3"/>
  <c r="J1095" i="3"/>
  <c r="I1095" i="3"/>
  <c r="L1094" i="3"/>
  <c r="K1094" i="3"/>
  <c r="J1094" i="3"/>
  <c r="I1094" i="3"/>
  <c r="L1093" i="3"/>
  <c r="K1093" i="3"/>
  <c r="J1093" i="3"/>
  <c r="I1093" i="3"/>
  <c r="L1092" i="3"/>
  <c r="K1092" i="3"/>
  <c r="J1092" i="3"/>
  <c r="I1092" i="3"/>
  <c r="L1091" i="3"/>
  <c r="K1091" i="3"/>
  <c r="J1091" i="3"/>
  <c r="I1091" i="3"/>
  <c r="L1090" i="3"/>
  <c r="K1090" i="3"/>
  <c r="J1090" i="3"/>
  <c r="I1090" i="3"/>
  <c r="L1089" i="3"/>
  <c r="K1089" i="3"/>
  <c r="J1089" i="3"/>
  <c r="I1089" i="3"/>
  <c r="L1088" i="3"/>
  <c r="K1088" i="3"/>
  <c r="J1088" i="3"/>
  <c r="I1088" i="3"/>
  <c r="L1087" i="3"/>
  <c r="K1087" i="3"/>
  <c r="J1087" i="3"/>
  <c r="I1087" i="3"/>
  <c r="L1086" i="3"/>
  <c r="K1086" i="3"/>
  <c r="J1086" i="3"/>
  <c r="I1086" i="3"/>
  <c r="L1085" i="3"/>
  <c r="K1085" i="3"/>
  <c r="J1085" i="3"/>
  <c r="I1085" i="3"/>
  <c r="L1084" i="3"/>
  <c r="K1084" i="3"/>
  <c r="J1084" i="3"/>
  <c r="I1084" i="3"/>
  <c r="L1083" i="3"/>
  <c r="K1083" i="3"/>
  <c r="J1083" i="3"/>
  <c r="I1083" i="3"/>
  <c r="L1082" i="3"/>
  <c r="K1082" i="3"/>
  <c r="J1082" i="3"/>
  <c r="I1082" i="3"/>
  <c r="L1081" i="3"/>
  <c r="K1081" i="3"/>
  <c r="J1081" i="3"/>
  <c r="I1081" i="3"/>
  <c r="L1080" i="3"/>
  <c r="K1080" i="3"/>
  <c r="J1080" i="3"/>
  <c r="I1080" i="3"/>
  <c r="L1079" i="3"/>
  <c r="K1079" i="3"/>
  <c r="J1079" i="3"/>
  <c r="I1079" i="3"/>
  <c r="L1078" i="3"/>
  <c r="K1078" i="3"/>
  <c r="J1078" i="3"/>
  <c r="I1078" i="3"/>
  <c r="L1077" i="3"/>
  <c r="K1077" i="3"/>
  <c r="J1077" i="3"/>
  <c r="I1077" i="3"/>
  <c r="L1076" i="3"/>
  <c r="K1076" i="3"/>
  <c r="J1076" i="3"/>
  <c r="I1076" i="3"/>
  <c r="L1075" i="3"/>
  <c r="K1075" i="3"/>
  <c r="J1075" i="3"/>
  <c r="I1075" i="3"/>
  <c r="L1074" i="3"/>
  <c r="K1074" i="3"/>
  <c r="J1074" i="3"/>
  <c r="I1074" i="3"/>
  <c r="L1073" i="3"/>
  <c r="K1073" i="3"/>
  <c r="J1073" i="3"/>
  <c r="I1073" i="3"/>
  <c r="L1072" i="3"/>
  <c r="K1072" i="3"/>
  <c r="J1072" i="3"/>
  <c r="I1072" i="3"/>
  <c r="L1071" i="3"/>
  <c r="K1071" i="3"/>
  <c r="J1071" i="3"/>
  <c r="I1071" i="3"/>
  <c r="L1070" i="3"/>
  <c r="K1070" i="3"/>
  <c r="J1070" i="3"/>
  <c r="I1070" i="3"/>
  <c r="L1069" i="3"/>
  <c r="K1069" i="3"/>
  <c r="J1069" i="3"/>
  <c r="I1069" i="3"/>
  <c r="L1068" i="3"/>
  <c r="K1068" i="3"/>
  <c r="J1068" i="3"/>
  <c r="I1068" i="3"/>
  <c r="L1067" i="3"/>
  <c r="K1067" i="3"/>
  <c r="J1067" i="3"/>
  <c r="I1067" i="3"/>
  <c r="L1066" i="3"/>
  <c r="K1066" i="3"/>
  <c r="J1066" i="3"/>
  <c r="I1066" i="3"/>
  <c r="L1065" i="3"/>
  <c r="K1065" i="3"/>
  <c r="J1065" i="3"/>
  <c r="I1065" i="3"/>
  <c r="L1064" i="3"/>
  <c r="K1064" i="3"/>
  <c r="J1064" i="3"/>
  <c r="I1064" i="3"/>
  <c r="L1063" i="3"/>
  <c r="K1063" i="3"/>
  <c r="J1063" i="3"/>
  <c r="I1063" i="3"/>
  <c r="L1062" i="3"/>
  <c r="K1062" i="3"/>
  <c r="J1062" i="3"/>
  <c r="I1062" i="3"/>
  <c r="L1061" i="3"/>
  <c r="K1061" i="3"/>
  <c r="J1061" i="3"/>
  <c r="I1061" i="3"/>
  <c r="L1060" i="3"/>
  <c r="K1060" i="3"/>
  <c r="J1060" i="3"/>
  <c r="I1060" i="3"/>
  <c r="L1059" i="3"/>
  <c r="K1059" i="3"/>
  <c r="J1059" i="3"/>
  <c r="I1059" i="3"/>
  <c r="L1058" i="3"/>
  <c r="K1058" i="3"/>
  <c r="J1058" i="3"/>
  <c r="I1058" i="3"/>
  <c r="L1057" i="3"/>
  <c r="K1057" i="3"/>
  <c r="J1057" i="3"/>
  <c r="I1057" i="3"/>
  <c r="L1056" i="3"/>
  <c r="K1056" i="3"/>
  <c r="J1056" i="3"/>
  <c r="I1056" i="3"/>
  <c r="L1055" i="3"/>
  <c r="K1055" i="3"/>
  <c r="J1055" i="3"/>
  <c r="I1055" i="3"/>
  <c r="L1054" i="3"/>
  <c r="K1054" i="3"/>
  <c r="J1054" i="3"/>
  <c r="I1054" i="3"/>
  <c r="L1053" i="3"/>
  <c r="K1053" i="3"/>
  <c r="J1053" i="3"/>
  <c r="I1053" i="3"/>
  <c r="L1052" i="3"/>
  <c r="K1052" i="3"/>
  <c r="J1052" i="3"/>
  <c r="I1052" i="3"/>
  <c r="L1051" i="3"/>
  <c r="K1051" i="3"/>
  <c r="J1051" i="3"/>
  <c r="I1051" i="3"/>
  <c r="L1050" i="3"/>
  <c r="K1050" i="3"/>
  <c r="J1050" i="3"/>
  <c r="I1050" i="3"/>
  <c r="L1049" i="3"/>
  <c r="K1049" i="3"/>
  <c r="J1049" i="3"/>
  <c r="I1049" i="3"/>
  <c r="L1048" i="3"/>
  <c r="K1048" i="3"/>
  <c r="J1048" i="3"/>
  <c r="I1048" i="3"/>
  <c r="L1047" i="3"/>
  <c r="K1047" i="3"/>
  <c r="J1047" i="3"/>
  <c r="I1047" i="3"/>
  <c r="L1046" i="3"/>
  <c r="K1046" i="3"/>
  <c r="J1046" i="3"/>
  <c r="I1046" i="3"/>
  <c r="L1045" i="3"/>
  <c r="K1045" i="3"/>
  <c r="J1045" i="3"/>
  <c r="I1045" i="3"/>
  <c r="L1044" i="3"/>
  <c r="K1044" i="3"/>
  <c r="J1044" i="3"/>
  <c r="I1044" i="3"/>
  <c r="L1043" i="3"/>
  <c r="K1043" i="3"/>
  <c r="J1043" i="3"/>
  <c r="I1043" i="3"/>
  <c r="L1042" i="3"/>
  <c r="K1042" i="3"/>
  <c r="J1042" i="3"/>
  <c r="I1042" i="3"/>
  <c r="L1041" i="3"/>
  <c r="K1041" i="3"/>
  <c r="J1041" i="3"/>
  <c r="I1041" i="3"/>
  <c r="L1040" i="3"/>
  <c r="K1040" i="3"/>
  <c r="J1040" i="3"/>
  <c r="I1040" i="3"/>
  <c r="L1039" i="3"/>
  <c r="K1039" i="3"/>
  <c r="J1039" i="3"/>
  <c r="I1039" i="3"/>
  <c r="L1038" i="3"/>
  <c r="K1038" i="3"/>
  <c r="J1038" i="3"/>
  <c r="I1038" i="3"/>
  <c r="L1037" i="3"/>
  <c r="K1037" i="3"/>
  <c r="J1037" i="3"/>
  <c r="I1037" i="3"/>
  <c r="L1036" i="3"/>
  <c r="K1036" i="3"/>
  <c r="J1036" i="3"/>
  <c r="I1036" i="3"/>
  <c r="L1035" i="3"/>
  <c r="K1035" i="3"/>
  <c r="J1035" i="3"/>
  <c r="I1035" i="3"/>
  <c r="L1034" i="3"/>
  <c r="K1034" i="3"/>
  <c r="J1034" i="3"/>
  <c r="I1034" i="3"/>
  <c r="L1033" i="3"/>
  <c r="K1033" i="3"/>
  <c r="J1033" i="3"/>
  <c r="I1033" i="3"/>
  <c r="L1032" i="3"/>
  <c r="K1032" i="3"/>
  <c r="J1032" i="3"/>
  <c r="I1032" i="3"/>
  <c r="L1031" i="3"/>
  <c r="K1031" i="3"/>
  <c r="J1031" i="3"/>
  <c r="I1031" i="3"/>
  <c r="L1030" i="3"/>
  <c r="K1030" i="3"/>
  <c r="J1030" i="3"/>
  <c r="I1030" i="3"/>
  <c r="L1029" i="3"/>
  <c r="K1029" i="3"/>
  <c r="J1029" i="3"/>
  <c r="I1029" i="3"/>
  <c r="L1028" i="3"/>
  <c r="K1028" i="3"/>
  <c r="J1028" i="3"/>
  <c r="I1028" i="3"/>
  <c r="L1027" i="3"/>
  <c r="K1027" i="3"/>
  <c r="J1027" i="3"/>
  <c r="I1027" i="3"/>
  <c r="L1026" i="3"/>
  <c r="K1026" i="3"/>
  <c r="J1026" i="3"/>
  <c r="I1026" i="3"/>
  <c r="L1025" i="3"/>
  <c r="K1025" i="3"/>
  <c r="J1025" i="3"/>
  <c r="I1025" i="3"/>
  <c r="L1024" i="3"/>
  <c r="K1024" i="3"/>
  <c r="J1024" i="3"/>
  <c r="I1024" i="3"/>
  <c r="L1023" i="3"/>
  <c r="K1023" i="3"/>
  <c r="J1023" i="3"/>
  <c r="I1023" i="3"/>
  <c r="L1022" i="3"/>
  <c r="K1022" i="3"/>
  <c r="J1022" i="3"/>
  <c r="I1022" i="3"/>
  <c r="L1021" i="3"/>
  <c r="K1021" i="3"/>
  <c r="J1021" i="3"/>
  <c r="I1021" i="3"/>
  <c r="L1020" i="3"/>
  <c r="K1020" i="3"/>
  <c r="J1020" i="3"/>
  <c r="I1020" i="3"/>
  <c r="L1019" i="3"/>
  <c r="K1019" i="3"/>
  <c r="J1019" i="3"/>
  <c r="I1019" i="3"/>
  <c r="L1018" i="3"/>
  <c r="K1018" i="3"/>
  <c r="J1018" i="3"/>
  <c r="I1018" i="3"/>
  <c r="L1017" i="3"/>
  <c r="K1017" i="3"/>
  <c r="J1017" i="3"/>
  <c r="I1017" i="3"/>
  <c r="L1016" i="3"/>
  <c r="K1016" i="3"/>
  <c r="J1016" i="3"/>
  <c r="I1016" i="3"/>
  <c r="L1015" i="3"/>
  <c r="K1015" i="3"/>
  <c r="J1015" i="3"/>
  <c r="I1015" i="3"/>
  <c r="L1014" i="3"/>
  <c r="K1014" i="3"/>
  <c r="J1014" i="3"/>
  <c r="I1014" i="3"/>
  <c r="L1013" i="3"/>
  <c r="K1013" i="3"/>
  <c r="J1013" i="3"/>
  <c r="I1013" i="3"/>
  <c r="L1012" i="3"/>
  <c r="K1012" i="3"/>
  <c r="J1012" i="3"/>
  <c r="I1012" i="3"/>
  <c r="L1011" i="3"/>
  <c r="K1011" i="3"/>
  <c r="J1011" i="3"/>
  <c r="I1011" i="3"/>
  <c r="L1010" i="3"/>
  <c r="K1010" i="3"/>
  <c r="J1010" i="3"/>
  <c r="I1010" i="3"/>
  <c r="L1009" i="3"/>
  <c r="K1009" i="3"/>
  <c r="J1009" i="3"/>
  <c r="I1009" i="3"/>
  <c r="L1008" i="3"/>
  <c r="K1008" i="3"/>
  <c r="J1008" i="3"/>
  <c r="I1008" i="3"/>
  <c r="L1007" i="3"/>
  <c r="K1007" i="3"/>
  <c r="J1007" i="3"/>
  <c r="I1007" i="3"/>
  <c r="L1006" i="3"/>
  <c r="K1006" i="3"/>
  <c r="J1006" i="3"/>
  <c r="I1006" i="3"/>
  <c r="L1005" i="3"/>
  <c r="K1005" i="3"/>
  <c r="J1005" i="3"/>
  <c r="I1005" i="3"/>
  <c r="L1004" i="3"/>
  <c r="K1004" i="3"/>
  <c r="J1004" i="3"/>
  <c r="I1004" i="3"/>
  <c r="L1003" i="3"/>
  <c r="K1003" i="3"/>
  <c r="J1003" i="3"/>
  <c r="I1003" i="3"/>
  <c r="L1002" i="3"/>
  <c r="K1002" i="3"/>
  <c r="J1002" i="3"/>
  <c r="I1002" i="3"/>
  <c r="L1001" i="3"/>
  <c r="K1001" i="3"/>
  <c r="J1001" i="3"/>
  <c r="I1001" i="3"/>
  <c r="L1000" i="3"/>
  <c r="K1000" i="3"/>
  <c r="J1000" i="3"/>
  <c r="I1000" i="3"/>
  <c r="L999" i="3"/>
  <c r="K999" i="3"/>
  <c r="J999" i="3"/>
  <c r="I999" i="3"/>
  <c r="L998" i="3"/>
  <c r="K998" i="3"/>
  <c r="J998" i="3"/>
  <c r="I998" i="3"/>
  <c r="L997" i="3"/>
  <c r="K997" i="3"/>
  <c r="J997" i="3"/>
  <c r="I997" i="3"/>
  <c r="L996" i="3"/>
  <c r="K996" i="3"/>
  <c r="J996" i="3"/>
  <c r="I996" i="3"/>
  <c r="L995" i="3"/>
  <c r="K995" i="3"/>
  <c r="J995" i="3"/>
  <c r="I995" i="3"/>
  <c r="L994" i="3"/>
  <c r="K994" i="3"/>
  <c r="J994" i="3"/>
  <c r="I994" i="3"/>
  <c r="L993" i="3"/>
  <c r="K993" i="3"/>
  <c r="J993" i="3"/>
  <c r="I993" i="3"/>
  <c r="L992" i="3"/>
  <c r="K992" i="3"/>
  <c r="J992" i="3"/>
  <c r="I992" i="3"/>
  <c r="L991" i="3"/>
  <c r="K991" i="3"/>
  <c r="J991" i="3"/>
  <c r="I991" i="3"/>
  <c r="L990" i="3"/>
  <c r="K990" i="3"/>
  <c r="J990" i="3"/>
  <c r="I990" i="3"/>
  <c r="L989" i="3"/>
  <c r="K989" i="3"/>
  <c r="J989" i="3"/>
  <c r="I989" i="3"/>
  <c r="L988" i="3"/>
  <c r="K988" i="3"/>
  <c r="J988" i="3"/>
  <c r="I988" i="3"/>
  <c r="L987" i="3"/>
  <c r="K987" i="3"/>
  <c r="J987" i="3"/>
  <c r="I987" i="3"/>
  <c r="L986" i="3"/>
  <c r="K986" i="3"/>
  <c r="J986" i="3"/>
  <c r="I986" i="3"/>
  <c r="L985" i="3"/>
  <c r="K985" i="3"/>
  <c r="J985" i="3"/>
  <c r="I985" i="3"/>
  <c r="L984" i="3"/>
  <c r="K984" i="3"/>
  <c r="J984" i="3"/>
  <c r="I984" i="3"/>
  <c r="L983" i="3"/>
  <c r="K983" i="3"/>
  <c r="J983" i="3"/>
  <c r="I983" i="3"/>
  <c r="L982" i="3"/>
  <c r="K982" i="3"/>
  <c r="J982" i="3"/>
  <c r="I982" i="3"/>
  <c r="L981" i="3"/>
  <c r="K981" i="3"/>
  <c r="J981" i="3"/>
  <c r="I981" i="3"/>
  <c r="L980" i="3"/>
  <c r="K980" i="3"/>
  <c r="J980" i="3"/>
  <c r="I980" i="3"/>
  <c r="L979" i="3"/>
  <c r="K979" i="3"/>
  <c r="J979" i="3"/>
  <c r="I979" i="3"/>
  <c r="L978" i="3"/>
  <c r="K978" i="3"/>
  <c r="J978" i="3"/>
  <c r="I978" i="3"/>
  <c r="L977" i="3"/>
  <c r="K977" i="3"/>
  <c r="J977" i="3"/>
  <c r="I977" i="3"/>
  <c r="L976" i="3"/>
  <c r="K976" i="3"/>
  <c r="J976" i="3"/>
  <c r="I976" i="3"/>
  <c r="L975" i="3"/>
  <c r="K975" i="3"/>
  <c r="J975" i="3"/>
  <c r="I975" i="3"/>
  <c r="L974" i="3"/>
  <c r="K974" i="3"/>
  <c r="J974" i="3"/>
  <c r="I974" i="3"/>
  <c r="L973" i="3"/>
  <c r="K973" i="3"/>
  <c r="J973" i="3"/>
  <c r="I973" i="3"/>
  <c r="L972" i="3"/>
  <c r="K972" i="3"/>
  <c r="J972" i="3"/>
  <c r="I972" i="3"/>
  <c r="L971" i="3"/>
  <c r="K971" i="3"/>
  <c r="J971" i="3"/>
  <c r="I971" i="3"/>
  <c r="L970" i="3"/>
  <c r="K970" i="3"/>
  <c r="J970" i="3"/>
  <c r="I970" i="3"/>
  <c r="L969" i="3"/>
  <c r="K969" i="3"/>
  <c r="J969" i="3"/>
  <c r="I969" i="3"/>
  <c r="L968" i="3"/>
  <c r="K968" i="3"/>
  <c r="J968" i="3"/>
  <c r="I968" i="3"/>
  <c r="L967" i="3"/>
  <c r="K967" i="3"/>
  <c r="J967" i="3"/>
  <c r="I967" i="3"/>
  <c r="L966" i="3"/>
  <c r="K966" i="3"/>
  <c r="J966" i="3"/>
  <c r="I966" i="3"/>
  <c r="L965" i="3"/>
  <c r="K965" i="3"/>
  <c r="J965" i="3"/>
  <c r="I965" i="3"/>
  <c r="L964" i="3"/>
  <c r="K964" i="3"/>
  <c r="J964" i="3"/>
  <c r="I964" i="3"/>
  <c r="L963" i="3"/>
  <c r="K963" i="3"/>
  <c r="J963" i="3"/>
  <c r="I963" i="3"/>
  <c r="L962" i="3"/>
  <c r="K962" i="3"/>
  <c r="J962" i="3"/>
  <c r="I962" i="3"/>
  <c r="L961" i="3"/>
  <c r="K961" i="3"/>
  <c r="J961" i="3"/>
  <c r="I961" i="3"/>
  <c r="L960" i="3"/>
  <c r="K960" i="3"/>
  <c r="J960" i="3"/>
  <c r="I960" i="3"/>
  <c r="L959" i="3"/>
  <c r="K959" i="3"/>
  <c r="J959" i="3"/>
  <c r="I959" i="3"/>
  <c r="L958" i="3"/>
  <c r="K958" i="3"/>
  <c r="J958" i="3"/>
  <c r="I958" i="3"/>
  <c r="L957" i="3"/>
  <c r="K957" i="3"/>
  <c r="J957" i="3"/>
  <c r="I957" i="3"/>
  <c r="L956" i="3"/>
  <c r="K956" i="3"/>
  <c r="J956" i="3"/>
  <c r="I956" i="3"/>
  <c r="L955" i="3"/>
  <c r="K955" i="3"/>
  <c r="J955" i="3"/>
  <c r="I955" i="3"/>
  <c r="L954" i="3"/>
  <c r="K954" i="3"/>
  <c r="J954" i="3"/>
  <c r="I954" i="3"/>
  <c r="L953" i="3"/>
  <c r="K953" i="3"/>
  <c r="J953" i="3"/>
  <c r="I953" i="3"/>
  <c r="L952" i="3"/>
  <c r="K952" i="3"/>
  <c r="J952" i="3"/>
  <c r="I952" i="3"/>
  <c r="L951" i="3"/>
  <c r="K951" i="3"/>
  <c r="J951" i="3"/>
  <c r="I951" i="3"/>
  <c r="L950" i="3"/>
  <c r="K950" i="3"/>
  <c r="J950" i="3"/>
  <c r="I950" i="3"/>
  <c r="L949" i="3"/>
  <c r="K949" i="3"/>
  <c r="J949" i="3"/>
  <c r="I949" i="3"/>
  <c r="L948" i="3"/>
  <c r="K948" i="3"/>
  <c r="J948" i="3"/>
  <c r="I948" i="3"/>
  <c r="L947" i="3"/>
  <c r="K947" i="3"/>
  <c r="J947" i="3"/>
  <c r="I947" i="3"/>
  <c r="L946" i="3"/>
  <c r="K946" i="3"/>
  <c r="J946" i="3"/>
  <c r="I946" i="3"/>
  <c r="L945" i="3"/>
  <c r="K945" i="3"/>
  <c r="J945" i="3"/>
  <c r="I945" i="3"/>
  <c r="L944" i="3"/>
  <c r="K944" i="3"/>
  <c r="J944" i="3"/>
  <c r="I944" i="3"/>
  <c r="L943" i="3"/>
  <c r="K943" i="3"/>
  <c r="J943" i="3"/>
  <c r="I943" i="3"/>
  <c r="L942" i="3"/>
  <c r="K942" i="3"/>
  <c r="J942" i="3"/>
  <c r="I942" i="3"/>
  <c r="L941" i="3"/>
  <c r="K941" i="3"/>
  <c r="J941" i="3"/>
  <c r="I941" i="3"/>
  <c r="L940" i="3"/>
  <c r="K940" i="3"/>
  <c r="J940" i="3"/>
  <c r="I940" i="3"/>
  <c r="L939" i="3"/>
  <c r="K939" i="3"/>
  <c r="J939" i="3"/>
  <c r="I939" i="3"/>
  <c r="L938" i="3"/>
  <c r="K938" i="3"/>
  <c r="J938" i="3"/>
  <c r="I938" i="3"/>
  <c r="L937" i="3"/>
  <c r="K937" i="3"/>
  <c r="J937" i="3"/>
  <c r="I937" i="3"/>
  <c r="L936" i="3"/>
  <c r="K936" i="3"/>
  <c r="J936" i="3"/>
  <c r="I936" i="3"/>
  <c r="L935" i="3"/>
  <c r="K935" i="3"/>
  <c r="J935" i="3"/>
  <c r="I935" i="3"/>
  <c r="L934" i="3"/>
  <c r="K934" i="3"/>
  <c r="J934" i="3"/>
  <c r="I934" i="3"/>
  <c r="L933" i="3"/>
  <c r="K933" i="3"/>
  <c r="J933" i="3"/>
  <c r="I933" i="3"/>
  <c r="L932" i="3"/>
  <c r="K932" i="3"/>
  <c r="J932" i="3"/>
  <c r="I932" i="3"/>
  <c r="L931" i="3"/>
  <c r="K931" i="3"/>
  <c r="J931" i="3"/>
  <c r="I931" i="3"/>
  <c r="L930" i="3"/>
  <c r="K930" i="3"/>
  <c r="J930" i="3"/>
  <c r="I930" i="3"/>
  <c r="L929" i="3"/>
  <c r="K929" i="3"/>
  <c r="J929" i="3"/>
  <c r="I929" i="3"/>
  <c r="L928" i="3"/>
  <c r="K928" i="3"/>
  <c r="J928" i="3"/>
  <c r="I928" i="3"/>
  <c r="L927" i="3"/>
  <c r="K927" i="3"/>
  <c r="J927" i="3"/>
  <c r="I927" i="3"/>
  <c r="L926" i="3"/>
  <c r="K926" i="3"/>
  <c r="J926" i="3"/>
  <c r="I926" i="3"/>
  <c r="L925" i="3"/>
  <c r="K925" i="3"/>
  <c r="J925" i="3"/>
  <c r="I925" i="3"/>
  <c r="L924" i="3"/>
  <c r="K924" i="3"/>
  <c r="J924" i="3"/>
  <c r="I924" i="3"/>
  <c r="L923" i="3"/>
  <c r="K923" i="3"/>
  <c r="J923" i="3"/>
  <c r="I923" i="3"/>
  <c r="L922" i="3"/>
  <c r="K922" i="3"/>
  <c r="J922" i="3"/>
  <c r="I922" i="3"/>
  <c r="L921" i="3"/>
  <c r="K921" i="3"/>
  <c r="J921" i="3"/>
  <c r="I921" i="3"/>
  <c r="L920" i="3"/>
  <c r="K920" i="3"/>
  <c r="J920" i="3"/>
  <c r="I920" i="3"/>
  <c r="L919" i="3"/>
  <c r="K919" i="3"/>
  <c r="J919" i="3"/>
  <c r="I919" i="3"/>
  <c r="L918" i="3"/>
  <c r="K918" i="3"/>
  <c r="J918" i="3"/>
  <c r="I918" i="3"/>
  <c r="L917" i="3"/>
  <c r="K917" i="3"/>
  <c r="J917" i="3"/>
  <c r="I917" i="3"/>
  <c r="L916" i="3"/>
  <c r="K916" i="3"/>
  <c r="J916" i="3"/>
  <c r="I916" i="3"/>
  <c r="L915" i="3"/>
  <c r="K915" i="3"/>
  <c r="J915" i="3"/>
  <c r="I915" i="3"/>
  <c r="L914" i="3"/>
  <c r="K914" i="3"/>
  <c r="J914" i="3"/>
  <c r="I914" i="3"/>
  <c r="L913" i="3"/>
  <c r="K913" i="3"/>
  <c r="J913" i="3"/>
  <c r="I913" i="3"/>
  <c r="L912" i="3"/>
  <c r="K912" i="3"/>
  <c r="J912" i="3"/>
  <c r="I912" i="3"/>
  <c r="L911" i="3"/>
  <c r="K911" i="3"/>
  <c r="J911" i="3"/>
  <c r="I911" i="3"/>
  <c r="L910" i="3"/>
  <c r="K910" i="3"/>
  <c r="J910" i="3"/>
  <c r="I910" i="3"/>
  <c r="L909" i="3"/>
  <c r="K909" i="3"/>
  <c r="J909" i="3"/>
  <c r="I909" i="3"/>
  <c r="L908" i="3"/>
  <c r="K908" i="3"/>
  <c r="J908" i="3"/>
  <c r="I908" i="3"/>
  <c r="L907" i="3"/>
  <c r="K907" i="3"/>
  <c r="J907" i="3"/>
  <c r="I907" i="3"/>
  <c r="L906" i="3"/>
  <c r="K906" i="3"/>
  <c r="J906" i="3"/>
  <c r="I906" i="3"/>
  <c r="L905" i="3"/>
  <c r="K905" i="3"/>
  <c r="J905" i="3"/>
  <c r="I905" i="3"/>
  <c r="L904" i="3"/>
  <c r="K904" i="3"/>
  <c r="J904" i="3"/>
  <c r="I904" i="3"/>
  <c r="L903" i="3"/>
  <c r="K903" i="3"/>
  <c r="J903" i="3"/>
  <c r="I903" i="3"/>
  <c r="L902" i="3"/>
  <c r="K902" i="3"/>
  <c r="J902" i="3"/>
  <c r="I902" i="3"/>
  <c r="L901" i="3"/>
  <c r="K901" i="3"/>
  <c r="J901" i="3"/>
  <c r="I901" i="3"/>
  <c r="L900" i="3"/>
  <c r="K900" i="3"/>
  <c r="J900" i="3"/>
  <c r="I900" i="3"/>
  <c r="L899" i="3"/>
  <c r="K899" i="3"/>
  <c r="J899" i="3"/>
  <c r="I899" i="3"/>
  <c r="L898" i="3"/>
  <c r="K898" i="3"/>
  <c r="J898" i="3"/>
  <c r="I898" i="3"/>
  <c r="L897" i="3"/>
  <c r="K897" i="3"/>
  <c r="J897" i="3"/>
  <c r="I897" i="3"/>
  <c r="L896" i="3"/>
  <c r="K896" i="3"/>
  <c r="J896" i="3"/>
  <c r="I896" i="3"/>
  <c r="L895" i="3"/>
  <c r="K895" i="3"/>
  <c r="J895" i="3"/>
  <c r="I895" i="3"/>
  <c r="L894" i="3"/>
  <c r="K894" i="3"/>
  <c r="J894" i="3"/>
  <c r="I894" i="3"/>
  <c r="L893" i="3"/>
  <c r="K893" i="3"/>
  <c r="J893" i="3"/>
  <c r="I893" i="3"/>
  <c r="L892" i="3"/>
  <c r="K892" i="3"/>
  <c r="J892" i="3"/>
  <c r="I892" i="3"/>
  <c r="L891" i="3"/>
  <c r="K891" i="3"/>
  <c r="J891" i="3"/>
  <c r="I891" i="3"/>
  <c r="L890" i="3"/>
  <c r="K890" i="3"/>
  <c r="J890" i="3"/>
  <c r="I890" i="3"/>
  <c r="L889" i="3"/>
  <c r="K889" i="3"/>
  <c r="J889" i="3"/>
  <c r="I889" i="3"/>
  <c r="L888" i="3"/>
  <c r="K888" i="3"/>
  <c r="J888" i="3"/>
  <c r="I888" i="3"/>
  <c r="L887" i="3"/>
  <c r="K887" i="3"/>
  <c r="J887" i="3"/>
  <c r="I887" i="3"/>
  <c r="L886" i="3"/>
  <c r="K886" i="3"/>
  <c r="J886" i="3"/>
  <c r="I886" i="3"/>
  <c r="L885" i="3"/>
  <c r="K885" i="3"/>
  <c r="J885" i="3"/>
  <c r="I885" i="3"/>
  <c r="L884" i="3"/>
  <c r="K884" i="3"/>
  <c r="J884" i="3"/>
  <c r="I884" i="3"/>
  <c r="L883" i="3"/>
  <c r="K883" i="3"/>
  <c r="J883" i="3"/>
  <c r="I883" i="3"/>
  <c r="L882" i="3"/>
  <c r="K882" i="3"/>
  <c r="J882" i="3"/>
  <c r="I882" i="3"/>
  <c r="L881" i="3"/>
  <c r="K881" i="3"/>
  <c r="J881" i="3"/>
  <c r="I881" i="3"/>
  <c r="L880" i="3"/>
  <c r="K880" i="3"/>
  <c r="J880" i="3"/>
  <c r="I880" i="3"/>
  <c r="L879" i="3"/>
  <c r="K879" i="3"/>
  <c r="J879" i="3"/>
  <c r="I879" i="3"/>
  <c r="L878" i="3"/>
  <c r="K878" i="3"/>
  <c r="J878" i="3"/>
  <c r="I878" i="3"/>
  <c r="L877" i="3"/>
  <c r="K877" i="3"/>
  <c r="J877" i="3"/>
  <c r="I877" i="3"/>
  <c r="L876" i="3"/>
  <c r="K876" i="3"/>
  <c r="J876" i="3"/>
  <c r="I876" i="3"/>
  <c r="L875" i="3"/>
  <c r="K875" i="3"/>
  <c r="J875" i="3"/>
  <c r="I875" i="3"/>
  <c r="L874" i="3"/>
  <c r="K874" i="3"/>
  <c r="J874" i="3"/>
  <c r="I874" i="3"/>
  <c r="L873" i="3"/>
  <c r="K873" i="3"/>
  <c r="J873" i="3"/>
  <c r="I873" i="3"/>
  <c r="L872" i="3"/>
  <c r="K872" i="3"/>
  <c r="J872" i="3"/>
  <c r="I872" i="3"/>
  <c r="L871" i="3"/>
  <c r="K871" i="3"/>
  <c r="J871" i="3"/>
  <c r="I871" i="3"/>
  <c r="L870" i="3"/>
  <c r="K870" i="3"/>
  <c r="J870" i="3"/>
  <c r="I870" i="3"/>
  <c r="L869" i="3"/>
  <c r="K869" i="3"/>
  <c r="J869" i="3"/>
  <c r="I869" i="3"/>
  <c r="L868" i="3"/>
  <c r="K868" i="3"/>
  <c r="J868" i="3"/>
  <c r="I868" i="3"/>
  <c r="L867" i="3"/>
  <c r="K867" i="3"/>
  <c r="J867" i="3"/>
  <c r="I867" i="3"/>
  <c r="L866" i="3"/>
  <c r="K866" i="3"/>
  <c r="J866" i="3"/>
  <c r="I866" i="3"/>
  <c r="L865" i="3"/>
  <c r="K865" i="3"/>
  <c r="J865" i="3"/>
  <c r="I865" i="3"/>
  <c r="L864" i="3"/>
  <c r="K864" i="3"/>
  <c r="J864" i="3"/>
  <c r="I864" i="3"/>
  <c r="L863" i="3"/>
  <c r="K863" i="3"/>
  <c r="J863" i="3"/>
  <c r="I863" i="3"/>
  <c r="L862" i="3"/>
  <c r="K862" i="3"/>
  <c r="J862" i="3"/>
  <c r="I862" i="3"/>
  <c r="L861" i="3"/>
  <c r="K861" i="3"/>
  <c r="J861" i="3"/>
  <c r="I861" i="3"/>
  <c r="L860" i="3"/>
  <c r="K860" i="3"/>
  <c r="J860" i="3"/>
  <c r="I860" i="3"/>
  <c r="L859" i="3"/>
  <c r="K859" i="3"/>
  <c r="J859" i="3"/>
  <c r="I859" i="3"/>
  <c r="L858" i="3"/>
  <c r="K858" i="3"/>
  <c r="J858" i="3"/>
  <c r="I858" i="3"/>
  <c r="L857" i="3"/>
  <c r="K857" i="3"/>
  <c r="J857" i="3"/>
  <c r="I857" i="3"/>
  <c r="L856" i="3"/>
  <c r="K856" i="3"/>
  <c r="J856" i="3"/>
  <c r="I856" i="3"/>
  <c r="L855" i="3"/>
  <c r="K855" i="3"/>
  <c r="J855" i="3"/>
  <c r="I855" i="3"/>
  <c r="L854" i="3"/>
  <c r="K854" i="3"/>
  <c r="J854" i="3"/>
  <c r="I854" i="3"/>
  <c r="L853" i="3"/>
  <c r="K853" i="3"/>
  <c r="J853" i="3"/>
  <c r="I853" i="3"/>
  <c r="L852" i="3"/>
  <c r="K852" i="3"/>
  <c r="J852" i="3"/>
  <c r="I852" i="3"/>
  <c r="L851" i="3"/>
  <c r="K851" i="3"/>
  <c r="J851" i="3"/>
  <c r="I851" i="3"/>
  <c r="L850" i="3"/>
  <c r="K850" i="3"/>
  <c r="J850" i="3"/>
  <c r="I850" i="3"/>
  <c r="L849" i="3"/>
  <c r="K849" i="3"/>
  <c r="J849" i="3"/>
  <c r="I849" i="3"/>
  <c r="L848" i="3"/>
  <c r="K848" i="3"/>
  <c r="J848" i="3"/>
  <c r="I848" i="3"/>
  <c r="L847" i="3"/>
  <c r="K847" i="3"/>
  <c r="J847" i="3"/>
  <c r="I847" i="3"/>
  <c r="L846" i="3"/>
  <c r="K846" i="3"/>
  <c r="J846" i="3"/>
  <c r="I846" i="3"/>
  <c r="L845" i="3"/>
  <c r="K845" i="3"/>
  <c r="J845" i="3"/>
  <c r="I845" i="3"/>
  <c r="L844" i="3"/>
  <c r="K844" i="3"/>
  <c r="J844" i="3"/>
  <c r="I844" i="3"/>
  <c r="L843" i="3"/>
  <c r="K843" i="3"/>
  <c r="J843" i="3"/>
  <c r="I843" i="3"/>
  <c r="L842" i="3"/>
  <c r="K842" i="3"/>
  <c r="J842" i="3"/>
  <c r="I842" i="3"/>
  <c r="L841" i="3"/>
  <c r="K841" i="3"/>
  <c r="J841" i="3"/>
  <c r="I841" i="3"/>
  <c r="L840" i="3"/>
  <c r="K840" i="3"/>
  <c r="J840" i="3"/>
  <c r="I840" i="3"/>
  <c r="L839" i="3"/>
  <c r="K839" i="3"/>
  <c r="J839" i="3"/>
  <c r="I839" i="3"/>
  <c r="L838" i="3"/>
  <c r="K838" i="3"/>
  <c r="J838" i="3"/>
  <c r="I838" i="3"/>
  <c r="L837" i="3"/>
  <c r="K837" i="3"/>
  <c r="J837" i="3"/>
  <c r="I837" i="3"/>
  <c r="L836" i="3"/>
  <c r="K836" i="3"/>
  <c r="J836" i="3"/>
  <c r="I836" i="3"/>
  <c r="L835" i="3"/>
  <c r="K835" i="3"/>
  <c r="J835" i="3"/>
  <c r="I835" i="3"/>
  <c r="L834" i="3"/>
  <c r="K834" i="3"/>
  <c r="J834" i="3"/>
  <c r="I834" i="3"/>
  <c r="L833" i="3"/>
  <c r="K833" i="3"/>
  <c r="J833" i="3"/>
  <c r="I833" i="3"/>
  <c r="L832" i="3"/>
  <c r="K832" i="3"/>
  <c r="J832" i="3"/>
  <c r="I832" i="3"/>
  <c r="L831" i="3"/>
  <c r="K831" i="3"/>
  <c r="J831" i="3"/>
  <c r="I831" i="3"/>
  <c r="L830" i="3"/>
  <c r="K830" i="3"/>
  <c r="J830" i="3"/>
  <c r="I830" i="3"/>
  <c r="L829" i="3"/>
  <c r="K829" i="3"/>
  <c r="J829" i="3"/>
  <c r="I829" i="3"/>
  <c r="L828" i="3"/>
  <c r="K828" i="3"/>
  <c r="J828" i="3"/>
  <c r="I828" i="3"/>
  <c r="L827" i="3"/>
  <c r="K827" i="3"/>
  <c r="J827" i="3"/>
  <c r="I827" i="3"/>
  <c r="L826" i="3"/>
  <c r="K826" i="3"/>
  <c r="J826" i="3"/>
  <c r="I826" i="3"/>
  <c r="L825" i="3"/>
  <c r="K825" i="3"/>
  <c r="J825" i="3"/>
  <c r="I825" i="3"/>
  <c r="L824" i="3"/>
  <c r="K824" i="3"/>
  <c r="J824" i="3"/>
  <c r="I824" i="3"/>
  <c r="L823" i="3"/>
  <c r="K823" i="3"/>
  <c r="J823" i="3"/>
  <c r="I823" i="3"/>
  <c r="L822" i="3"/>
  <c r="K822" i="3"/>
  <c r="J822" i="3"/>
  <c r="I822" i="3"/>
  <c r="L821" i="3"/>
  <c r="K821" i="3"/>
  <c r="J821" i="3"/>
  <c r="I821" i="3"/>
  <c r="L820" i="3"/>
  <c r="K820" i="3"/>
  <c r="J820" i="3"/>
  <c r="I820" i="3"/>
  <c r="L819" i="3"/>
  <c r="K819" i="3"/>
  <c r="J819" i="3"/>
  <c r="I819" i="3"/>
  <c r="L818" i="3"/>
  <c r="K818" i="3"/>
  <c r="J818" i="3"/>
  <c r="I818" i="3"/>
  <c r="L817" i="3"/>
  <c r="K817" i="3"/>
  <c r="J817" i="3"/>
  <c r="I817" i="3"/>
  <c r="L816" i="3"/>
  <c r="K816" i="3"/>
  <c r="J816" i="3"/>
  <c r="I816" i="3"/>
  <c r="L815" i="3"/>
  <c r="K815" i="3"/>
  <c r="J815" i="3"/>
  <c r="I815" i="3"/>
  <c r="L814" i="3"/>
  <c r="K814" i="3"/>
  <c r="J814" i="3"/>
  <c r="I814" i="3"/>
  <c r="L813" i="3"/>
  <c r="K813" i="3"/>
  <c r="J813" i="3"/>
  <c r="I813" i="3"/>
  <c r="L812" i="3"/>
  <c r="K812" i="3"/>
  <c r="J812" i="3"/>
  <c r="I812" i="3"/>
  <c r="L811" i="3"/>
  <c r="K811" i="3"/>
  <c r="J811" i="3"/>
  <c r="I811" i="3"/>
  <c r="L810" i="3"/>
  <c r="K810" i="3"/>
  <c r="J810" i="3"/>
  <c r="I810" i="3"/>
  <c r="L809" i="3"/>
  <c r="K809" i="3"/>
  <c r="J809" i="3"/>
  <c r="I809" i="3"/>
  <c r="L808" i="3"/>
  <c r="K808" i="3"/>
  <c r="J808" i="3"/>
  <c r="I808" i="3"/>
  <c r="L807" i="3"/>
  <c r="K807" i="3"/>
  <c r="J807" i="3"/>
  <c r="I807" i="3"/>
  <c r="L806" i="3"/>
  <c r="K806" i="3"/>
  <c r="J806" i="3"/>
  <c r="I806" i="3"/>
  <c r="L805" i="3"/>
  <c r="K805" i="3"/>
  <c r="J805" i="3"/>
  <c r="I805" i="3"/>
  <c r="L804" i="3"/>
  <c r="K804" i="3"/>
  <c r="J804" i="3"/>
  <c r="I804" i="3"/>
  <c r="L803" i="3"/>
  <c r="K803" i="3"/>
  <c r="J803" i="3"/>
  <c r="I803" i="3"/>
  <c r="L802" i="3"/>
  <c r="K802" i="3"/>
  <c r="J802" i="3"/>
  <c r="I802" i="3"/>
  <c r="L801" i="3"/>
  <c r="K801" i="3"/>
  <c r="J801" i="3"/>
  <c r="I801" i="3"/>
  <c r="L800" i="3"/>
  <c r="K800" i="3"/>
  <c r="J800" i="3"/>
  <c r="I800" i="3"/>
  <c r="L799" i="3"/>
  <c r="K799" i="3"/>
  <c r="J799" i="3"/>
  <c r="I799" i="3"/>
  <c r="L798" i="3"/>
  <c r="K798" i="3"/>
  <c r="J798" i="3"/>
  <c r="I798" i="3"/>
  <c r="L797" i="3"/>
  <c r="K797" i="3"/>
  <c r="J797" i="3"/>
  <c r="I797" i="3"/>
  <c r="L796" i="3"/>
  <c r="K796" i="3"/>
  <c r="J796" i="3"/>
  <c r="I796" i="3"/>
  <c r="L795" i="3"/>
  <c r="K795" i="3"/>
  <c r="J795" i="3"/>
  <c r="I795" i="3"/>
  <c r="L794" i="3"/>
  <c r="K794" i="3"/>
  <c r="J794" i="3"/>
  <c r="I794" i="3"/>
  <c r="L793" i="3"/>
  <c r="K793" i="3"/>
  <c r="J793" i="3"/>
  <c r="I793" i="3"/>
  <c r="L792" i="3"/>
  <c r="K792" i="3"/>
  <c r="J792" i="3"/>
  <c r="I792" i="3"/>
  <c r="L791" i="3"/>
  <c r="K791" i="3"/>
  <c r="J791" i="3"/>
  <c r="I791" i="3"/>
  <c r="L790" i="3"/>
  <c r="K790" i="3"/>
  <c r="J790" i="3"/>
  <c r="I790" i="3"/>
  <c r="L789" i="3"/>
  <c r="K789" i="3"/>
  <c r="J789" i="3"/>
  <c r="I789" i="3"/>
  <c r="L788" i="3"/>
  <c r="K788" i="3"/>
  <c r="J788" i="3"/>
  <c r="I788" i="3"/>
  <c r="L787" i="3"/>
  <c r="K787" i="3"/>
  <c r="J787" i="3"/>
  <c r="I787" i="3"/>
  <c r="L786" i="3"/>
  <c r="K786" i="3"/>
  <c r="J786" i="3"/>
  <c r="I786" i="3"/>
  <c r="L785" i="3"/>
  <c r="K785" i="3"/>
  <c r="J785" i="3"/>
  <c r="I785" i="3"/>
  <c r="L784" i="3"/>
  <c r="K784" i="3"/>
  <c r="J784" i="3"/>
  <c r="I784" i="3"/>
  <c r="L783" i="3"/>
  <c r="K783" i="3"/>
  <c r="J783" i="3"/>
  <c r="I783" i="3"/>
  <c r="L782" i="3"/>
  <c r="K782" i="3"/>
  <c r="J782" i="3"/>
  <c r="I782" i="3"/>
  <c r="L781" i="3"/>
  <c r="K781" i="3"/>
  <c r="J781" i="3"/>
  <c r="I781" i="3"/>
  <c r="L780" i="3"/>
  <c r="K780" i="3"/>
  <c r="J780" i="3"/>
  <c r="I780" i="3"/>
  <c r="L779" i="3"/>
  <c r="K779" i="3"/>
  <c r="J779" i="3"/>
  <c r="I779" i="3"/>
  <c r="L778" i="3"/>
  <c r="K778" i="3"/>
  <c r="J778" i="3"/>
  <c r="I778" i="3"/>
  <c r="L777" i="3"/>
  <c r="K777" i="3"/>
  <c r="J777" i="3"/>
  <c r="I777" i="3"/>
  <c r="L776" i="3"/>
  <c r="K776" i="3"/>
  <c r="J776" i="3"/>
  <c r="I776" i="3"/>
  <c r="L775" i="3"/>
  <c r="K775" i="3"/>
  <c r="J775" i="3"/>
  <c r="I775" i="3"/>
  <c r="L774" i="3"/>
  <c r="K774" i="3"/>
  <c r="J774" i="3"/>
  <c r="I774" i="3"/>
  <c r="L773" i="3"/>
  <c r="K773" i="3"/>
  <c r="J773" i="3"/>
  <c r="I773" i="3"/>
  <c r="L772" i="3"/>
  <c r="K772" i="3"/>
  <c r="J772" i="3"/>
  <c r="I772" i="3"/>
  <c r="L771" i="3"/>
  <c r="K771" i="3"/>
  <c r="J771" i="3"/>
  <c r="I771" i="3"/>
  <c r="L770" i="3"/>
  <c r="K770" i="3"/>
  <c r="J770" i="3"/>
  <c r="I770" i="3"/>
  <c r="L769" i="3"/>
  <c r="K769" i="3"/>
  <c r="J769" i="3"/>
  <c r="I769" i="3"/>
  <c r="L768" i="3"/>
  <c r="K768" i="3"/>
  <c r="J768" i="3"/>
  <c r="I768" i="3"/>
  <c r="L767" i="3"/>
  <c r="K767" i="3"/>
  <c r="J767" i="3"/>
  <c r="I767" i="3"/>
  <c r="L766" i="3"/>
  <c r="K766" i="3"/>
  <c r="J766" i="3"/>
  <c r="I766" i="3"/>
  <c r="L765" i="3"/>
  <c r="K765" i="3"/>
  <c r="J765" i="3"/>
  <c r="I765" i="3"/>
  <c r="L764" i="3"/>
  <c r="K764" i="3"/>
  <c r="J764" i="3"/>
  <c r="I764" i="3"/>
  <c r="L763" i="3"/>
  <c r="K763" i="3"/>
  <c r="J763" i="3"/>
  <c r="I763" i="3"/>
  <c r="L762" i="3"/>
  <c r="K762" i="3"/>
  <c r="J762" i="3"/>
  <c r="I762" i="3"/>
  <c r="L761" i="3"/>
  <c r="K761" i="3"/>
  <c r="J761" i="3"/>
  <c r="I761" i="3"/>
  <c r="L760" i="3"/>
  <c r="K760" i="3"/>
  <c r="J760" i="3"/>
  <c r="I760" i="3"/>
  <c r="L759" i="3"/>
  <c r="K759" i="3"/>
  <c r="J759" i="3"/>
  <c r="I759" i="3"/>
  <c r="L758" i="3"/>
  <c r="K758" i="3"/>
  <c r="J758" i="3"/>
  <c r="I758" i="3"/>
  <c r="L757" i="3"/>
  <c r="K757" i="3"/>
  <c r="J757" i="3"/>
  <c r="I757" i="3"/>
  <c r="L756" i="3"/>
  <c r="K756" i="3"/>
  <c r="J756" i="3"/>
  <c r="I756" i="3"/>
  <c r="L755" i="3"/>
  <c r="K755" i="3"/>
  <c r="J755" i="3"/>
  <c r="I755" i="3"/>
  <c r="L754" i="3"/>
  <c r="K754" i="3"/>
  <c r="J754" i="3"/>
  <c r="I754" i="3"/>
  <c r="L753" i="3"/>
  <c r="K753" i="3"/>
  <c r="J753" i="3"/>
  <c r="I753" i="3"/>
  <c r="L752" i="3"/>
  <c r="K752" i="3"/>
  <c r="J752" i="3"/>
  <c r="I752" i="3"/>
  <c r="L751" i="3"/>
  <c r="K751" i="3"/>
  <c r="J751" i="3"/>
  <c r="I751" i="3"/>
  <c r="L750" i="3"/>
  <c r="K750" i="3"/>
  <c r="J750" i="3"/>
  <c r="I750" i="3"/>
  <c r="L749" i="3"/>
  <c r="K749" i="3"/>
  <c r="J749" i="3"/>
  <c r="I749" i="3"/>
  <c r="L748" i="3"/>
  <c r="K748" i="3"/>
  <c r="J748" i="3"/>
  <c r="I748" i="3"/>
  <c r="L747" i="3"/>
  <c r="K747" i="3"/>
  <c r="J747" i="3"/>
  <c r="I747" i="3"/>
  <c r="L746" i="3"/>
  <c r="K746" i="3"/>
  <c r="J746" i="3"/>
  <c r="I746" i="3"/>
  <c r="L745" i="3"/>
  <c r="K745" i="3"/>
  <c r="J745" i="3"/>
  <c r="I745" i="3"/>
  <c r="L744" i="3"/>
  <c r="K744" i="3"/>
  <c r="J744" i="3"/>
  <c r="I744" i="3"/>
  <c r="L743" i="3"/>
  <c r="K743" i="3"/>
  <c r="J743" i="3"/>
  <c r="I743" i="3"/>
  <c r="L742" i="3"/>
  <c r="K742" i="3"/>
  <c r="J742" i="3"/>
  <c r="I742" i="3"/>
  <c r="L741" i="3"/>
  <c r="K741" i="3"/>
  <c r="J741" i="3"/>
  <c r="I741" i="3"/>
  <c r="L740" i="3"/>
  <c r="K740" i="3"/>
  <c r="J740" i="3"/>
  <c r="I740" i="3"/>
  <c r="L739" i="3"/>
  <c r="K739" i="3"/>
  <c r="J739" i="3"/>
  <c r="I739" i="3"/>
  <c r="L738" i="3"/>
  <c r="K738" i="3"/>
  <c r="J738" i="3"/>
  <c r="I738" i="3"/>
  <c r="L737" i="3"/>
  <c r="K737" i="3"/>
  <c r="J737" i="3"/>
  <c r="I737" i="3"/>
  <c r="L736" i="3"/>
  <c r="K736" i="3"/>
  <c r="J736" i="3"/>
  <c r="I736" i="3"/>
  <c r="L735" i="3"/>
  <c r="K735" i="3"/>
  <c r="J735" i="3"/>
  <c r="I735" i="3"/>
  <c r="L734" i="3"/>
  <c r="K734" i="3"/>
  <c r="J734" i="3"/>
  <c r="I734" i="3"/>
  <c r="L733" i="3"/>
  <c r="K733" i="3"/>
  <c r="J733" i="3"/>
  <c r="I733" i="3"/>
  <c r="L732" i="3"/>
  <c r="K732" i="3"/>
  <c r="J732" i="3"/>
  <c r="I732" i="3"/>
  <c r="L731" i="3"/>
  <c r="K731" i="3"/>
  <c r="J731" i="3"/>
  <c r="I731" i="3"/>
  <c r="L730" i="3"/>
  <c r="K730" i="3"/>
  <c r="J730" i="3"/>
  <c r="I730" i="3"/>
  <c r="L729" i="3"/>
  <c r="K729" i="3"/>
  <c r="J729" i="3"/>
  <c r="I729" i="3"/>
  <c r="L728" i="3"/>
  <c r="K728" i="3"/>
  <c r="J728" i="3"/>
  <c r="I728" i="3"/>
  <c r="L727" i="3"/>
  <c r="K727" i="3"/>
  <c r="J727" i="3"/>
  <c r="I727" i="3"/>
  <c r="L726" i="3"/>
  <c r="K726" i="3"/>
  <c r="J726" i="3"/>
  <c r="I726" i="3"/>
  <c r="L725" i="3"/>
  <c r="K725" i="3"/>
  <c r="J725" i="3"/>
  <c r="I725" i="3"/>
  <c r="L724" i="3"/>
  <c r="K724" i="3"/>
  <c r="J724" i="3"/>
  <c r="I724" i="3"/>
  <c r="L723" i="3"/>
  <c r="K723" i="3"/>
  <c r="J723" i="3"/>
  <c r="I723" i="3"/>
  <c r="L722" i="3"/>
  <c r="K722" i="3"/>
  <c r="J722" i="3"/>
  <c r="I722" i="3"/>
  <c r="L721" i="3"/>
  <c r="K721" i="3"/>
  <c r="J721" i="3"/>
  <c r="I721" i="3"/>
  <c r="L720" i="3"/>
  <c r="K720" i="3"/>
  <c r="J720" i="3"/>
  <c r="I720" i="3"/>
  <c r="L719" i="3"/>
  <c r="K719" i="3"/>
  <c r="J719" i="3"/>
  <c r="I719" i="3"/>
  <c r="L718" i="3"/>
  <c r="K718" i="3"/>
  <c r="J718" i="3"/>
  <c r="I718" i="3"/>
  <c r="L717" i="3"/>
  <c r="K717" i="3"/>
  <c r="J717" i="3"/>
  <c r="I717" i="3"/>
  <c r="L716" i="3"/>
  <c r="K716" i="3"/>
  <c r="J716" i="3"/>
  <c r="I716" i="3"/>
  <c r="L715" i="3"/>
  <c r="K715" i="3"/>
  <c r="J715" i="3"/>
  <c r="I715" i="3"/>
  <c r="L714" i="3"/>
  <c r="K714" i="3"/>
  <c r="J714" i="3"/>
  <c r="I714" i="3"/>
  <c r="L713" i="3"/>
  <c r="K713" i="3"/>
  <c r="J713" i="3"/>
  <c r="I713" i="3"/>
  <c r="L712" i="3"/>
  <c r="K712" i="3"/>
  <c r="J712" i="3"/>
  <c r="I712" i="3"/>
  <c r="L711" i="3"/>
  <c r="K711" i="3"/>
  <c r="J711" i="3"/>
  <c r="I711" i="3"/>
  <c r="L710" i="3"/>
  <c r="K710" i="3"/>
  <c r="J710" i="3"/>
  <c r="I710" i="3"/>
  <c r="L709" i="3"/>
  <c r="K709" i="3"/>
  <c r="J709" i="3"/>
  <c r="I709" i="3"/>
  <c r="L708" i="3"/>
  <c r="K708" i="3"/>
  <c r="J708" i="3"/>
  <c r="I708" i="3"/>
  <c r="L707" i="3"/>
  <c r="K707" i="3"/>
  <c r="J707" i="3"/>
  <c r="I707" i="3"/>
  <c r="L706" i="3"/>
  <c r="K706" i="3"/>
  <c r="J706" i="3"/>
  <c r="I706" i="3"/>
  <c r="L705" i="3"/>
  <c r="K705" i="3"/>
  <c r="J705" i="3"/>
  <c r="I705" i="3"/>
  <c r="L704" i="3"/>
  <c r="K704" i="3"/>
  <c r="J704" i="3"/>
  <c r="I704" i="3"/>
  <c r="L703" i="3"/>
  <c r="K703" i="3"/>
  <c r="J703" i="3"/>
  <c r="I703" i="3"/>
  <c r="L702" i="3"/>
  <c r="K702" i="3"/>
  <c r="J702" i="3"/>
  <c r="I702" i="3"/>
  <c r="L701" i="3"/>
  <c r="K701" i="3"/>
  <c r="J701" i="3"/>
  <c r="I701" i="3"/>
  <c r="L700" i="3"/>
  <c r="K700" i="3"/>
  <c r="J700" i="3"/>
  <c r="I700" i="3"/>
  <c r="L699" i="3"/>
  <c r="K699" i="3"/>
  <c r="J699" i="3"/>
  <c r="I699" i="3"/>
  <c r="L698" i="3"/>
  <c r="K698" i="3"/>
  <c r="J698" i="3"/>
  <c r="I698" i="3"/>
  <c r="L697" i="3"/>
  <c r="K697" i="3"/>
  <c r="J697" i="3"/>
  <c r="I697" i="3"/>
  <c r="L696" i="3"/>
  <c r="K696" i="3"/>
  <c r="J696" i="3"/>
  <c r="I696" i="3"/>
  <c r="L695" i="3"/>
  <c r="K695" i="3"/>
  <c r="J695" i="3"/>
  <c r="I695" i="3"/>
  <c r="L694" i="3"/>
  <c r="K694" i="3"/>
  <c r="J694" i="3"/>
  <c r="I694" i="3"/>
  <c r="L693" i="3"/>
  <c r="K693" i="3"/>
  <c r="J693" i="3"/>
  <c r="I693" i="3"/>
  <c r="L692" i="3"/>
  <c r="K692" i="3"/>
  <c r="J692" i="3"/>
  <c r="I692" i="3"/>
  <c r="L691" i="3"/>
  <c r="K691" i="3"/>
  <c r="J691" i="3"/>
  <c r="I691" i="3"/>
  <c r="L690" i="3"/>
  <c r="K690" i="3"/>
  <c r="J690" i="3"/>
  <c r="I690" i="3"/>
  <c r="L689" i="3"/>
  <c r="K689" i="3"/>
  <c r="J689" i="3"/>
  <c r="I689" i="3"/>
  <c r="L688" i="3"/>
  <c r="K688" i="3"/>
  <c r="J688" i="3"/>
  <c r="I688" i="3"/>
  <c r="L687" i="3"/>
  <c r="K687" i="3"/>
  <c r="J687" i="3"/>
  <c r="I687" i="3"/>
  <c r="L686" i="3"/>
  <c r="K686" i="3"/>
  <c r="J686" i="3"/>
  <c r="I686" i="3"/>
  <c r="L685" i="3"/>
  <c r="K685" i="3"/>
  <c r="J685" i="3"/>
  <c r="I685" i="3"/>
  <c r="L684" i="3"/>
  <c r="K684" i="3"/>
  <c r="J684" i="3"/>
  <c r="I684" i="3"/>
  <c r="L683" i="3"/>
  <c r="K683" i="3"/>
  <c r="J683" i="3"/>
  <c r="I683" i="3"/>
  <c r="L682" i="3"/>
  <c r="K682" i="3"/>
  <c r="J682" i="3"/>
  <c r="I682" i="3"/>
  <c r="L681" i="3"/>
  <c r="K681" i="3"/>
  <c r="J681" i="3"/>
  <c r="I681" i="3"/>
  <c r="L680" i="3"/>
  <c r="K680" i="3"/>
  <c r="J680" i="3"/>
  <c r="I680" i="3"/>
  <c r="L679" i="3"/>
  <c r="K679" i="3"/>
  <c r="J679" i="3"/>
  <c r="I679" i="3"/>
  <c r="L678" i="3"/>
  <c r="K678" i="3"/>
  <c r="J678" i="3"/>
  <c r="I678" i="3"/>
  <c r="L677" i="3"/>
  <c r="K677" i="3"/>
  <c r="J677" i="3"/>
  <c r="I677" i="3"/>
  <c r="L676" i="3"/>
  <c r="K676" i="3"/>
  <c r="J676" i="3"/>
  <c r="I676" i="3"/>
  <c r="L675" i="3"/>
  <c r="K675" i="3"/>
  <c r="J675" i="3"/>
  <c r="I675" i="3"/>
  <c r="L674" i="3"/>
  <c r="K674" i="3"/>
  <c r="J674" i="3"/>
  <c r="I674" i="3"/>
  <c r="L673" i="3"/>
  <c r="K673" i="3"/>
  <c r="J673" i="3"/>
  <c r="I673" i="3"/>
  <c r="L672" i="3"/>
  <c r="K672" i="3"/>
  <c r="J672" i="3"/>
  <c r="I672" i="3"/>
  <c r="L671" i="3"/>
  <c r="K671" i="3"/>
  <c r="J671" i="3"/>
  <c r="I671" i="3"/>
  <c r="L670" i="3"/>
  <c r="K670" i="3"/>
  <c r="J670" i="3"/>
  <c r="I670" i="3"/>
  <c r="L669" i="3"/>
  <c r="K669" i="3"/>
  <c r="J669" i="3"/>
  <c r="I669" i="3"/>
  <c r="L668" i="3"/>
  <c r="K668" i="3"/>
  <c r="J668" i="3"/>
  <c r="I668" i="3"/>
  <c r="L667" i="3"/>
  <c r="K667" i="3"/>
  <c r="J667" i="3"/>
  <c r="I667" i="3"/>
  <c r="L666" i="3"/>
  <c r="K666" i="3"/>
  <c r="J666" i="3"/>
  <c r="I666" i="3"/>
  <c r="L665" i="3"/>
  <c r="K665" i="3"/>
  <c r="J665" i="3"/>
  <c r="I665" i="3"/>
  <c r="L664" i="3"/>
  <c r="K664" i="3"/>
  <c r="J664" i="3"/>
  <c r="I664" i="3"/>
  <c r="L663" i="3"/>
  <c r="K663" i="3"/>
  <c r="J663" i="3"/>
  <c r="I663" i="3"/>
  <c r="L662" i="3"/>
  <c r="K662" i="3"/>
  <c r="J662" i="3"/>
  <c r="I662" i="3"/>
  <c r="L661" i="3"/>
  <c r="K661" i="3"/>
  <c r="J661" i="3"/>
  <c r="I661" i="3"/>
  <c r="L660" i="3"/>
  <c r="K660" i="3"/>
  <c r="J660" i="3"/>
  <c r="I660" i="3"/>
  <c r="L659" i="3"/>
  <c r="K659" i="3"/>
  <c r="J659" i="3"/>
  <c r="I659" i="3"/>
  <c r="L658" i="3"/>
  <c r="K658" i="3"/>
  <c r="J658" i="3"/>
  <c r="I658" i="3"/>
  <c r="L657" i="3"/>
  <c r="K657" i="3"/>
  <c r="J657" i="3"/>
  <c r="I657" i="3"/>
  <c r="L656" i="3"/>
  <c r="K656" i="3"/>
  <c r="J656" i="3"/>
  <c r="I656" i="3"/>
  <c r="L655" i="3"/>
  <c r="K655" i="3"/>
  <c r="J655" i="3"/>
  <c r="I655" i="3"/>
  <c r="L654" i="3"/>
  <c r="K654" i="3"/>
  <c r="J654" i="3"/>
  <c r="I654" i="3"/>
  <c r="L653" i="3"/>
  <c r="K653" i="3"/>
  <c r="J653" i="3"/>
  <c r="I653" i="3"/>
  <c r="L652" i="3"/>
  <c r="K652" i="3"/>
  <c r="J652" i="3"/>
  <c r="I652" i="3"/>
  <c r="L651" i="3"/>
  <c r="K651" i="3"/>
  <c r="J651" i="3"/>
  <c r="I651" i="3"/>
  <c r="L650" i="3"/>
  <c r="K650" i="3"/>
  <c r="J650" i="3"/>
  <c r="I650" i="3"/>
  <c r="L649" i="3"/>
  <c r="K649" i="3"/>
  <c r="J649" i="3"/>
  <c r="I649" i="3"/>
  <c r="L648" i="3"/>
  <c r="K648" i="3"/>
  <c r="J648" i="3"/>
  <c r="I648" i="3"/>
  <c r="L647" i="3"/>
  <c r="K647" i="3"/>
  <c r="J647" i="3"/>
  <c r="I647" i="3"/>
  <c r="L646" i="3"/>
  <c r="K646" i="3"/>
  <c r="J646" i="3"/>
  <c r="I646" i="3"/>
  <c r="L645" i="3"/>
  <c r="K645" i="3"/>
  <c r="J645" i="3"/>
  <c r="I645" i="3"/>
  <c r="L644" i="3"/>
  <c r="K644" i="3"/>
  <c r="J644" i="3"/>
  <c r="I644" i="3"/>
  <c r="L643" i="3"/>
  <c r="K643" i="3"/>
  <c r="J643" i="3"/>
  <c r="I643" i="3"/>
  <c r="L642" i="3"/>
  <c r="K642" i="3"/>
  <c r="J642" i="3"/>
  <c r="I642" i="3"/>
  <c r="L641" i="3"/>
  <c r="K641" i="3"/>
  <c r="J641" i="3"/>
  <c r="I641" i="3"/>
  <c r="L640" i="3"/>
  <c r="K640" i="3"/>
  <c r="J640" i="3"/>
  <c r="I640" i="3"/>
  <c r="L639" i="3"/>
  <c r="K639" i="3"/>
  <c r="J639" i="3"/>
  <c r="I639" i="3"/>
  <c r="L638" i="3"/>
  <c r="K638" i="3"/>
  <c r="J638" i="3"/>
  <c r="I638" i="3"/>
  <c r="L637" i="3"/>
  <c r="K637" i="3"/>
  <c r="J637" i="3"/>
  <c r="I637" i="3"/>
  <c r="L636" i="3"/>
  <c r="K636" i="3"/>
  <c r="J636" i="3"/>
  <c r="I636" i="3"/>
  <c r="L635" i="3"/>
  <c r="K635" i="3"/>
  <c r="J635" i="3"/>
  <c r="I635" i="3"/>
  <c r="L634" i="3"/>
  <c r="K634" i="3"/>
  <c r="J634" i="3"/>
  <c r="I634" i="3"/>
  <c r="L633" i="3"/>
  <c r="K633" i="3"/>
  <c r="J633" i="3"/>
  <c r="I633" i="3"/>
  <c r="L632" i="3"/>
  <c r="K632" i="3"/>
  <c r="J632" i="3"/>
  <c r="I632" i="3"/>
  <c r="L631" i="3"/>
  <c r="K631" i="3"/>
  <c r="J631" i="3"/>
  <c r="I631" i="3"/>
  <c r="L630" i="3"/>
  <c r="K630" i="3"/>
  <c r="J630" i="3"/>
  <c r="I630" i="3"/>
  <c r="L629" i="3"/>
  <c r="K629" i="3"/>
  <c r="J629" i="3"/>
  <c r="I629" i="3"/>
  <c r="L628" i="3"/>
  <c r="K628" i="3"/>
  <c r="J628" i="3"/>
  <c r="I628" i="3"/>
  <c r="L627" i="3"/>
  <c r="K627" i="3"/>
  <c r="J627" i="3"/>
  <c r="I627" i="3"/>
  <c r="L626" i="3"/>
  <c r="K626" i="3"/>
  <c r="J626" i="3"/>
  <c r="I626" i="3"/>
  <c r="L625" i="3"/>
  <c r="K625" i="3"/>
  <c r="J625" i="3"/>
  <c r="I625" i="3"/>
  <c r="L624" i="3"/>
  <c r="K624" i="3"/>
  <c r="J624" i="3"/>
  <c r="I624" i="3"/>
  <c r="L623" i="3"/>
  <c r="K623" i="3"/>
  <c r="J623" i="3"/>
  <c r="I623" i="3"/>
  <c r="L622" i="3"/>
  <c r="K622" i="3"/>
  <c r="J622" i="3"/>
  <c r="I622" i="3"/>
  <c r="L621" i="3"/>
  <c r="K621" i="3"/>
  <c r="J621" i="3"/>
  <c r="I621" i="3"/>
  <c r="L620" i="3"/>
  <c r="K620" i="3"/>
  <c r="J620" i="3"/>
  <c r="I620" i="3"/>
  <c r="L619" i="3"/>
  <c r="K619" i="3"/>
  <c r="J619" i="3"/>
  <c r="I619" i="3"/>
  <c r="L618" i="3"/>
  <c r="K618" i="3"/>
  <c r="J618" i="3"/>
  <c r="I618" i="3"/>
  <c r="L617" i="3"/>
  <c r="K617" i="3"/>
  <c r="J617" i="3"/>
  <c r="I617" i="3"/>
  <c r="L616" i="3"/>
  <c r="K616" i="3"/>
  <c r="J616" i="3"/>
  <c r="I616" i="3"/>
  <c r="L615" i="3"/>
  <c r="K615" i="3"/>
  <c r="J615" i="3"/>
  <c r="I615" i="3"/>
  <c r="L614" i="3"/>
  <c r="K614" i="3"/>
  <c r="J614" i="3"/>
  <c r="I614" i="3"/>
  <c r="L613" i="3"/>
  <c r="K613" i="3"/>
  <c r="J613" i="3"/>
  <c r="I613" i="3"/>
  <c r="L612" i="3"/>
  <c r="K612" i="3"/>
  <c r="J612" i="3"/>
  <c r="I612" i="3"/>
  <c r="L611" i="3"/>
  <c r="K611" i="3"/>
  <c r="J611" i="3"/>
  <c r="I611" i="3"/>
  <c r="L610" i="3"/>
  <c r="K610" i="3"/>
  <c r="J610" i="3"/>
  <c r="I610" i="3"/>
  <c r="L609" i="3"/>
  <c r="K609" i="3"/>
  <c r="J609" i="3"/>
  <c r="I609" i="3"/>
  <c r="L608" i="3"/>
  <c r="K608" i="3"/>
  <c r="J608" i="3"/>
  <c r="I608" i="3"/>
  <c r="L607" i="3"/>
  <c r="K607" i="3"/>
  <c r="J607" i="3"/>
  <c r="I607" i="3"/>
  <c r="L606" i="3"/>
  <c r="K606" i="3"/>
  <c r="J606" i="3"/>
  <c r="I606" i="3"/>
  <c r="L605" i="3"/>
  <c r="K605" i="3"/>
  <c r="J605" i="3"/>
  <c r="I605" i="3"/>
  <c r="L604" i="3"/>
  <c r="K604" i="3"/>
  <c r="J604" i="3"/>
  <c r="I604" i="3"/>
  <c r="L603" i="3"/>
  <c r="K603" i="3"/>
  <c r="J603" i="3"/>
  <c r="I603" i="3"/>
  <c r="L602" i="3"/>
  <c r="K602" i="3"/>
  <c r="J602" i="3"/>
  <c r="I602" i="3"/>
  <c r="L601" i="3"/>
  <c r="K601" i="3"/>
  <c r="J601" i="3"/>
  <c r="I601" i="3"/>
  <c r="L600" i="3"/>
  <c r="K600" i="3"/>
  <c r="J600" i="3"/>
  <c r="I600" i="3"/>
  <c r="L599" i="3"/>
  <c r="K599" i="3"/>
  <c r="J599" i="3"/>
  <c r="I599" i="3"/>
  <c r="L598" i="3"/>
  <c r="K598" i="3"/>
  <c r="J598" i="3"/>
  <c r="I598" i="3"/>
  <c r="L597" i="3"/>
  <c r="K597" i="3"/>
  <c r="J597" i="3"/>
  <c r="I597" i="3"/>
  <c r="L596" i="3"/>
  <c r="K596" i="3"/>
  <c r="J596" i="3"/>
  <c r="I596" i="3"/>
  <c r="L595" i="3"/>
  <c r="K595" i="3"/>
  <c r="J595" i="3"/>
  <c r="I595" i="3"/>
  <c r="L594" i="3"/>
  <c r="K594" i="3"/>
  <c r="J594" i="3"/>
  <c r="I594" i="3"/>
  <c r="L593" i="3"/>
  <c r="K593" i="3"/>
  <c r="J593" i="3"/>
  <c r="I593" i="3"/>
  <c r="L592" i="3"/>
  <c r="K592" i="3"/>
  <c r="J592" i="3"/>
  <c r="I592" i="3"/>
  <c r="L591" i="3"/>
  <c r="K591" i="3"/>
  <c r="J591" i="3"/>
  <c r="I591" i="3"/>
  <c r="L590" i="3"/>
  <c r="K590" i="3"/>
  <c r="J590" i="3"/>
  <c r="I590" i="3"/>
  <c r="L589" i="3"/>
  <c r="K589" i="3"/>
  <c r="J589" i="3"/>
  <c r="I589" i="3"/>
  <c r="L588" i="3"/>
  <c r="K588" i="3"/>
  <c r="J588" i="3"/>
  <c r="I588" i="3"/>
  <c r="L587" i="3"/>
  <c r="K587" i="3"/>
  <c r="J587" i="3"/>
  <c r="I587" i="3"/>
  <c r="L586" i="3"/>
  <c r="K586" i="3"/>
  <c r="J586" i="3"/>
  <c r="I586" i="3"/>
  <c r="L585" i="3"/>
  <c r="K585" i="3"/>
  <c r="J585" i="3"/>
  <c r="I585" i="3"/>
  <c r="L584" i="3"/>
  <c r="K584" i="3"/>
  <c r="J584" i="3"/>
  <c r="I584" i="3"/>
  <c r="L583" i="3"/>
  <c r="K583" i="3"/>
  <c r="J583" i="3"/>
  <c r="I583" i="3"/>
  <c r="L582" i="3"/>
  <c r="K582" i="3"/>
  <c r="J582" i="3"/>
  <c r="I582" i="3"/>
  <c r="L581" i="3"/>
  <c r="K581" i="3"/>
  <c r="J581" i="3"/>
  <c r="I581" i="3"/>
  <c r="L580" i="3"/>
  <c r="K580" i="3"/>
  <c r="J580" i="3"/>
  <c r="I580" i="3"/>
  <c r="L579" i="3"/>
  <c r="K579" i="3"/>
  <c r="J579" i="3"/>
  <c r="I579" i="3"/>
  <c r="L578" i="3"/>
  <c r="K578" i="3"/>
  <c r="J578" i="3"/>
  <c r="I578" i="3"/>
  <c r="L577" i="3"/>
  <c r="K577" i="3"/>
  <c r="J577" i="3"/>
  <c r="I577" i="3"/>
  <c r="L576" i="3"/>
  <c r="K576" i="3"/>
  <c r="J576" i="3"/>
  <c r="I576" i="3"/>
  <c r="L575" i="3"/>
  <c r="K575" i="3"/>
  <c r="J575" i="3"/>
  <c r="I575" i="3"/>
  <c r="L574" i="3"/>
  <c r="K574" i="3"/>
  <c r="J574" i="3"/>
  <c r="I574" i="3"/>
  <c r="L573" i="3"/>
  <c r="K573" i="3"/>
  <c r="J573" i="3"/>
  <c r="I573" i="3"/>
  <c r="L572" i="3"/>
  <c r="K572" i="3"/>
  <c r="J572" i="3"/>
  <c r="I572" i="3"/>
  <c r="L571" i="3"/>
  <c r="K571" i="3"/>
  <c r="J571" i="3"/>
  <c r="I571" i="3"/>
  <c r="L570" i="3"/>
  <c r="K570" i="3"/>
  <c r="J570" i="3"/>
  <c r="I570" i="3"/>
  <c r="L569" i="3"/>
  <c r="K569" i="3"/>
  <c r="J569" i="3"/>
  <c r="I569" i="3"/>
  <c r="L568" i="3"/>
  <c r="K568" i="3"/>
  <c r="J568" i="3"/>
  <c r="I568" i="3"/>
  <c r="L567" i="3"/>
  <c r="K567" i="3"/>
  <c r="J567" i="3"/>
  <c r="I567" i="3"/>
  <c r="L566" i="3"/>
  <c r="K566" i="3"/>
  <c r="J566" i="3"/>
  <c r="I566" i="3"/>
  <c r="L565" i="3"/>
  <c r="K565" i="3"/>
  <c r="J565" i="3"/>
  <c r="I565" i="3"/>
  <c r="L564" i="3"/>
  <c r="K564" i="3"/>
  <c r="J564" i="3"/>
  <c r="I564" i="3"/>
  <c r="L563" i="3"/>
  <c r="K563" i="3"/>
  <c r="J563" i="3"/>
  <c r="I563" i="3"/>
  <c r="L562" i="3"/>
  <c r="K562" i="3"/>
  <c r="J562" i="3"/>
  <c r="I562" i="3"/>
  <c r="L561" i="3"/>
  <c r="K561" i="3"/>
  <c r="J561" i="3"/>
  <c r="I561" i="3"/>
  <c r="L560" i="3"/>
  <c r="K560" i="3"/>
  <c r="J560" i="3"/>
  <c r="I560" i="3"/>
  <c r="L559" i="3"/>
  <c r="K559" i="3"/>
  <c r="J559" i="3"/>
  <c r="I559" i="3"/>
  <c r="L558" i="3"/>
  <c r="K558" i="3"/>
  <c r="J558" i="3"/>
  <c r="I558" i="3"/>
  <c r="L557" i="3"/>
  <c r="K557" i="3"/>
  <c r="J557" i="3"/>
  <c r="I557" i="3"/>
  <c r="L556" i="3"/>
  <c r="K556" i="3"/>
  <c r="J556" i="3"/>
  <c r="I556" i="3"/>
  <c r="L555" i="3"/>
  <c r="K555" i="3"/>
  <c r="J555" i="3"/>
  <c r="I555" i="3"/>
  <c r="L554" i="3"/>
  <c r="K554" i="3"/>
  <c r="J554" i="3"/>
  <c r="I554" i="3"/>
  <c r="L553" i="3"/>
  <c r="K553" i="3"/>
  <c r="J553" i="3"/>
  <c r="I553" i="3"/>
  <c r="L552" i="3"/>
  <c r="K552" i="3"/>
  <c r="J552" i="3"/>
  <c r="I552" i="3"/>
  <c r="L551" i="3"/>
  <c r="K551" i="3"/>
  <c r="J551" i="3"/>
  <c r="I551" i="3"/>
  <c r="L550" i="3"/>
  <c r="K550" i="3"/>
  <c r="J550" i="3"/>
  <c r="I550" i="3"/>
  <c r="L549" i="3"/>
  <c r="K549" i="3"/>
  <c r="J549" i="3"/>
  <c r="I549" i="3"/>
  <c r="L548" i="3"/>
  <c r="K548" i="3"/>
  <c r="J548" i="3"/>
  <c r="I548" i="3"/>
  <c r="L547" i="3"/>
  <c r="K547" i="3"/>
  <c r="J547" i="3"/>
  <c r="I547" i="3"/>
  <c r="L546" i="3"/>
  <c r="K546" i="3"/>
  <c r="J546" i="3"/>
  <c r="I546" i="3"/>
  <c r="L545" i="3"/>
  <c r="K545" i="3"/>
  <c r="J545" i="3"/>
  <c r="I545" i="3"/>
  <c r="L544" i="3"/>
  <c r="K544" i="3"/>
  <c r="J544" i="3"/>
  <c r="I544" i="3"/>
  <c r="L543" i="3"/>
  <c r="K543" i="3"/>
  <c r="J543" i="3"/>
  <c r="I543" i="3"/>
  <c r="L542" i="3"/>
  <c r="K542" i="3"/>
  <c r="J542" i="3"/>
  <c r="I542" i="3"/>
  <c r="L541" i="3"/>
  <c r="K541" i="3"/>
  <c r="J541" i="3"/>
  <c r="I541" i="3"/>
  <c r="L540" i="3"/>
  <c r="K540" i="3"/>
  <c r="J540" i="3"/>
  <c r="I540" i="3"/>
  <c r="L539" i="3"/>
  <c r="K539" i="3"/>
  <c r="J539" i="3"/>
  <c r="I539" i="3"/>
  <c r="L538" i="3"/>
  <c r="K538" i="3"/>
  <c r="J538" i="3"/>
  <c r="I538" i="3"/>
  <c r="L537" i="3"/>
  <c r="K537" i="3"/>
  <c r="J537" i="3"/>
  <c r="I537" i="3"/>
  <c r="L536" i="3"/>
  <c r="K536" i="3"/>
  <c r="J536" i="3"/>
  <c r="I536" i="3"/>
  <c r="L535" i="3"/>
  <c r="K535" i="3"/>
  <c r="J535" i="3"/>
  <c r="I535" i="3"/>
  <c r="L534" i="3"/>
  <c r="K534" i="3"/>
  <c r="J534" i="3"/>
  <c r="I534" i="3"/>
  <c r="L533" i="3"/>
  <c r="K533" i="3"/>
  <c r="J533" i="3"/>
  <c r="I533" i="3"/>
  <c r="L532" i="3"/>
  <c r="K532" i="3"/>
  <c r="J532" i="3"/>
  <c r="I532" i="3"/>
  <c r="L531" i="3"/>
  <c r="K531" i="3"/>
  <c r="J531" i="3"/>
  <c r="I531" i="3"/>
  <c r="L530" i="3"/>
  <c r="K530" i="3"/>
  <c r="J530" i="3"/>
  <c r="I530" i="3"/>
  <c r="L529" i="3"/>
  <c r="K529" i="3"/>
  <c r="J529" i="3"/>
  <c r="I529" i="3"/>
  <c r="L528" i="3"/>
  <c r="K528" i="3"/>
  <c r="J528" i="3"/>
  <c r="I528" i="3"/>
  <c r="L527" i="3"/>
  <c r="K527" i="3"/>
  <c r="J527" i="3"/>
  <c r="I527" i="3"/>
  <c r="L526" i="3"/>
  <c r="K526" i="3"/>
  <c r="J526" i="3"/>
  <c r="I526" i="3"/>
  <c r="L525" i="3"/>
  <c r="K525" i="3"/>
  <c r="J525" i="3"/>
  <c r="I525" i="3"/>
  <c r="L524" i="3"/>
  <c r="K524" i="3"/>
  <c r="J524" i="3"/>
  <c r="I524" i="3"/>
  <c r="L523" i="3"/>
  <c r="K523" i="3"/>
  <c r="J523" i="3"/>
  <c r="I523" i="3"/>
  <c r="L522" i="3"/>
  <c r="K522" i="3"/>
  <c r="J522" i="3"/>
  <c r="I522" i="3"/>
  <c r="L521" i="3"/>
  <c r="K521" i="3"/>
  <c r="J521" i="3"/>
  <c r="I521" i="3"/>
  <c r="L520" i="3"/>
  <c r="K520" i="3"/>
  <c r="J520" i="3"/>
  <c r="I520" i="3"/>
  <c r="L519" i="3"/>
  <c r="K519" i="3"/>
  <c r="J519" i="3"/>
  <c r="I519" i="3"/>
  <c r="L518" i="3"/>
  <c r="K518" i="3"/>
  <c r="J518" i="3"/>
  <c r="I518" i="3"/>
  <c r="L517" i="3"/>
  <c r="K517" i="3"/>
  <c r="J517" i="3"/>
  <c r="I517" i="3"/>
  <c r="L516" i="3"/>
  <c r="K516" i="3"/>
  <c r="J516" i="3"/>
  <c r="I516" i="3"/>
  <c r="L515" i="3"/>
  <c r="K515" i="3"/>
  <c r="J515" i="3"/>
  <c r="I515" i="3"/>
  <c r="L514" i="3"/>
  <c r="K514" i="3"/>
  <c r="J514" i="3"/>
  <c r="I514" i="3"/>
  <c r="L513" i="3"/>
  <c r="K513" i="3"/>
  <c r="J513" i="3"/>
  <c r="I513" i="3"/>
  <c r="L512" i="3"/>
  <c r="K512" i="3"/>
  <c r="J512" i="3"/>
  <c r="I512" i="3"/>
  <c r="L511" i="3"/>
  <c r="K511" i="3"/>
  <c r="J511" i="3"/>
  <c r="I511" i="3"/>
  <c r="L510" i="3"/>
  <c r="K510" i="3"/>
  <c r="J510" i="3"/>
  <c r="I510" i="3"/>
  <c r="L509" i="3"/>
  <c r="K509" i="3"/>
  <c r="J509" i="3"/>
  <c r="I509" i="3"/>
  <c r="L508" i="3"/>
  <c r="K508" i="3"/>
  <c r="J508" i="3"/>
  <c r="I508" i="3"/>
  <c r="L507" i="3"/>
  <c r="K507" i="3"/>
  <c r="J507" i="3"/>
  <c r="I507" i="3"/>
  <c r="L506" i="3"/>
  <c r="K506" i="3"/>
  <c r="J506" i="3"/>
  <c r="I506" i="3"/>
  <c r="L505" i="3"/>
  <c r="K505" i="3"/>
  <c r="J505" i="3"/>
  <c r="I505" i="3"/>
  <c r="L504" i="3"/>
  <c r="K504" i="3"/>
  <c r="J504" i="3"/>
  <c r="I504" i="3"/>
  <c r="L503" i="3"/>
  <c r="K503" i="3"/>
  <c r="J503" i="3"/>
  <c r="I503" i="3"/>
  <c r="L502" i="3"/>
  <c r="K502" i="3"/>
  <c r="J502" i="3"/>
  <c r="I502" i="3"/>
  <c r="L501" i="3"/>
  <c r="K501" i="3"/>
  <c r="J501" i="3"/>
  <c r="I501" i="3"/>
  <c r="L500" i="3"/>
  <c r="K500" i="3"/>
  <c r="J500" i="3"/>
  <c r="I500" i="3"/>
  <c r="L499" i="3"/>
  <c r="K499" i="3"/>
  <c r="J499" i="3"/>
  <c r="I499" i="3"/>
  <c r="L498" i="3"/>
  <c r="K498" i="3"/>
  <c r="J498" i="3"/>
  <c r="I498" i="3"/>
  <c r="L497" i="3"/>
  <c r="K497" i="3"/>
  <c r="J497" i="3"/>
  <c r="I497" i="3"/>
  <c r="L496" i="3"/>
  <c r="K496" i="3"/>
  <c r="J496" i="3"/>
  <c r="I496" i="3"/>
  <c r="L495" i="3"/>
  <c r="K495" i="3"/>
  <c r="J495" i="3"/>
  <c r="I495" i="3"/>
  <c r="L494" i="3"/>
  <c r="K494" i="3"/>
  <c r="J494" i="3"/>
  <c r="I494" i="3"/>
  <c r="L493" i="3"/>
  <c r="K493" i="3"/>
  <c r="J493" i="3"/>
  <c r="I493" i="3"/>
  <c r="L492" i="3"/>
  <c r="K492" i="3"/>
  <c r="J492" i="3"/>
  <c r="I492" i="3"/>
  <c r="L491" i="3"/>
  <c r="K491" i="3"/>
  <c r="J491" i="3"/>
  <c r="I491" i="3"/>
  <c r="L490" i="3"/>
  <c r="K490" i="3"/>
  <c r="J490" i="3"/>
  <c r="I490" i="3"/>
  <c r="L489" i="3"/>
  <c r="K489" i="3"/>
  <c r="J489" i="3"/>
  <c r="I489" i="3"/>
  <c r="L488" i="3"/>
  <c r="K488" i="3"/>
  <c r="J488" i="3"/>
  <c r="I488" i="3"/>
  <c r="L487" i="3"/>
  <c r="K487" i="3"/>
  <c r="J487" i="3"/>
  <c r="I487" i="3"/>
  <c r="L486" i="3"/>
  <c r="K486" i="3"/>
  <c r="J486" i="3"/>
  <c r="I486" i="3"/>
  <c r="L485" i="3"/>
  <c r="K485" i="3"/>
  <c r="J485" i="3"/>
  <c r="I485" i="3"/>
  <c r="L484" i="3"/>
  <c r="K484" i="3"/>
  <c r="J484" i="3"/>
  <c r="I484" i="3"/>
  <c r="L483" i="3"/>
  <c r="K483" i="3"/>
  <c r="J483" i="3"/>
  <c r="I483" i="3"/>
  <c r="L482" i="3"/>
  <c r="K482" i="3"/>
  <c r="J482" i="3"/>
  <c r="I482" i="3"/>
  <c r="L481" i="3"/>
  <c r="K481" i="3"/>
  <c r="J481" i="3"/>
  <c r="I481" i="3"/>
  <c r="L480" i="3"/>
  <c r="K480" i="3"/>
  <c r="J480" i="3"/>
  <c r="I480" i="3"/>
  <c r="L479" i="3"/>
  <c r="K479" i="3"/>
  <c r="J479" i="3"/>
  <c r="I479" i="3"/>
  <c r="L478" i="3"/>
  <c r="K478" i="3"/>
  <c r="J478" i="3"/>
  <c r="I478" i="3"/>
  <c r="L477" i="3"/>
  <c r="K477" i="3"/>
  <c r="J477" i="3"/>
  <c r="I477" i="3"/>
  <c r="L476" i="3"/>
  <c r="K476" i="3"/>
  <c r="J476" i="3"/>
  <c r="I476" i="3"/>
  <c r="L475" i="3"/>
  <c r="K475" i="3"/>
  <c r="J475" i="3"/>
  <c r="I475" i="3"/>
  <c r="L474" i="3"/>
  <c r="K474" i="3"/>
  <c r="J474" i="3"/>
  <c r="I474" i="3"/>
  <c r="L473" i="3"/>
  <c r="K473" i="3"/>
  <c r="J473" i="3"/>
  <c r="I473" i="3"/>
  <c r="L472" i="3"/>
  <c r="K472" i="3"/>
  <c r="J472" i="3"/>
  <c r="I472" i="3"/>
  <c r="L471" i="3"/>
  <c r="K471" i="3"/>
  <c r="J471" i="3"/>
  <c r="I471" i="3"/>
  <c r="L470" i="3"/>
  <c r="K470" i="3"/>
  <c r="J470" i="3"/>
  <c r="I470" i="3"/>
  <c r="L469" i="3"/>
  <c r="K469" i="3"/>
  <c r="J469" i="3"/>
  <c r="I469" i="3"/>
  <c r="L468" i="3"/>
  <c r="K468" i="3"/>
  <c r="J468" i="3"/>
  <c r="I468" i="3"/>
  <c r="L467" i="3"/>
  <c r="K467" i="3"/>
  <c r="J467" i="3"/>
  <c r="I467" i="3"/>
  <c r="L466" i="3"/>
  <c r="K466" i="3"/>
  <c r="J466" i="3"/>
  <c r="I466" i="3"/>
  <c r="L465" i="3"/>
  <c r="K465" i="3"/>
  <c r="J465" i="3"/>
  <c r="I465" i="3"/>
  <c r="L464" i="3"/>
  <c r="K464" i="3"/>
  <c r="J464" i="3"/>
  <c r="I464" i="3"/>
  <c r="L463" i="3"/>
  <c r="K463" i="3"/>
  <c r="J463" i="3"/>
  <c r="I463" i="3"/>
  <c r="L462" i="3"/>
  <c r="K462" i="3"/>
  <c r="J462" i="3"/>
  <c r="I462" i="3"/>
  <c r="L461" i="3"/>
  <c r="K461" i="3"/>
  <c r="J461" i="3"/>
  <c r="I461" i="3"/>
  <c r="L460" i="3"/>
  <c r="K460" i="3"/>
  <c r="J460" i="3"/>
  <c r="I460" i="3"/>
  <c r="L459" i="3"/>
  <c r="K459" i="3"/>
  <c r="J459" i="3"/>
  <c r="I459" i="3"/>
  <c r="L458" i="3"/>
  <c r="K458" i="3"/>
  <c r="J458" i="3"/>
  <c r="I458" i="3"/>
  <c r="L457" i="3"/>
  <c r="K457" i="3"/>
  <c r="J457" i="3"/>
  <c r="I457" i="3"/>
  <c r="L456" i="3"/>
  <c r="K456" i="3"/>
  <c r="J456" i="3"/>
  <c r="I456" i="3"/>
  <c r="L455" i="3"/>
  <c r="K455" i="3"/>
  <c r="J455" i="3"/>
  <c r="I455" i="3"/>
  <c r="L454" i="3"/>
  <c r="K454" i="3"/>
  <c r="J454" i="3"/>
  <c r="I454" i="3"/>
  <c r="L453" i="3"/>
  <c r="K453" i="3"/>
  <c r="J453" i="3"/>
  <c r="I453" i="3"/>
  <c r="L452" i="3"/>
  <c r="K452" i="3"/>
  <c r="J452" i="3"/>
  <c r="I452" i="3"/>
  <c r="L451" i="3"/>
  <c r="K451" i="3"/>
  <c r="J451" i="3"/>
  <c r="I451" i="3"/>
  <c r="L450" i="3"/>
  <c r="K450" i="3"/>
  <c r="J450" i="3"/>
  <c r="I450" i="3"/>
  <c r="L449" i="3"/>
  <c r="K449" i="3"/>
  <c r="J449" i="3"/>
  <c r="I449" i="3"/>
  <c r="L448" i="3"/>
  <c r="K448" i="3"/>
  <c r="J448" i="3"/>
  <c r="I448" i="3"/>
  <c r="L447" i="3"/>
  <c r="K447" i="3"/>
  <c r="J447" i="3"/>
  <c r="I447" i="3"/>
  <c r="L446" i="3"/>
  <c r="K446" i="3"/>
  <c r="J446" i="3"/>
  <c r="I446" i="3"/>
  <c r="L445" i="3"/>
  <c r="K445" i="3"/>
  <c r="J445" i="3"/>
  <c r="I445" i="3"/>
  <c r="L444" i="3"/>
  <c r="K444" i="3"/>
  <c r="J444" i="3"/>
  <c r="I444" i="3"/>
  <c r="L443" i="3"/>
  <c r="K443" i="3"/>
  <c r="J443" i="3"/>
  <c r="I443" i="3"/>
  <c r="L442" i="3"/>
  <c r="K442" i="3"/>
  <c r="J442" i="3"/>
  <c r="I442" i="3"/>
  <c r="L441" i="3"/>
  <c r="K441" i="3"/>
  <c r="J441" i="3"/>
  <c r="I441" i="3"/>
  <c r="L440" i="3"/>
  <c r="K440" i="3"/>
  <c r="J440" i="3"/>
  <c r="I440" i="3"/>
  <c r="L439" i="3"/>
  <c r="K439" i="3"/>
  <c r="J439" i="3"/>
  <c r="I439" i="3"/>
  <c r="L438" i="3"/>
  <c r="K438" i="3"/>
  <c r="J438" i="3"/>
  <c r="I438" i="3"/>
  <c r="L437" i="3"/>
  <c r="K437" i="3"/>
  <c r="J437" i="3"/>
  <c r="I437" i="3"/>
  <c r="L436" i="3"/>
  <c r="K436" i="3"/>
  <c r="J436" i="3"/>
  <c r="I436" i="3"/>
  <c r="L435" i="3"/>
  <c r="K435" i="3"/>
  <c r="J435" i="3"/>
  <c r="I435" i="3"/>
  <c r="L434" i="3"/>
  <c r="K434" i="3"/>
  <c r="J434" i="3"/>
  <c r="I434" i="3"/>
  <c r="L433" i="3"/>
  <c r="K433" i="3"/>
  <c r="J433" i="3"/>
  <c r="I433" i="3"/>
  <c r="L432" i="3"/>
  <c r="K432" i="3"/>
  <c r="J432" i="3"/>
  <c r="I432" i="3"/>
  <c r="L431" i="3"/>
  <c r="K431" i="3"/>
  <c r="J431" i="3"/>
  <c r="I431" i="3"/>
  <c r="L430" i="3"/>
  <c r="K430" i="3"/>
  <c r="J430" i="3"/>
  <c r="I430" i="3"/>
  <c r="L429" i="3"/>
  <c r="K429" i="3"/>
  <c r="J429" i="3"/>
  <c r="I429" i="3"/>
  <c r="L428" i="3"/>
  <c r="K428" i="3"/>
  <c r="J428" i="3"/>
  <c r="I428" i="3"/>
  <c r="L427" i="3"/>
  <c r="K427" i="3"/>
  <c r="J427" i="3"/>
  <c r="I427" i="3"/>
  <c r="L426" i="3"/>
  <c r="K426" i="3"/>
  <c r="J426" i="3"/>
  <c r="I426" i="3"/>
  <c r="L425" i="3"/>
  <c r="K425" i="3"/>
  <c r="J425" i="3"/>
  <c r="I425" i="3"/>
  <c r="L424" i="3"/>
  <c r="K424" i="3"/>
  <c r="J424" i="3"/>
  <c r="I424" i="3"/>
  <c r="L423" i="3"/>
  <c r="K423" i="3"/>
  <c r="J423" i="3"/>
  <c r="I423" i="3"/>
  <c r="L422" i="3"/>
  <c r="K422" i="3"/>
  <c r="J422" i="3"/>
  <c r="I422" i="3"/>
  <c r="L421" i="3"/>
  <c r="K421" i="3"/>
  <c r="J421" i="3"/>
  <c r="I421" i="3"/>
  <c r="L420" i="3"/>
  <c r="K420" i="3"/>
  <c r="J420" i="3"/>
  <c r="I420" i="3"/>
  <c r="L419" i="3"/>
  <c r="K419" i="3"/>
  <c r="J419" i="3"/>
  <c r="I419" i="3"/>
  <c r="L418" i="3"/>
  <c r="K418" i="3"/>
  <c r="J418" i="3"/>
  <c r="I418" i="3"/>
  <c r="L417" i="3"/>
  <c r="K417" i="3"/>
  <c r="J417" i="3"/>
  <c r="I417" i="3"/>
  <c r="L416" i="3"/>
  <c r="K416" i="3"/>
  <c r="J416" i="3"/>
  <c r="I416" i="3"/>
  <c r="L415" i="3"/>
  <c r="K415" i="3"/>
  <c r="J415" i="3"/>
  <c r="I415" i="3"/>
  <c r="L414" i="3"/>
  <c r="K414" i="3"/>
  <c r="J414" i="3"/>
  <c r="I414" i="3"/>
  <c r="L413" i="3"/>
  <c r="K413" i="3"/>
  <c r="J413" i="3"/>
  <c r="I413" i="3"/>
  <c r="L412" i="3"/>
  <c r="K412" i="3"/>
  <c r="J412" i="3"/>
  <c r="I412" i="3"/>
  <c r="L411" i="3"/>
  <c r="K411" i="3"/>
  <c r="J411" i="3"/>
  <c r="I411" i="3"/>
  <c r="L410" i="3"/>
  <c r="K410" i="3"/>
  <c r="J410" i="3"/>
  <c r="I410" i="3"/>
  <c r="L409" i="3"/>
  <c r="K409" i="3"/>
  <c r="J409" i="3"/>
  <c r="I409" i="3"/>
  <c r="L408" i="3"/>
  <c r="K408" i="3"/>
  <c r="J408" i="3"/>
  <c r="I408" i="3"/>
  <c r="L407" i="3"/>
  <c r="K407" i="3"/>
  <c r="J407" i="3"/>
  <c r="I407" i="3"/>
  <c r="L406" i="3"/>
  <c r="K406" i="3"/>
  <c r="J406" i="3"/>
  <c r="I406" i="3"/>
  <c r="L405" i="3"/>
  <c r="K405" i="3"/>
  <c r="J405" i="3"/>
  <c r="I405" i="3"/>
  <c r="L404" i="3"/>
  <c r="K404" i="3"/>
  <c r="J404" i="3"/>
  <c r="I404" i="3"/>
  <c r="L403" i="3"/>
  <c r="K403" i="3"/>
  <c r="J403" i="3"/>
  <c r="I403" i="3"/>
  <c r="L402" i="3"/>
  <c r="K402" i="3"/>
  <c r="J402" i="3"/>
  <c r="I402" i="3"/>
  <c r="L401" i="3"/>
  <c r="K401" i="3"/>
  <c r="J401" i="3"/>
  <c r="I401" i="3"/>
  <c r="L400" i="3"/>
  <c r="K400" i="3"/>
  <c r="J400" i="3"/>
  <c r="I400" i="3"/>
  <c r="L399" i="3"/>
  <c r="K399" i="3"/>
  <c r="J399" i="3"/>
  <c r="I399" i="3"/>
  <c r="L398" i="3"/>
  <c r="K398" i="3"/>
  <c r="J398" i="3"/>
  <c r="I398" i="3"/>
  <c r="L397" i="3"/>
  <c r="K397" i="3"/>
  <c r="J397" i="3"/>
  <c r="I397" i="3"/>
  <c r="L396" i="3"/>
  <c r="K396" i="3"/>
  <c r="J396" i="3"/>
  <c r="I396" i="3"/>
  <c r="L395" i="3"/>
  <c r="K395" i="3"/>
  <c r="J395" i="3"/>
  <c r="I395" i="3"/>
  <c r="L394" i="3"/>
  <c r="K394" i="3"/>
  <c r="J394" i="3"/>
  <c r="I394" i="3"/>
  <c r="L393" i="3"/>
  <c r="K393" i="3"/>
  <c r="J393" i="3"/>
  <c r="I393" i="3"/>
  <c r="L392" i="3"/>
  <c r="K392" i="3"/>
  <c r="J392" i="3"/>
  <c r="I392" i="3"/>
  <c r="L391" i="3"/>
  <c r="K391" i="3"/>
  <c r="J391" i="3"/>
  <c r="I391" i="3"/>
  <c r="L390" i="3"/>
  <c r="K390" i="3"/>
  <c r="J390" i="3"/>
  <c r="I390" i="3"/>
  <c r="L389" i="3"/>
  <c r="K389" i="3"/>
  <c r="J389" i="3"/>
  <c r="I389" i="3"/>
  <c r="L388" i="3"/>
  <c r="K388" i="3"/>
  <c r="J388" i="3"/>
  <c r="I388" i="3"/>
  <c r="L387" i="3"/>
  <c r="K387" i="3"/>
  <c r="J387" i="3"/>
  <c r="I387" i="3"/>
  <c r="L386" i="3"/>
  <c r="K386" i="3"/>
  <c r="J386" i="3"/>
  <c r="I386" i="3"/>
  <c r="L385" i="3"/>
  <c r="K385" i="3"/>
  <c r="J385" i="3"/>
  <c r="I385" i="3"/>
  <c r="L384" i="3"/>
  <c r="K384" i="3"/>
  <c r="J384" i="3"/>
  <c r="I384" i="3"/>
  <c r="L383" i="3"/>
  <c r="K383" i="3"/>
  <c r="J383" i="3"/>
  <c r="I383" i="3"/>
  <c r="L382" i="3"/>
  <c r="K382" i="3"/>
  <c r="J382" i="3"/>
  <c r="I382" i="3"/>
  <c r="L381" i="3"/>
  <c r="K381" i="3"/>
  <c r="J381" i="3"/>
  <c r="I381" i="3"/>
  <c r="L380" i="3"/>
  <c r="K380" i="3"/>
  <c r="J380" i="3"/>
  <c r="I380" i="3"/>
  <c r="L379" i="3"/>
  <c r="K379" i="3"/>
  <c r="J379" i="3"/>
  <c r="I379" i="3"/>
  <c r="L378" i="3"/>
  <c r="K378" i="3"/>
  <c r="J378" i="3"/>
  <c r="I378" i="3"/>
  <c r="L377" i="3"/>
  <c r="K377" i="3"/>
  <c r="J377" i="3"/>
  <c r="I377" i="3"/>
  <c r="L376" i="3"/>
  <c r="K376" i="3"/>
  <c r="J376" i="3"/>
  <c r="I376" i="3"/>
  <c r="L375" i="3"/>
  <c r="K375" i="3"/>
  <c r="J375" i="3"/>
  <c r="I375" i="3"/>
  <c r="L374" i="3"/>
  <c r="K374" i="3"/>
  <c r="J374" i="3"/>
  <c r="I374" i="3"/>
  <c r="L373" i="3"/>
  <c r="K373" i="3"/>
  <c r="J373" i="3"/>
  <c r="I373" i="3"/>
  <c r="L372" i="3"/>
  <c r="K372" i="3"/>
  <c r="J372" i="3"/>
  <c r="I372" i="3"/>
  <c r="L371" i="3"/>
  <c r="K371" i="3"/>
  <c r="J371" i="3"/>
  <c r="I371" i="3"/>
  <c r="L370" i="3"/>
  <c r="K370" i="3"/>
  <c r="J370" i="3"/>
  <c r="I370" i="3"/>
  <c r="L369" i="3"/>
  <c r="K369" i="3"/>
  <c r="J369" i="3"/>
  <c r="I369" i="3"/>
  <c r="L368" i="3"/>
  <c r="K368" i="3"/>
  <c r="J368" i="3"/>
  <c r="I368" i="3"/>
  <c r="L367" i="3"/>
  <c r="K367" i="3"/>
  <c r="J367" i="3"/>
  <c r="I367" i="3"/>
  <c r="L366" i="3"/>
  <c r="K366" i="3"/>
  <c r="J366" i="3"/>
  <c r="I366" i="3"/>
  <c r="L365" i="3"/>
  <c r="K365" i="3"/>
  <c r="J365" i="3"/>
  <c r="I365" i="3"/>
  <c r="L364" i="3"/>
  <c r="K364" i="3"/>
  <c r="J364" i="3"/>
  <c r="I364" i="3"/>
  <c r="L363" i="3"/>
  <c r="K363" i="3"/>
  <c r="J363" i="3"/>
  <c r="I363" i="3"/>
  <c r="L362" i="3"/>
  <c r="K362" i="3"/>
  <c r="J362" i="3"/>
  <c r="I362" i="3"/>
  <c r="L361" i="3"/>
  <c r="K361" i="3"/>
  <c r="J361" i="3"/>
  <c r="I361" i="3"/>
  <c r="L360" i="3"/>
  <c r="K360" i="3"/>
  <c r="J360" i="3"/>
  <c r="I360" i="3"/>
  <c r="L359" i="3"/>
  <c r="K359" i="3"/>
  <c r="J359" i="3"/>
  <c r="I359" i="3"/>
  <c r="L358" i="3"/>
  <c r="K358" i="3"/>
  <c r="J358" i="3"/>
  <c r="I358" i="3"/>
  <c r="L357" i="3"/>
  <c r="K357" i="3"/>
  <c r="J357" i="3"/>
  <c r="I357" i="3"/>
  <c r="L356" i="3"/>
  <c r="K356" i="3"/>
  <c r="J356" i="3"/>
  <c r="I356" i="3"/>
  <c r="L355" i="3"/>
  <c r="K355" i="3"/>
  <c r="J355" i="3"/>
  <c r="I355" i="3"/>
  <c r="L354" i="3"/>
  <c r="K354" i="3"/>
  <c r="J354" i="3"/>
  <c r="I354" i="3"/>
  <c r="L353" i="3"/>
  <c r="K353" i="3"/>
  <c r="J353" i="3"/>
  <c r="I353" i="3"/>
  <c r="L352" i="3"/>
  <c r="K352" i="3"/>
  <c r="J352" i="3"/>
  <c r="I352" i="3"/>
  <c r="L351" i="3"/>
  <c r="K351" i="3"/>
  <c r="J351" i="3"/>
  <c r="I351" i="3"/>
  <c r="L350" i="3"/>
  <c r="K350" i="3"/>
  <c r="J350" i="3"/>
  <c r="I350" i="3"/>
  <c r="L349" i="3"/>
  <c r="K349" i="3"/>
  <c r="J349" i="3"/>
  <c r="I349" i="3"/>
  <c r="L348" i="3"/>
  <c r="K348" i="3"/>
  <c r="J348" i="3"/>
  <c r="I348" i="3"/>
  <c r="L347" i="3"/>
  <c r="K347" i="3"/>
  <c r="J347" i="3"/>
  <c r="I347" i="3"/>
  <c r="L346" i="3"/>
  <c r="K346" i="3"/>
  <c r="J346" i="3"/>
  <c r="I346" i="3"/>
  <c r="L345" i="3"/>
  <c r="K345" i="3"/>
  <c r="J345" i="3"/>
  <c r="I345" i="3"/>
  <c r="L344" i="3"/>
  <c r="K344" i="3"/>
  <c r="J344" i="3"/>
  <c r="I344" i="3"/>
  <c r="L343" i="3"/>
  <c r="K343" i="3"/>
  <c r="J343" i="3"/>
  <c r="I343" i="3"/>
  <c r="L342" i="3"/>
  <c r="K342" i="3"/>
  <c r="J342" i="3"/>
  <c r="I342" i="3"/>
  <c r="L341" i="3"/>
  <c r="K341" i="3"/>
  <c r="J341" i="3"/>
  <c r="I341" i="3"/>
  <c r="L340" i="3"/>
  <c r="K340" i="3"/>
  <c r="J340" i="3"/>
  <c r="I340" i="3"/>
  <c r="L339" i="3"/>
  <c r="K339" i="3"/>
  <c r="J339" i="3"/>
  <c r="I339" i="3"/>
  <c r="L338" i="3"/>
  <c r="K338" i="3"/>
  <c r="J338" i="3"/>
  <c r="I338" i="3"/>
  <c r="L337" i="3"/>
  <c r="K337" i="3"/>
  <c r="J337" i="3"/>
  <c r="I337" i="3"/>
  <c r="L336" i="3"/>
  <c r="K336" i="3"/>
  <c r="J336" i="3"/>
  <c r="I336" i="3"/>
  <c r="L335" i="3"/>
  <c r="K335" i="3"/>
  <c r="J335" i="3"/>
  <c r="I335" i="3"/>
  <c r="L334" i="3"/>
  <c r="K334" i="3"/>
  <c r="J334" i="3"/>
  <c r="I334" i="3"/>
  <c r="L333" i="3"/>
  <c r="K333" i="3"/>
  <c r="J333" i="3"/>
  <c r="I333" i="3"/>
  <c r="L332" i="3"/>
  <c r="K332" i="3"/>
  <c r="J332" i="3"/>
  <c r="I332" i="3"/>
  <c r="L331" i="3"/>
  <c r="K331" i="3"/>
  <c r="J331" i="3"/>
  <c r="I331" i="3"/>
  <c r="L330" i="3"/>
  <c r="K330" i="3"/>
  <c r="J330" i="3"/>
  <c r="I330" i="3"/>
  <c r="L329" i="3"/>
  <c r="K329" i="3"/>
  <c r="J329" i="3"/>
  <c r="I329" i="3"/>
  <c r="L328" i="3"/>
  <c r="K328" i="3"/>
  <c r="J328" i="3"/>
  <c r="I328" i="3"/>
  <c r="L327" i="3"/>
  <c r="K327" i="3"/>
  <c r="J327" i="3"/>
  <c r="I327" i="3"/>
  <c r="L326" i="3"/>
  <c r="K326" i="3"/>
  <c r="J326" i="3"/>
  <c r="I326" i="3"/>
  <c r="L325" i="3"/>
  <c r="K325" i="3"/>
  <c r="J325" i="3"/>
  <c r="I325" i="3"/>
  <c r="L324" i="3"/>
  <c r="K324" i="3"/>
  <c r="J324" i="3"/>
  <c r="I324" i="3"/>
  <c r="L323" i="3"/>
  <c r="K323" i="3"/>
  <c r="J323" i="3"/>
  <c r="I323" i="3"/>
  <c r="L322" i="3"/>
  <c r="K322" i="3"/>
  <c r="J322" i="3"/>
  <c r="I322" i="3"/>
  <c r="L321" i="3"/>
  <c r="K321" i="3"/>
  <c r="J321" i="3"/>
  <c r="I321" i="3"/>
  <c r="L320" i="3"/>
  <c r="K320" i="3"/>
  <c r="J320" i="3"/>
  <c r="I320" i="3"/>
  <c r="L319" i="3"/>
  <c r="K319" i="3"/>
  <c r="J319" i="3"/>
  <c r="I319" i="3"/>
  <c r="L318" i="3"/>
  <c r="K318" i="3"/>
  <c r="J318" i="3"/>
  <c r="I318" i="3"/>
  <c r="L317" i="3"/>
  <c r="K317" i="3"/>
  <c r="J317" i="3"/>
  <c r="I317" i="3"/>
  <c r="L316" i="3"/>
  <c r="K316" i="3"/>
  <c r="J316" i="3"/>
  <c r="I316" i="3"/>
  <c r="L315" i="3"/>
  <c r="K315" i="3"/>
  <c r="J315" i="3"/>
  <c r="I315" i="3"/>
  <c r="L314" i="3"/>
  <c r="K314" i="3"/>
  <c r="J314" i="3"/>
  <c r="I314" i="3"/>
  <c r="L313" i="3"/>
  <c r="K313" i="3"/>
  <c r="J313" i="3"/>
  <c r="I313" i="3"/>
  <c r="L312" i="3"/>
  <c r="K312" i="3"/>
  <c r="J312" i="3"/>
  <c r="I312" i="3"/>
  <c r="L311" i="3"/>
  <c r="K311" i="3"/>
  <c r="J311" i="3"/>
  <c r="I311" i="3"/>
  <c r="L310" i="3"/>
  <c r="K310" i="3"/>
  <c r="J310" i="3"/>
  <c r="I310" i="3"/>
  <c r="L309" i="3"/>
  <c r="K309" i="3"/>
  <c r="J309" i="3"/>
  <c r="I309" i="3"/>
  <c r="L308" i="3"/>
  <c r="K308" i="3"/>
  <c r="J308" i="3"/>
  <c r="I308" i="3"/>
  <c r="L307" i="3"/>
  <c r="K307" i="3"/>
  <c r="J307" i="3"/>
  <c r="I307" i="3"/>
  <c r="L306" i="3"/>
  <c r="K306" i="3"/>
  <c r="J306" i="3"/>
  <c r="I306" i="3"/>
  <c r="L305" i="3"/>
  <c r="K305" i="3"/>
  <c r="J305" i="3"/>
  <c r="I305" i="3"/>
  <c r="L304" i="3"/>
  <c r="K304" i="3"/>
  <c r="J304" i="3"/>
  <c r="I304" i="3"/>
  <c r="L303" i="3"/>
  <c r="K303" i="3"/>
  <c r="J303" i="3"/>
  <c r="I303" i="3"/>
  <c r="L302" i="3"/>
  <c r="K302" i="3"/>
  <c r="J302" i="3"/>
  <c r="I302" i="3"/>
  <c r="L301" i="3"/>
  <c r="K301" i="3"/>
  <c r="J301" i="3"/>
  <c r="I301" i="3"/>
  <c r="L300" i="3"/>
  <c r="K300" i="3"/>
  <c r="J300" i="3"/>
  <c r="I300" i="3"/>
  <c r="L299" i="3"/>
  <c r="K299" i="3"/>
  <c r="J299" i="3"/>
  <c r="I299" i="3"/>
  <c r="L298" i="3"/>
  <c r="K298" i="3"/>
  <c r="J298" i="3"/>
  <c r="I298" i="3"/>
  <c r="L297" i="3"/>
  <c r="K297" i="3"/>
  <c r="J297" i="3"/>
  <c r="I297" i="3"/>
  <c r="L296" i="3"/>
  <c r="K296" i="3"/>
  <c r="J296" i="3"/>
  <c r="I296" i="3"/>
  <c r="L295" i="3"/>
  <c r="K295" i="3"/>
  <c r="J295" i="3"/>
  <c r="I295" i="3"/>
  <c r="L294" i="3"/>
  <c r="K294" i="3"/>
  <c r="J294" i="3"/>
  <c r="I294" i="3"/>
  <c r="L293" i="3"/>
  <c r="K293" i="3"/>
  <c r="J293" i="3"/>
  <c r="I293" i="3"/>
  <c r="L292" i="3"/>
  <c r="K292" i="3"/>
  <c r="J292" i="3"/>
  <c r="I292" i="3"/>
  <c r="L291" i="3"/>
  <c r="K291" i="3"/>
  <c r="J291" i="3"/>
  <c r="I291" i="3"/>
  <c r="L290" i="3"/>
  <c r="K290" i="3"/>
  <c r="J290" i="3"/>
  <c r="I290" i="3"/>
  <c r="L289" i="3"/>
  <c r="K289" i="3"/>
  <c r="J289" i="3"/>
  <c r="I289" i="3"/>
  <c r="L288" i="3"/>
  <c r="K288" i="3"/>
  <c r="J288" i="3"/>
  <c r="I288" i="3"/>
  <c r="L287" i="3"/>
  <c r="K287" i="3"/>
  <c r="J287" i="3"/>
  <c r="I287" i="3"/>
  <c r="L286" i="3"/>
  <c r="K286" i="3"/>
  <c r="J286" i="3"/>
  <c r="I286" i="3"/>
  <c r="L285" i="3"/>
  <c r="K285" i="3"/>
  <c r="J285" i="3"/>
  <c r="I285" i="3"/>
  <c r="L284" i="3"/>
  <c r="K284" i="3"/>
  <c r="J284" i="3"/>
  <c r="I284" i="3"/>
  <c r="L283" i="3"/>
  <c r="K283" i="3"/>
  <c r="J283" i="3"/>
  <c r="I283" i="3"/>
  <c r="L282" i="3"/>
  <c r="K282" i="3"/>
  <c r="J282" i="3"/>
  <c r="I282" i="3"/>
  <c r="L281" i="3"/>
  <c r="K281" i="3"/>
  <c r="J281" i="3"/>
  <c r="I281" i="3"/>
  <c r="L280" i="3"/>
  <c r="K280" i="3"/>
  <c r="J280" i="3"/>
  <c r="I280" i="3"/>
  <c r="L279" i="3"/>
  <c r="K279" i="3"/>
  <c r="J279" i="3"/>
  <c r="I279" i="3"/>
  <c r="L278" i="3"/>
  <c r="K278" i="3"/>
  <c r="J278" i="3"/>
  <c r="I278" i="3"/>
  <c r="L277" i="3"/>
  <c r="K277" i="3"/>
  <c r="J277" i="3"/>
  <c r="I277" i="3"/>
  <c r="L276" i="3"/>
  <c r="K276" i="3"/>
  <c r="J276" i="3"/>
  <c r="I276" i="3"/>
  <c r="L275" i="3"/>
  <c r="K275" i="3"/>
  <c r="J275" i="3"/>
  <c r="I275" i="3"/>
  <c r="L274" i="3"/>
  <c r="K274" i="3"/>
  <c r="J274" i="3"/>
  <c r="I274" i="3"/>
  <c r="L273" i="3"/>
  <c r="K273" i="3"/>
  <c r="J273" i="3"/>
  <c r="I273" i="3"/>
  <c r="L272" i="3"/>
  <c r="K272" i="3"/>
  <c r="J272" i="3"/>
  <c r="I272" i="3"/>
  <c r="L271" i="3"/>
  <c r="K271" i="3"/>
  <c r="J271" i="3"/>
  <c r="I271" i="3"/>
  <c r="L270" i="3"/>
  <c r="K270" i="3"/>
  <c r="J270" i="3"/>
  <c r="I270" i="3"/>
  <c r="L269" i="3"/>
  <c r="K269" i="3"/>
  <c r="J269" i="3"/>
  <c r="I269" i="3"/>
  <c r="L268" i="3"/>
  <c r="K268" i="3"/>
  <c r="J268" i="3"/>
  <c r="I268" i="3"/>
  <c r="L267" i="3"/>
  <c r="K267" i="3"/>
  <c r="J267" i="3"/>
  <c r="I267" i="3"/>
  <c r="L266" i="3"/>
  <c r="K266" i="3"/>
  <c r="J266" i="3"/>
  <c r="I266" i="3"/>
  <c r="L265" i="3"/>
  <c r="K265" i="3"/>
  <c r="J265" i="3"/>
  <c r="I265" i="3"/>
  <c r="L264" i="3"/>
  <c r="K264" i="3"/>
  <c r="J264" i="3"/>
  <c r="I264" i="3"/>
  <c r="L263" i="3"/>
  <c r="K263" i="3"/>
  <c r="J263" i="3"/>
  <c r="I263" i="3"/>
  <c r="L262" i="3"/>
  <c r="K262" i="3"/>
  <c r="J262" i="3"/>
  <c r="I262" i="3"/>
  <c r="L261" i="3"/>
  <c r="K261" i="3"/>
  <c r="J261" i="3"/>
  <c r="I261" i="3"/>
  <c r="L260" i="3"/>
  <c r="K260" i="3"/>
  <c r="J260" i="3"/>
  <c r="I260" i="3"/>
  <c r="L259" i="3"/>
  <c r="K259" i="3"/>
  <c r="J259" i="3"/>
  <c r="I259" i="3"/>
  <c r="L258" i="3"/>
  <c r="K258" i="3"/>
  <c r="J258" i="3"/>
  <c r="I258" i="3"/>
  <c r="L257" i="3"/>
  <c r="K257" i="3"/>
  <c r="J257" i="3"/>
  <c r="I257" i="3"/>
  <c r="L256" i="3"/>
  <c r="K256" i="3"/>
  <c r="J256" i="3"/>
  <c r="I256" i="3"/>
  <c r="L255" i="3"/>
  <c r="K255" i="3"/>
  <c r="J255" i="3"/>
  <c r="I255" i="3"/>
  <c r="L254" i="3"/>
  <c r="K254" i="3"/>
  <c r="J254" i="3"/>
  <c r="I254" i="3"/>
  <c r="L253" i="3"/>
  <c r="K253" i="3"/>
  <c r="J253" i="3"/>
  <c r="I253" i="3"/>
  <c r="L252" i="3"/>
  <c r="K252" i="3"/>
  <c r="J252" i="3"/>
  <c r="I252" i="3"/>
  <c r="L251" i="3"/>
  <c r="K251" i="3"/>
  <c r="J251" i="3"/>
  <c r="I251" i="3"/>
  <c r="L250" i="3"/>
  <c r="K250" i="3"/>
  <c r="J250" i="3"/>
  <c r="I250" i="3"/>
  <c r="L249" i="3"/>
  <c r="K249" i="3"/>
  <c r="J249" i="3"/>
  <c r="I249" i="3"/>
  <c r="L248" i="3"/>
  <c r="K248" i="3"/>
  <c r="J248" i="3"/>
  <c r="I248" i="3"/>
  <c r="L247" i="3"/>
  <c r="K247" i="3"/>
  <c r="J247" i="3"/>
  <c r="I247" i="3"/>
  <c r="L246" i="3"/>
  <c r="K246" i="3"/>
  <c r="J246" i="3"/>
  <c r="I246" i="3"/>
  <c r="L245" i="3"/>
  <c r="K245" i="3"/>
  <c r="J245" i="3"/>
  <c r="I245" i="3"/>
  <c r="L244" i="3"/>
  <c r="K244" i="3"/>
  <c r="J244" i="3"/>
  <c r="I244" i="3"/>
  <c r="L243" i="3"/>
  <c r="K243" i="3"/>
  <c r="J243" i="3"/>
  <c r="I243" i="3"/>
  <c r="L242" i="3"/>
  <c r="K242" i="3"/>
  <c r="J242" i="3"/>
  <c r="I242" i="3"/>
  <c r="L241" i="3"/>
  <c r="K241" i="3"/>
  <c r="J241" i="3"/>
  <c r="I241" i="3"/>
  <c r="L240" i="3"/>
  <c r="K240" i="3"/>
  <c r="J240" i="3"/>
  <c r="I240" i="3"/>
  <c r="L239" i="3"/>
  <c r="K239" i="3"/>
  <c r="J239" i="3"/>
  <c r="I239" i="3"/>
  <c r="L238" i="3"/>
  <c r="K238" i="3"/>
  <c r="J238" i="3"/>
  <c r="I238" i="3"/>
  <c r="L237" i="3"/>
  <c r="K237" i="3"/>
  <c r="J237" i="3"/>
  <c r="I237" i="3"/>
  <c r="L236" i="3"/>
  <c r="K236" i="3"/>
  <c r="J236" i="3"/>
  <c r="I236" i="3"/>
  <c r="L235" i="3"/>
  <c r="K235" i="3"/>
  <c r="J235" i="3"/>
  <c r="I235" i="3"/>
  <c r="L234" i="3"/>
  <c r="K234" i="3"/>
  <c r="J234" i="3"/>
  <c r="I234" i="3"/>
  <c r="L233" i="3"/>
  <c r="K233" i="3"/>
  <c r="J233" i="3"/>
  <c r="I233" i="3"/>
  <c r="L232" i="3"/>
  <c r="K232" i="3"/>
  <c r="J232" i="3"/>
  <c r="I232" i="3"/>
  <c r="L231" i="3"/>
  <c r="K231" i="3"/>
  <c r="J231" i="3"/>
  <c r="I231" i="3"/>
  <c r="L230" i="3"/>
  <c r="K230" i="3"/>
  <c r="J230" i="3"/>
  <c r="I230" i="3"/>
  <c r="L229" i="3"/>
  <c r="K229" i="3"/>
  <c r="J229" i="3"/>
  <c r="I229" i="3"/>
  <c r="L228" i="3"/>
  <c r="K228" i="3"/>
  <c r="J228" i="3"/>
  <c r="I228" i="3"/>
  <c r="L227" i="3"/>
  <c r="K227" i="3"/>
  <c r="J227" i="3"/>
  <c r="I227" i="3"/>
  <c r="L226" i="3"/>
  <c r="K226" i="3"/>
  <c r="J226" i="3"/>
  <c r="I226" i="3"/>
  <c r="L225" i="3"/>
  <c r="K225" i="3"/>
  <c r="J225" i="3"/>
  <c r="I225" i="3"/>
  <c r="L224" i="3"/>
  <c r="K224" i="3"/>
  <c r="J224" i="3"/>
  <c r="I224" i="3"/>
  <c r="L223" i="3"/>
  <c r="K223" i="3"/>
  <c r="J223" i="3"/>
  <c r="I223" i="3"/>
  <c r="L222" i="3"/>
  <c r="K222" i="3"/>
  <c r="J222" i="3"/>
  <c r="I222" i="3"/>
  <c r="L221" i="3"/>
  <c r="K221" i="3"/>
  <c r="J221" i="3"/>
  <c r="I221" i="3"/>
  <c r="L220" i="3"/>
  <c r="K220" i="3"/>
  <c r="J220" i="3"/>
  <c r="I220" i="3"/>
  <c r="L219" i="3"/>
  <c r="K219" i="3"/>
  <c r="J219" i="3"/>
  <c r="I219" i="3"/>
  <c r="L218" i="3"/>
  <c r="K218" i="3"/>
  <c r="J218" i="3"/>
  <c r="I218" i="3"/>
  <c r="L217" i="3"/>
  <c r="K217" i="3"/>
  <c r="J217" i="3"/>
  <c r="I217" i="3"/>
  <c r="L216" i="3"/>
  <c r="K216" i="3"/>
  <c r="J216" i="3"/>
  <c r="I216" i="3"/>
  <c r="L215" i="3"/>
  <c r="K215" i="3"/>
  <c r="J215" i="3"/>
  <c r="I215" i="3"/>
  <c r="L214" i="3"/>
  <c r="K214" i="3"/>
  <c r="J214" i="3"/>
  <c r="I214" i="3"/>
  <c r="L213" i="3"/>
  <c r="K213" i="3"/>
  <c r="J213" i="3"/>
  <c r="I213" i="3"/>
  <c r="L212" i="3"/>
  <c r="K212" i="3"/>
  <c r="J212" i="3"/>
  <c r="I212" i="3"/>
  <c r="L211" i="3"/>
  <c r="K211" i="3"/>
  <c r="J211" i="3"/>
  <c r="I211" i="3"/>
  <c r="L210" i="3"/>
  <c r="K210" i="3"/>
  <c r="J210" i="3"/>
  <c r="I210" i="3"/>
  <c r="L209" i="3"/>
  <c r="K209" i="3"/>
  <c r="J209" i="3"/>
  <c r="I209" i="3"/>
  <c r="L208" i="3"/>
  <c r="K208" i="3"/>
  <c r="J208" i="3"/>
  <c r="I208" i="3"/>
  <c r="L207" i="3"/>
  <c r="K207" i="3"/>
  <c r="J207" i="3"/>
  <c r="I207" i="3"/>
  <c r="L206" i="3"/>
  <c r="K206" i="3"/>
  <c r="J206" i="3"/>
  <c r="I206" i="3"/>
  <c r="L205" i="3"/>
  <c r="K205" i="3"/>
  <c r="J205" i="3"/>
  <c r="I205" i="3"/>
  <c r="L204" i="3"/>
  <c r="K204" i="3"/>
  <c r="J204" i="3"/>
  <c r="I204" i="3"/>
  <c r="L203" i="3"/>
  <c r="K203" i="3"/>
  <c r="J203" i="3"/>
  <c r="I203" i="3"/>
  <c r="L202" i="3"/>
  <c r="K202" i="3"/>
  <c r="J202" i="3"/>
  <c r="I202" i="3"/>
  <c r="L201" i="3"/>
  <c r="K201" i="3"/>
  <c r="J201" i="3"/>
  <c r="I201" i="3"/>
  <c r="L200" i="3"/>
  <c r="K200" i="3"/>
  <c r="J200" i="3"/>
  <c r="I200" i="3"/>
  <c r="L199" i="3"/>
  <c r="K199" i="3"/>
  <c r="J199" i="3"/>
  <c r="I199" i="3"/>
  <c r="L198" i="3"/>
  <c r="K198" i="3"/>
  <c r="J198" i="3"/>
  <c r="I198" i="3"/>
  <c r="L197" i="3"/>
  <c r="K197" i="3"/>
  <c r="J197" i="3"/>
  <c r="I197" i="3"/>
  <c r="L196" i="3"/>
  <c r="K196" i="3"/>
  <c r="J196" i="3"/>
  <c r="I196" i="3"/>
  <c r="L195" i="3"/>
  <c r="K195" i="3"/>
  <c r="J195" i="3"/>
  <c r="I195" i="3"/>
  <c r="L194" i="3"/>
  <c r="K194" i="3"/>
  <c r="J194" i="3"/>
  <c r="I194" i="3"/>
  <c r="L193" i="3"/>
  <c r="K193" i="3"/>
  <c r="J193" i="3"/>
  <c r="I193" i="3"/>
  <c r="L192" i="3"/>
  <c r="K192" i="3"/>
  <c r="J192" i="3"/>
  <c r="I192" i="3"/>
  <c r="L191" i="3"/>
  <c r="K191" i="3"/>
  <c r="J191" i="3"/>
  <c r="I191" i="3"/>
  <c r="L190" i="3"/>
  <c r="K190" i="3"/>
  <c r="J190" i="3"/>
  <c r="I190" i="3"/>
  <c r="L189" i="3"/>
  <c r="K189" i="3"/>
  <c r="J189" i="3"/>
  <c r="I189" i="3"/>
  <c r="L188" i="3"/>
  <c r="K188" i="3"/>
  <c r="J188" i="3"/>
  <c r="I188" i="3"/>
  <c r="L187" i="3"/>
  <c r="K187" i="3"/>
  <c r="J187" i="3"/>
  <c r="I187" i="3"/>
  <c r="L186" i="3"/>
  <c r="K186" i="3"/>
  <c r="J186" i="3"/>
  <c r="I186" i="3"/>
  <c r="L185" i="3"/>
  <c r="K185" i="3"/>
  <c r="J185" i="3"/>
  <c r="I185" i="3"/>
  <c r="L184" i="3"/>
  <c r="K184" i="3"/>
  <c r="J184" i="3"/>
  <c r="I184" i="3"/>
  <c r="L183" i="3"/>
  <c r="K183" i="3"/>
  <c r="J183" i="3"/>
  <c r="I183" i="3"/>
  <c r="L182" i="3"/>
  <c r="K182" i="3"/>
  <c r="J182" i="3"/>
  <c r="I182" i="3"/>
  <c r="L181" i="3"/>
  <c r="K181" i="3"/>
  <c r="J181" i="3"/>
  <c r="I181" i="3"/>
  <c r="L180" i="3"/>
  <c r="K180" i="3"/>
  <c r="J180" i="3"/>
  <c r="I180" i="3"/>
  <c r="L179" i="3"/>
  <c r="K179" i="3"/>
  <c r="J179" i="3"/>
  <c r="I179" i="3"/>
  <c r="L178" i="3"/>
  <c r="K178" i="3"/>
  <c r="J178" i="3"/>
  <c r="I178" i="3"/>
  <c r="L177" i="3"/>
  <c r="K177" i="3"/>
  <c r="J177" i="3"/>
  <c r="I177" i="3"/>
  <c r="L176" i="3"/>
  <c r="K176" i="3"/>
  <c r="J176" i="3"/>
  <c r="I176" i="3"/>
  <c r="L175" i="3"/>
  <c r="K175" i="3"/>
  <c r="J175" i="3"/>
  <c r="I175" i="3"/>
  <c r="L174" i="3"/>
  <c r="K174" i="3"/>
  <c r="J174" i="3"/>
  <c r="I174" i="3"/>
  <c r="L173" i="3"/>
  <c r="K173" i="3"/>
  <c r="J173" i="3"/>
  <c r="I173" i="3"/>
  <c r="L172" i="3"/>
  <c r="K172" i="3"/>
  <c r="J172" i="3"/>
  <c r="I172" i="3"/>
  <c r="L171" i="3"/>
  <c r="K171" i="3"/>
  <c r="J171" i="3"/>
  <c r="I171" i="3"/>
  <c r="L170" i="3"/>
  <c r="K170" i="3"/>
  <c r="J170" i="3"/>
  <c r="I170" i="3"/>
  <c r="L169" i="3"/>
  <c r="K169" i="3"/>
  <c r="J169" i="3"/>
  <c r="I169" i="3"/>
  <c r="L168" i="3"/>
  <c r="K168" i="3"/>
  <c r="J168" i="3"/>
  <c r="I168" i="3"/>
  <c r="L167" i="3"/>
  <c r="K167" i="3"/>
  <c r="J167" i="3"/>
  <c r="I167" i="3"/>
  <c r="L166" i="3"/>
  <c r="K166" i="3"/>
  <c r="J166" i="3"/>
  <c r="I166" i="3"/>
  <c r="L165" i="3"/>
  <c r="K165" i="3"/>
  <c r="J165" i="3"/>
  <c r="I165" i="3"/>
  <c r="L164" i="3"/>
  <c r="K164" i="3"/>
  <c r="J164" i="3"/>
  <c r="I164" i="3"/>
  <c r="L163" i="3"/>
  <c r="K163" i="3"/>
  <c r="J163" i="3"/>
  <c r="I163" i="3"/>
  <c r="L162" i="3"/>
  <c r="K162" i="3"/>
  <c r="J162" i="3"/>
  <c r="I162" i="3"/>
  <c r="L161" i="3"/>
  <c r="K161" i="3"/>
  <c r="J161" i="3"/>
  <c r="I161" i="3"/>
  <c r="L160" i="3"/>
  <c r="K160" i="3"/>
  <c r="J160" i="3"/>
  <c r="I160" i="3"/>
  <c r="L159" i="3"/>
  <c r="K159" i="3"/>
  <c r="J159" i="3"/>
  <c r="I159" i="3"/>
  <c r="L158" i="3"/>
  <c r="K158" i="3"/>
  <c r="J158" i="3"/>
  <c r="I158" i="3"/>
  <c r="L157" i="3"/>
  <c r="K157" i="3"/>
  <c r="J157" i="3"/>
  <c r="I157" i="3"/>
  <c r="L156" i="3"/>
  <c r="K156" i="3"/>
  <c r="J156" i="3"/>
  <c r="I156" i="3"/>
  <c r="L155" i="3"/>
  <c r="K155" i="3"/>
  <c r="J155" i="3"/>
  <c r="I155" i="3"/>
  <c r="L154" i="3"/>
  <c r="K154" i="3"/>
  <c r="J154" i="3"/>
  <c r="I154" i="3"/>
  <c r="L153" i="3"/>
  <c r="K153" i="3"/>
  <c r="J153" i="3"/>
  <c r="I153" i="3"/>
  <c r="L152" i="3"/>
  <c r="K152" i="3"/>
  <c r="J152" i="3"/>
  <c r="I152" i="3"/>
  <c r="L151" i="3"/>
  <c r="K151" i="3"/>
  <c r="J151" i="3"/>
  <c r="I151" i="3"/>
  <c r="L150" i="3"/>
  <c r="K150" i="3"/>
  <c r="J150" i="3"/>
  <c r="I150" i="3"/>
  <c r="L149" i="3"/>
  <c r="K149" i="3"/>
  <c r="J149" i="3"/>
  <c r="I149" i="3"/>
  <c r="L148" i="3"/>
  <c r="K148" i="3"/>
  <c r="J148" i="3"/>
  <c r="I148" i="3"/>
  <c r="L147" i="3"/>
  <c r="K147" i="3"/>
  <c r="J147" i="3"/>
  <c r="I147" i="3"/>
  <c r="L146" i="3"/>
  <c r="K146" i="3"/>
  <c r="J146" i="3"/>
  <c r="I146" i="3"/>
  <c r="L145" i="3"/>
  <c r="K145" i="3"/>
  <c r="J145" i="3"/>
  <c r="I145" i="3"/>
  <c r="L144" i="3"/>
  <c r="K144" i="3"/>
  <c r="J144" i="3"/>
  <c r="I144" i="3"/>
  <c r="L143" i="3"/>
  <c r="K143" i="3"/>
  <c r="J143" i="3"/>
  <c r="I143" i="3"/>
  <c r="L142" i="3"/>
  <c r="K142" i="3"/>
  <c r="J142" i="3"/>
  <c r="I142" i="3"/>
  <c r="L141" i="3"/>
  <c r="K141" i="3"/>
  <c r="J141" i="3"/>
  <c r="I141" i="3"/>
  <c r="L140" i="3"/>
  <c r="K140" i="3"/>
  <c r="J140" i="3"/>
  <c r="I140" i="3"/>
  <c r="L139" i="3"/>
  <c r="K139" i="3"/>
  <c r="J139" i="3"/>
  <c r="I139" i="3"/>
  <c r="L138" i="3"/>
  <c r="K138" i="3"/>
  <c r="J138" i="3"/>
  <c r="I138" i="3"/>
  <c r="L137" i="3"/>
  <c r="K137" i="3"/>
  <c r="J137" i="3"/>
  <c r="I137" i="3"/>
  <c r="L136" i="3"/>
  <c r="K136" i="3"/>
  <c r="J136" i="3"/>
  <c r="I136" i="3"/>
  <c r="L135" i="3"/>
  <c r="K135" i="3"/>
  <c r="J135" i="3"/>
  <c r="I135" i="3"/>
  <c r="L134" i="3"/>
  <c r="K134" i="3"/>
  <c r="J134" i="3"/>
  <c r="I134" i="3"/>
  <c r="L133" i="3"/>
  <c r="K133" i="3"/>
  <c r="J133" i="3"/>
  <c r="I133" i="3"/>
  <c r="L132" i="3"/>
  <c r="K132" i="3"/>
  <c r="J132" i="3"/>
  <c r="I132" i="3"/>
  <c r="L131" i="3"/>
  <c r="K131" i="3"/>
  <c r="J131" i="3"/>
  <c r="I131" i="3"/>
  <c r="L130" i="3"/>
  <c r="K130" i="3"/>
  <c r="J130" i="3"/>
  <c r="I130" i="3"/>
  <c r="L129" i="3"/>
  <c r="K129" i="3"/>
  <c r="J129" i="3"/>
  <c r="I129" i="3"/>
  <c r="L128" i="3"/>
  <c r="K128" i="3"/>
  <c r="J128" i="3"/>
  <c r="I128" i="3"/>
  <c r="L127" i="3"/>
  <c r="K127" i="3"/>
  <c r="J127" i="3"/>
  <c r="I127" i="3"/>
  <c r="L126" i="3"/>
  <c r="K126" i="3"/>
  <c r="J126" i="3"/>
  <c r="I126" i="3"/>
  <c r="L125" i="3"/>
  <c r="K125" i="3"/>
  <c r="J125" i="3"/>
  <c r="I125" i="3"/>
  <c r="L124" i="3"/>
  <c r="K124" i="3"/>
  <c r="J124" i="3"/>
  <c r="I124" i="3"/>
  <c r="L123" i="3"/>
  <c r="K123" i="3"/>
  <c r="J123" i="3"/>
  <c r="I123" i="3"/>
  <c r="L122" i="3"/>
  <c r="K122" i="3"/>
  <c r="J122" i="3"/>
  <c r="I122" i="3"/>
  <c r="L121" i="3"/>
  <c r="K121" i="3"/>
  <c r="J121" i="3"/>
  <c r="I121" i="3"/>
  <c r="L120" i="3"/>
  <c r="K120" i="3"/>
  <c r="J120" i="3"/>
  <c r="I120" i="3"/>
  <c r="L119" i="3"/>
  <c r="K119" i="3"/>
  <c r="J119" i="3"/>
  <c r="I119" i="3"/>
  <c r="L118" i="3"/>
  <c r="K118" i="3"/>
  <c r="J118" i="3"/>
  <c r="I118" i="3"/>
  <c r="L117" i="3"/>
  <c r="K117" i="3"/>
  <c r="J117" i="3"/>
  <c r="I117" i="3"/>
  <c r="L116" i="3"/>
  <c r="K116" i="3"/>
  <c r="J116" i="3"/>
  <c r="I116" i="3"/>
  <c r="L115" i="3"/>
  <c r="K115" i="3"/>
  <c r="J115" i="3"/>
  <c r="I115" i="3"/>
  <c r="L114" i="3"/>
  <c r="K114" i="3"/>
  <c r="J114" i="3"/>
  <c r="I114" i="3"/>
  <c r="L113" i="3"/>
  <c r="K113" i="3"/>
  <c r="J113" i="3"/>
  <c r="I113" i="3"/>
  <c r="L112" i="3"/>
  <c r="K112" i="3"/>
  <c r="J112" i="3"/>
  <c r="I112" i="3"/>
  <c r="L111" i="3"/>
  <c r="K111" i="3"/>
  <c r="J111" i="3"/>
  <c r="I111" i="3"/>
  <c r="L110" i="3"/>
  <c r="K110" i="3"/>
  <c r="J110" i="3"/>
  <c r="I110" i="3"/>
  <c r="L109" i="3"/>
  <c r="K109" i="3"/>
  <c r="J109" i="3"/>
  <c r="I109" i="3"/>
  <c r="L108" i="3"/>
  <c r="K108" i="3"/>
  <c r="J108" i="3"/>
  <c r="I108" i="3"/>
  <c r="L107" i="3"/>
  <c r="K107" i="3"/>
  <c r="J107" i="3"/>
  <c r="I107" i="3"/>
  <c r="L106" i="3"/>
  <c r="K106" i="3"/>
  <c r="J106" i="3"/>
  <c r="I106" i="3"/>
  <c r="L105" i="3"/>
  <c r="K105" i="3"/>
  <c r="J105" i="3"/>
  <c r="I105" i="3"/>
  <c r="L104" i="3"/>
  <c r="K104" i="3"/>
  <c r="J104" i="3"/>
  <c r="I104" i="3"/>
  <c r="L103" i="3"/>
  <c r="K103" i="3"/>
  <c r="J103" i="3"/>
  <c r="I103" i="3"/>
  <c r="L102" i="3"/>
  <c r="K102" i="3"/>
  <c r="J102" i="3"/>
  <c r="I102" i="3"/>
  <c r="L101" i="3"/>
  <c r="K101" i="3"/>
  <c r="J101" i="3"/>
  <c r="I101" i="3"/>
  <c r="L100" i="3"/>
  <c r="K100" i="3"/>
  <c r="J100" i="3"/>
  <c r="I100" i="3"/>
  <c r="L99" i="3"/>
  <c r="K99" i="3"/>
  <c r="J99" i="3"/>
  <c r="I99" i="3"/>
  <c r="L98" i="3"/>
  <c r="K98" i="3"/>
  <c r="J98" i="3"/>
  <c r="I98" i="3"/>
  <c r="L97" i="3"/>
  <c r="K97" i="3"/>
  <c r="J97" i="3"/>
  <c r="I97" i="3"/>
  <c r="L96" i="3"/>
  <c r="K96" i="3"/>
  <c r="J96" i="3"/>
  <c r="I96" i="3"/>
  <c r="L95" i="3"/>
  <c r="K95" i="3"/>
  <c r="J95" i="3"/>
  <c r="I95" i="3"/>
  <c r="L94" i="3"/>
  <c r="K94" i="3"/>
  <c r="J94" i="3"/>
  <c r="I94" i="3"/>
  <c r="L93" i="3"/>
  <c r="K93" i="3"/>
  <c r="J93" i="3"/>
  <c r="I93" i="3"/>
  <c r="L92" i="3"/>
  <c r="K92" i="3"/>
  <c r="J92" i="3"/>
  <c r="I92" i="3"/>
  <c r="L91" i="3"/>
  <c r="K91" i="3"/>
  <c r="J91" i="3"/>
  <c r="I91" i="3"/>
  <c r="L90" i="3"/>
  <c r="K90" i="3"/>
  <c r="J90" i="3"/>
  <c r="I90" i="3"/>
  <c r="L89" i="3"/>
  <c r="K89" i="3"/>
  <c r="J89" i="3"/>
  <c r="I89" i="3"/>
  <c r="L88" i="3"/>
  <c r="K88" i="3"/>
  <c r="J88" i="3"/>
  <c r="I88" i="3"/>
  <c r="L87" i="3"/>
  <c r="K87" i="3"/>
  <c r="J87" i="3"/>
  <c r="I87" i="3"/>
  <c r="L86" i="3"/>
  <c r="K86" i="3"/>
  <c r="J86" i="3"/>
  <c r="I86" i="3"/>
  <c r="L85" i="3"/>
  <c r="K85" i="3"/>
  <c r="J85" i="3"/>
  <c r="I85" i="3"/>
  <c r="L84" i="3"/>
  <c r="K84" i="3"/>
  <c r="J84" i="3"/>
  <c r="I84" i="3"/>
  <c r="L83" i="3"/>
  <c r="K83" i="3"/>
  <c r="J83" i="3"/>
  <c r="I83" i="3"/>
  <c r="L82" i="3"/>
  <c r="K82" i="3"/>
  <c r="J82" i="3"/>
  <c r="I82" i="3"/>
  <c r="L81" i="3"/>
  <c r="K81" i="3"/>
  <c r="J81" i="3"/>
  <c r="I81" i="3"/>
  <c r="L80" i="3"/>
  <c r="K80" i="3"/>
  <c r="J80" i="3"/>
  <c r="I80" i="3"/>
  <c r="L79" i="3"/>
  <c r="K79" i="3"/>
  <c r="J79" i="3"/>
  <c r="I79" i="3"/>
  <c r="L78" i="3"/>
  <c r="K78" i="3"/>
  <c r="J78" i="3"/>
  <c r="I78" i="3"/>
  <c r="L77" i="3"/>
  <c r="K77" i="3"/>
  <c r="J77" i="3"/>
  <c r="I77" i="3"/>
  <c r="L76" i="3"/>
  <c r="K76" i="3"/>
  <c r="J76" i="3"/>
  <c r="I76" i="3"/>
  <c r="L75" i="3"/>
  <c r="K75" i="3"/>
  <c r="J75" i="3"/>
  <c r="I75" i="3"/>
  <c r="L74" i="3"/>
  <c r="K74" i="3"/>
  <c r="J74" i="3"/>
  <c r="I74" i="3"/>
  <c r="L73" i="3"/>
  <c r="K73" i="3"/>
  <c r="J73" i="3"/>
  <c r="I73" i="3"/>
  <c r="L72" i="3"/>
  <c r="K72" i="3"/>
  <c r="J72" i="3"/>
  <c r="I72" i="3"/>
  <c r="L71" i="3"/>
  <c r="K71" i="3"/>
  <c r="J71" i="3"/>
  <c r="I71" i="3"/>
  <c r="L70" i="3"/>
  <c r="K70" i="3"/>
  <c r="J70" i="3"/>
  <c r="I70" i="3"/>
  <c r="L69" i="3"/>
  <c r="K69" i="3"/>
  <c r="J69" i="3"/>
  <c r="I69" i="3"/>
  <c r="L68" i="3"/>
  <c r="K68" i="3"/>
  <c r="J68" i="3"/>
  <c r="I68" i="3"/>
  <c r="L67" i="3"/>
  <c r="K67" i="3"/>
  <c r="J67" i="3"/>
  <c r="I67" i="3"/>
  <c r="L66" i="3"/>
  <c r="K66" i="3"/>
  <c r="J66" i="3"/>
  <c r="I66" i="3"/>
  <c r="L65" i="3"/>
  <c r="K65" i="3"/>
  <c r="J65" i="3"/>
  <c r="I65" i="3"/>
  <c r="L64" i="3"/>
  <c r="K64" i="3"/>
  <c r="J64" i="3"/>
  <c r="I64" i="3"/>
  <c r="L63" i="3"/>
  <c r="K63" i="3"/>
  <c r="J63" i="3"/>
  <c r="I63" i="3"/>
  <c r="L62" i="3"/>
  <c r="K62" i="3"/>
  <c r="J62" i="3"/>
  <c r="I62" i="3"/>
  <c r="L61" i="3"/>
  <c r="K61" i="3"/>
  <c r="J61" i="3"/>
  <c r="I61" i="3"/>
  <c r="L60" i="3"/>
  <c r="K60" i="3"/>
  <c r="J60" i="3"/>
  <c r="I60" i="3"/>
  <c r="L59" i="3"/>
  <c r="K59" i="3"/>
  <c r="J59" i="3"/>
  <c r="I59" i="3"/>
  <c r="L58" i="3"/>
  <c r="K58" i="3"/>
  <c r="J58" i="3"/>
  <c r="I58" i="3"/>
  <c r="L57" i="3"/>
  <c r="K57" i="3"/>
  <c r="J57" i="3"/>
  <c r="I57" i="3"/>
  <c r="L56" i="3"/>
  <c r="K56" i="3"/>
  <c r="J56" i="3"/>
  <c r="I56" i="3"/>
  <c r="L55" i="3"/>
  <c r="K55" i="3"/>
  <c r="J55" i="3"/>
  <c r="I55" i="3"/>
  <c r="L54" i="3"/>
  <c r="K54" i="3"/>
  <c r="J54" i="3"/>
  <c r="I54" i="3"/>
  <c r="L53" i="3"/>
  <c r="K53" i="3"/>
  <c r="J53" i="3"/>
  <c r="I53" i="3"/>
  <c r="L52" i="3"/>
  <c r="K52" i="3"/>
  <c r="J52" i="3"/>
  <c r="I52" i="3"/>
  <c r="L51" i="3"/>
  <c r="K51" i="3"/>
  <c r="J51" i="3"/>
  <c r="I51" i="3"/>
  <c r="L50" i="3"/>
  <c r="K50" i="3"/>
  <c r="J50" i="3"/>
  <c r="I50" i="3"/>
  <c r="L49" i="3"/>
  <c r="K49" i="3"/>
  <c r="J49" i="3"/>
  <c r="I49" i="3"/>
  <c r="L48" i="3"/>
  <c r="K48" i="3"/>
  <c r="J48" i="3"/>
  <c r="I48" i="3"/>
  <c r="L47" i="3"/>
  <c r="K47" i="3"/>
  <c r="J47" i="3"/>
  <c r="I47" i="3"/>
  <c r="L46" i="3"/>
  <c r="K46" i="3"/>
  <c r="J46" i="3"/>
  <c r="I46" i="3"/>
  <c r="L45" i="3"/>
  <c r="K45" i="3"/>
  <c r="J45" i="3"/>
  <c r="I45" i="3"/>
  <c r="L44" i="3"/>
  <c r="K44" i="3"/>
  <c r="J44" i="3"/>
  <c r="I44" i="3"/>
  <c r="L43" i="3"/>
  <c r="K43" i="3"/>
  <c r="J43" i="3"/>
  <c r="I43" i="3"/>
  <c r="L42" i="3"/>
  <c r="K42" i="3"/>
  <c r="J42" i="3"/>
  <c r="I42" i="3"/>
  <c r="L41" i="3"/>
  <c r="K41" i="3"/>
  <c r="J41" i="3"/>
  <c r="I41" i="3"/>
  <c r="L40" i="3"/>
  <c r="K40" i="3"/>
  <c r="J40" i="3"/>
  <c r="I40" i="3"/>
  <c r="L39" i="3"/>
  <c r="K39" i="3"/>
  <c r="J39" i="3"/>
  <c r="I39" i="3"/>
  <c r="L38" i="3"/>
  <c r="K38" i="3"/>
  <c r="J38" i="3"/>
  <c r="I38" i="3"/>
  <c r="L37" i="3"/>
  <c r="K37" i="3"/>
  <c r="J37" i="3"/>
  <c r="I37" i="3"/>
  <c r="L36" i="3"/>
  <c r="K36" i="3"/>
  <c r="J36" i="3"/>
  <c r="I36" i="3"/>
  <c r="L35" i="3"/>
  <c r="K35" i="3"/>
  <c r="J35" i="3"/>
  <c r="I35" i="3"/>
  <c r="L34" i="3"/>
  <c r="K34" i="3"/>
  <c r="J34" i="3"/>
  <c r="I34" i="3"/>
  <c r="L33" i="3"/>
  <c r="K33" i="3"/>
  <c r="J33" i="3"/>
  <c r="I33" i="3"/>
  <c r="L32" i="3"/>
  <c r="K32" i="3"/>
  <c r="J32" i="3"/>
  <c r="I32" i="3"/>
  <c r="L31" i="3"/>
  <c r="K31" i="3"/>
  <c r="J31" i="3"/>
  <c r="I31" i="3"/>
  <c r="L30" i="3"/>
  <c r="K30" i="3"/>
  <c r="J30" i="3"/>
  <c r="I30" i="3"/>
  <c r="L29" i="3"/>
  <c r="K29" i="3"/>
  <c r="J29" i="3"/>
  <c r="I29" i="3"/>
  <c r="L28" i="3"/>
  <c r="K28" i="3"/>
  <c r="J28" i="3"/>
  <c r="I28" i="3"/>
  <c r="L27" i="3"/>
  <c r="K27" i="3"/>
  <c r="J27" i="3"/>
  <c r="I27" i="3"/>
  <c r="L26" i="3"/>
  <c r="K26" i="3"/>
  <c r="J26" i="3"/>
  <c r="I26" i="3"/>
  <c r="L25" i="3"/>
  <c r="K25" i="3"/>
  <c r="J25" i="3"/>
  <c r="I25" i="3"/>
  <c r="L24" i="3"/>
  <c r="K24" i="3"/>
  <c r="J24" i="3"/>
  <c r="I24" i="3"/>
  <c r="L23" i="3"/>
  <c r="K23" i="3"/>
  <c r="J23" i="3"/>
  <c r="I23" i="3"/>
  <c r="L22" i="3"/>
  <c r="K22" i="3"/>
  <c r="J22" i="3"/>
  <c r="I22" i="3"/>
  <c r="L21" i="3"/>
  <c r="K21" i="3"/>
  <c r="J21" i="3"/>
  <c r="I21" i="3"/>
  <c r="L20" i="3"/>
  <c r="K20" i="3"/>
  <c r="J20" i="3"/>
  <c r="I20" i="3"/>
  <c r="L19" i="3"/>
  <c r="K19" i="3"/>
  <c r="J19" i="3"/>
  <c r="I19" i="3"/>
  <c r="L18" i="3"/>
  <c r="K18" i="3"/>
  <c r="J18" i="3"/>
  <c r="I18" i="3"/>
  <c r="L17" i="3"/>
  <c r="K17" i="3"/>
  <c r="J17" i="3"/>
  <c r="I17" i="3"/>
  <c r="L16" i="3"/>
  <c r="K16" i="3"/>
  <c r="J16" i="3"/>
  <c r="I16" i="3"/>
  <c r="L15" i="3"/>
  <c r="K15" i="3"/>
  <c r="J15" i="3"/>
  <c r="I15" i="3"/>
  <c r="L14" i="3"/>
  <c r="K14" i="3"/>
  <c r="J14" i="3"/>
  <c r="I14" i="3"/>
  <c r="G21" i="2"/>
  <c r="F21" i="2"/>
  <c r="E21" i="2"/>
  <c r="D21" i="2"/>
  <c r="G20" i="2"/>
  <c r="F20" i="2"/>
  <c r="E20" i="2"/>
  <c r="D20" i="2"/>
  <c r="G19" i="2"/>
  <c r="F19" i="2"/>
  <c r="E19" i="2"/>
  <c r="D19" i="2"/>
  <c r="G18" i="2"/>
  <c r="F18" i="2"/>
  <c r="E18" i="2"/>
  <c r="D18" i="2"/>
  <c r="G17" i="2"/>
  <c r="F17" i="2"/>
  <c r="E17" i="2"/>
  <c r="D17" i="2"/>
  <c r="G16" i="2"/>
  <c r="F16" i="2"/>
  <c r="E16" i="2"/>
  <c r="D16" i="2"/>
  <c r="G15" i="2"/>
  <c r="F15" i="2"/>
  <c r="E15" i="2"/>
  <c r="D15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D11" i="2"/>
  <c r="G10" i="2"/>
  <c r="F10" i="2"/>
  <c r="E10" i="2"/>
  <c r="G9" i="2"/>
  <c r="F9" i="2"/>
  <c r="E9" i="2"/>
  <c r="D9" i="2"/>
  <c r="G8" i="2"/>
  <c r="F8" i="2"/>
  <c r="E8" i="2"/>
  <c r="J38" i="4" l="1"/>
  <c r="J86" i="4"/>
  <c r="J193" i="4"/>
  <c r="J701" i="4"/>
  <c r="J134" i="4"/>
  <c r="J293" i="4"/>
  <c r="J448" i="4"/>
  <c r="J13" i="4"/>
  <c r="J77" i="4"/>
  <c r="J110" i="4"/>
  <c r="J149" i="4"/>
  <c r="J174" i="4"/>
  <c r="J229" i="4"/>
  <c r="J300" i="4"/>
  <c r="J305" i="4"/>
  <c r="J321" i="4"/>
  <c r="J337" i="4"/>
  <c r="J353" i="4"/>
  <c r="J385" i="4"/>
  <c r="J460" i="4"/>
  <c r="J173" i="4"/>
  <c r="J364" i="4"/>
  <c r="J20" i="4"/>
  <c r="J78" i="4"/>
  <c r="J125" i="4"/>
  <c r="J150" i="4"/>
  <c r="J189" i="4"/>
  <c r="J247" i="4"/>
  <c r="J428" i="4"/>
  <c r="J437" i="4"/>
  <c r="J109" i="4"/>
  <c r="J228" i="4"/>
  <c r="J474" i="4"/>
  <c r="J69" i="4"/>
  <c r="J101" i="4"/>
  <c r="J126" i="4"/>
  <c r="J165" i="4"/>
  <c r="J241" i="4"/>
  <c r="J248" i="4"/>
  <c r="J264" i="4"/>
  <c r="J402" i="4"/>
  <c r="J535" i="4"/>
  <c r="J21" i="4"/>
  <c r="J61" i="4"/>
  <c r="J70" i="4"/>
  <c r="J102" i="4"/>
  <c r="J141" i="4"/>
  <c r="J166" i="4"/>
  <c r="J196" i="4"/>
  <c r="J231" i="4"/>
  <c r="J242" i="4"/>
  <c r="J496" i="4"/>
  <c r="J923" i="4"/>
  <c r="J53" i="4"/>
  <c r="J62" i="4"/>
  <c r="J93" i="4"/>
  <c r="J117" i="4"/>
  <c r="J142" i="4"/>
  <c r="J181" i="4"/>
  <c r="J225" i="4"/>
  <c r="J232" i="4"/>
  <c r="J266" i="4"/>
  <c r="J296" i="4"/>
  <c r="J313" i="4"/>
  <c r="J329" i="4"/>
  <c r="J345" i="4"/>
  <c r="J361" i="4"/>
  <c r="J404" i="4"/>
  <c r="J457" i="4"/>
  <c r="J45" i="4"/>
  <c r="J54" i="4"/>
  <c r="J94" i="4"/>
  <c r="J118" i="4"/>
  <c r="J157" i="4"/>
  <c r="J182" i="4"/>
  <c r="J215" i="4"/>
  <c r="J226" i="4"/>
  <c r="J244" i="4"/>
  <c r="J261" i="4"/>
  <c r="J446" i="4"/>
  <c r="J30" i="4"/>
  <c r="J37" i="4"/>
  <c r="J46" i="4"/>
  <c r="J85" i="4"/>
  <c r="J133" i="4"/>
  <c r="J158" i="4"/>
  <c r="J216" i="4"/>
  <c r="J245" i="4"/>
  <c r="J268" i="4"/>
  <c r="J273" i="4"/>
  <c r="J298" i="4"/>
  <c r="J378" i="4"/>
  <c r="J425" i="4"/>
  <c r="J479" i="4"/>
  <c r="J394" i="4"/>
  <c r="J520" i="4"/>
  <c r="J660" i="4"/>
  <c r="J192" i="4"/>
  <c r="J265" i="4"/>
  <c r="J272" i="4"/>
  <c r="J297" i="4"/>
  <c r="J304" i="4"/>
  <c r="J312" i="4"/>
  <c r="J320" i="4"/>
  <c r="J328" i="4"/>
  <c r="J336" i="4"/>
  <c r="J344" i="4"/>
  <c r="J352" i="4"/>
  <c r="J386" i="4"/>
  <c r="J521" i="4"/>
  <c r="J950" i="4"/>
  <c r="J280" i="4"/>
  <c r="J370" i="4"/>
  <c r="J449" i="4"/>
  <c r="J527" i="4"/>
  <c r="J615" i="4"/>
  <c r="J277" i="4"/>
  <c r="J362" i="4"/>
  <c r="J417" i="4"/>
  <c r="J426" i="4"/>
  <c r="J458" i="4"/>
  <c r="J528" i="4"/>
  <c r="J256" i="4"/>
  <c r="J288" i="4"/>
  <c r="J418" i="4"/>
  <c r="J869" i="4"/>
  <c r="J224" i="4"/>
  <c r="J240" i="4"/>
  <c r="J253" i="4"/>
  <c r="J285" i="4"/>
  <c r="J401" i="4"/>
  <c r="J410" i="4"/>
  <c r="J440" i="4"/>
  <c r="J445" i="4"/>
  <c r="J476" i="4"/>
  <c r="J524" i="4"/>
  <c r="J759" i="4"/>
  <c r="J764" i="4"/>
  <c r="J536" i="4"/>
  <c r="J543" i="4"/>
  <c r="J823" i="4"/>
  <c r="J828" i="4"/>
  <c r="J919" i="4"/>
  <c r="J1156" i="4"/>
  <c r="J1161" i="4"/>
  <c r="J1194" i="4"/>
  <c r="J544" i="4"/>
  <c r="J551" i="4"/>
  <c r="J559" i="4"/>
  <c r="J567" i="4"/>
  <c r="J575" i="4"/>
  <c r="J583" i="4"/>
  <c r="J591" i="4"/>
  <c r="J599" i="4"/>
  <c r="J607" i="4"/>
  <c r="J625" i="4"/>
  <c r="J717" i="4"/>
  <c r="J780" i="4"/>
  <c r="J504" i="4"/>
  <c r="J537" i="4"/>
  <c r="J540" i="4"/>
  <c r="J639" i="4"/>
  <c r="J657" i="4"/>
  <c r="J693" i="4"/>
  <c r="J751" i="4"/>
  <c r="J840" i="4"/>
  <c r="J671" i="4"/>
  <c r="J767" i="4"/>
  <c r="J815" i="4"/>
  <c r="J982" i="4"/>
  <c r="J360" i="4"/>
  <c r="J368" i="4"/>
  <c r="J376" i="4"/>
  <c r="J384" i="4"/>
  <c r="J392" i="4"/>
  <c r="J400" i="4"/>
  <c r="J408" i="4"/>
  <c r="J416" i="4"/>
  <c r="J424" i="4"/>
  <c r="J438" i="4"/>
  <c r="J441" i="4"/>
  <c r="J462" i="4"/>
  <c r="J478" i="4"/>
  <c r="J488" i="4"/>
  <c r="J505" i="4"/>
  <c r="J508" i="4"/>
  <c r="J511" i="4"/>
  <c r="J553" i="4"/>
  <c r="J561" i="4"/>
  <c r="J569" i="4"/>
  <c r="J577" i="4"/>
  <c r="J585" i="4"/>
  <c r="J593" i="4"/>
  <c r="J601" i="4"/>
  <c r="J609" i="4"/>
  <c r="J649" i="4"/>
  <c r="J709" i="4"/>
  <c r="J772" i="4"/>
  <c r="J831" i="4"/>
  <c r="J512" i="4"/>
  <c r="J519" i="4"/>
  <c r="J836" i="4"/>
  <c r="J955" i="4"/>
  <c r="J743" i="4"/>
  <c r="J807" i="4"/>
  <c r="J846" i="4"/>
  <c r="J902" i="4"/>
  <c r="J1365" i="4"/>
  <c r="J594" i="4"/>
  <c r="J602" i="4"/>
  <c r="J610" i="4"/>
  <c r="J613" i="4"/>
  <c r="J636" i="4"/>
  <c r="J668" i="4"/>
  <c r="J735" i="4"/>
  <c r="J756" i="4"/>
  <c r="J799" i="4"/>
  <c r="J820" i="4"/>
  <c r="J683" i="4"/>
  <c r="J727" i="4"/>
  <c r="J748" i="4"/>
  <c r="J791" i="4"/>
  <c r="J812" i="4"/>
  <c r="J843" i="4"/>
  <c r="J915" i="4"/>
  <c r="J1307" i="4"/>
  <c r="J552" i="4"/>
  <c r="J560" i="4"/>
  <c r="J568" i="4"/>
  <c r="J576" i="4"/>
  <c r="J584" i="4"/>
  <c r="J592" i="4"/>
  <c r="J600" i="4"/>
  <c r="J608" i="4"/>
  <c r="J620" i="4"/>
  <c r="J623" i="4"/>
  <c r="J644" i="4"/>
  <c r="J676" i="4"/>
  <c r="J740" i="4"/>
  <c r="J783" i="4"/>
  <c r="J804" i="4"/>
  <c r="J910" i="4"/>
  <c r="J1019" i="4"/>
  <c r="J732" i="4"/>
  <c r="J775" i="4"/>
  <c r="J796" i="4"/>
  <c r="J911" i="4"/>
  <c r="J987" i="4"/>
  <c r="J1014" i="4"/>
  <c r="J854" i="4"/>
  <c r="J862" i="4"/>
  <c r="J870" i="4"/>
  <c r="J878" i="4"/>
  <c r="J886" i="4"/>
  <c r="J894" i="4"/>
  <c r="J903" i="4"/>
  <c r="J895" i="4"/>
  <c r="J907" i="4"/>
  <c r="J942" i="4"/>
  <c r="J974" i="4"/>
  <c r="J1006" i="4"/>
  <c r="J1075" i="4"/>
  <c r="J1181" i="4"/>
  <c r="J1294" i="4"/>
  <c r="J725" i="4"/>
  <c r="J733" i="4"/>
  <c r="J741" i="4"/>
  <c r="J749" i="4"/>
  <c r="J757" i="4"/>
  <c r="J765" i="4"/>
  <c r="J773" i="4"/>
  <c r="J781" i="4"/>
  <c r="J789" i="4"/>
  <c r="J797" i="4"/>
  <c r="J805" i="4"/>
  <c r="J813" i="4"/>
  <c r="J821" i="4"/>
  <c r="J829" i="4"/>
  <c r="J899" i="4"/>
  <c r="J947" i="4"/>
  <c r="J979" i="4"/>
  <c r="J1011" i="4"/>
  <c r="J1233" i="4"/>
  <c r="J1379" i="4"/>
  <c r="J934" i="4"/>
  <c r="J966" i="4"/>
  <c r="J998" i="4"/>
  <c r="J1260" i="4"/>
  <c r="J691" i="4"/>
  <c r="J699" i="4"/>
  <c r="J707" i="4"/>
  <c r="J715" i="4"/>
  <c r="J723" i="4"/>
  <c r="J731" i="4"/>
  <c r="J739" i="4"/>
  <c r="J747" i="4"/>
  <c r="J755" i="4"/>
  <c r="J763" i="4"/>
  <c r="J771" i="4"/>
  <c r="J779" i="4"/>
  <c r="J787" i="4"/>
  <c r="J795" i="4"/>
  <c r="J803" i="4"/>
  <c r="J811" i="4"/>
  <c r="J819" i="4"/>
  <c r="J827" i="4"/>
  <c r="J835" i="4"/>
  <c r="J838" i="4"/>
  <c r="J848" i="4"/>
  <c r="J926" i="4"/>
  <c r="J939" i="4"/>
  <c r="J971" i="4"/>
  <c r="J1003" i="4"/>
  <c r="J1030" i="4"/>
  <c r="J1092" i="4"/>
  <c r="J1097" i="4"/>
  <c r="J918" i="4"/>
  <c r="J927" i="4"/>
  <c r="J958" i="4"/>
  <c r="J990" i="4"/>
  <c r="J1022" i="4"/>
  <c r="J1124" i="4"/>
  <c r="J1129" i="4"/>
  <c r="J1084" i="4"/>
  <c r="J1116" i="4"/>
  <c r="J1148" i="4"/>
  <c r="J1331" i="4"/>
  <c r="J1009" i="4"/>
  <c r="J1017" i="4"/>
  <c r="J1025" i="4"/>
  <c r="J1076" i="4"/>
  <c r="J1210" i="4"/>
  <c r="J1230" i="4"/>
  <c r="J1243" i="4"/>
  <c r="J1318" i="4"/>
  <c r="J1460" i="4"/>
  <c r="J1465" i="4"/>
  <c r="J1497" i="4"/>
  <c r="J1036" i="4"/>
  <c r="J1044" i="4"/>
  <c r="J1052" i="4"/>
  <c r="J1060" i="4"/>
  <c r="J1068" i="4"/>
  <c r="J1108" i="4"/>
  <c r="J1140" i="4"/>
  <c r="J1172" i="4"/>
  <c r="J1267" i="4"/>
  <c r="J1300" i="4"/>
  <c r="J1361" i="4"/>
  <c r="J1492" i="4"/>
  <c r="J935" i="4"/>
  <c r="J943" i="4"/>
  <c r="J951" i="4"/>
  <c r="J959" i="4"/>
  <c r="J967" i="4"/>
  <c r="J975" i="4"/>
  <c r="J983" i="4"/>
  <c r="J991" i="4"/>
  <c r="J999" i="4"/>
  <c r="J1007" i="4"/>
  <c r="J1015" i="4"/>
  <c r="J1023" i="4"/>
  <c r="J1032" i="4"/>
  <c r="J1040" i="4"/>
  <c r="J1048" i="4"/>
  <c r="J1056" i="4"/>
  <c r="J1064" i="4"/>
  <c r="J1254" i="4"/>
  <c r="J1301" i="4"/>
  <c r="J1337" i="4"/>
  <c r="J1372" i="4"/>
  <c r="J1387" i="4"/>
  <c r="J1100" i="4"/>
  <c r="J1132" i="4"/>
  <c r="J1164" i="4"/>
  <c r="J1178" i="4"/>
  <c r="J1236" i="4"/>
  <c r="J1324" i="4"/>
  <c r="J1457" i="4"/>
  <c r="J1033" i="4"/>
  <c r="J1041" i="4"/>
  <c r="J1049" i="4"/>
  <c r="J1057" i="4"/>
  <c r="J1065" i="4"/>
  <c r="J1073" i="4"/>
  <c r="J1237" i="4"/>
  <c r="J1273" i="4"/>
  <c r="J1297" i="4"/>
  <c r="J1452" i="4"/>
  <c r="J1220" i="4"/>
  <c r="J1284" i="4"/>
  <c r="J1348" i="4"/>
  <c r="J1444" i="4"/>
  <c r="J1031" i="4"/>
  <c r="J1039" i="4"/>
  <c r="J1047" i="4"/>
  <c r="J1055" i="4"/>
  <c r="J1063" i="4"/>
  <c r="J1071" i="4"/>
  <c r="J1079" i="4"/>
  <c r="J1087" i="4"/>
  <c r="J1095" i="4"/>
  <c r="J1103" i="4"/>
  <c r="J1111" i="4"/>
  <c r="J1119" i="4"/>
  <c r="J1127" i="4"/>
  <c r="J1135" i="4"/>
  <c r="J1143" i="4"/>
  <c r="J1151" i="4"/>
  <c r="J1159" i="4"/>
  <c r="J1167" i="4"/>
  <c r="J1182" i="4"/>
  <c r="J1198" i="4"/>
  <c r="J1244" i="4"/>
  <c r="J1257" i="4"/>
  <c r="J1308" i="4"/>
  <c r="J1321" i="4"/>
  <c r="J1369" i="4"/>
  <c r="J1380" i="4"/>
  <c r="J1436" i="4"/>
  <c r="J1449" i="4"/>
  <c r="J1484" i="4"/>
  <c r="J1489" i="4"/>
  <c r="J1146" i="4"/>
  <c r="J1154" i="4"/>
  <c r="J1162" i="4"/>
  <c r="J1170" i="4"/>
  <c r="J1173" i="4"/>
  <c r="J1179" i="4"/>
  <c r="J1185" i="4"/>
  <c r="J1195" i="4"/>
  <c r="J1211" i="4"/>
  <c r="J1268" i="4"/>
  <c r="J1332" i="4"/>
  <c r="J1388" i="4"/>
  <c r="J1428" i="4"/>
  <c r="J1441" i="4"/>
  <c r="J1228" i="4"/>
  <c r="J1241" i="4"/>
  <c r="J1292" i="4"/>
  <c r="J1305" i="4"/>
  <c r="J1356" i="4"/>
  <c r="J1363" i="4"/>
  <c r="J1396" i="4"/>
  <c r="J1404" i="4"/>
  <c r="J1412" i="4"/>
  <c r="J1420" i="4"/>
  <c r="J1433" i="4"/>
  <c r="J1476" i="4"/>
  <c r="J1481" i="4"/>
  <c r="J1252" i="4"/>
  <c r="J1316" i="4"/>
  <c r="J1385" i="4"/>
  <c r="J1425" i="4"/>
  <c r="J1225" i="4"/>
  <c r="J1276" i="4"/>
  <c r="J1289" i="4"/>
  <c r="J1340" i="4"/>
  <c r="J1353" i="4"/>
  <c r="J1364" i="4"/>
  <c r="J1393" i="4"/>
  <c r="J1401" i="4"/>
  <c r="J1409" i="4"/>
  <c r="J1468" i="4"/>
  <c r="J1500" i="4"/>
  <c r="J1469" i="4"/>
  <c r="J1477" i="4"/>
  <c r="J1485" i="4"/>
  <c r="J1493" i="4"/>
  <c r="J1501" i="4"/>
  <c r="J1509" i="4"/>
  <c r="J1510" i="4"/>
  <c r="J1508" i="4"/>
  <c r="J15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<sst xmlns="http://schemas.openxmlformats.org/spreadsheetml/2006/main" count="12080" uniqueCount="3082">
  <si>
    <t>TABLA DE PRECIOS CON DESCUENTO POR VOLUMEN</t>
  </si>
  <si>
    <t>Producto</t>
  </si>
  <si>
    <t>Precio Base $</t>
  </si>
  <si>
    <t>1-10 und
0%</t>
  </si>
  <si>
    <t>11-50 und
10%</t>
  </si>
  <si>
    <t>51-100 und
18%</t>
  </si>
  <si>
    <t>101-500 und
25%</t>
  </si>
  <si>
    <t>+500 und
32%</t>
  </si>
  <si>
    <t>Resma de papel A4</t>
  </si>
  <si>
    <t>Bolígrafo azul</t>
  </si>
  <si>
    <t>Carpeta AZ</t>
  </si>
  <si>
    <t>Tóner impresora</t>
  </si>
  <si>
    <t>Cuaderno argollado</t>
  </si>
  <si>
    <t>Marcador permanente</t>
  </si>
  <si>
    <t>Perforadora</t>
  </si>
  <si>
    <t>Grapadora</t>
  </si>
  <si>
    <t>Post-it 100 hojas</t>
  </si>
  <si>
    <t>Cinta adhesiva</t>
  </si>
  <si>
    <t>Regla 30cm</t>
  </si>
  <si>
    <t>Tijeras</t>
  </si>
  <si>
    <t>Corrector líquido</t>
  </si>
  <si>
    <t>Archivador plástico</t>
  </si>
  <si>
    <t>Mouse inalámbrico</t>
  </si>
  <si>
    <t>💡 ¿QUÉ HACE LA REFERENCIA MIXTA AQUÍ?</t>
  </si>
  <si>
    <t>Fórmula en C7:    =$B7 * (1 - C$6)
  $B7  →  $B  fija la COLUMNA B (precio base). Al copiar la fórmula hacia la DERECHA, la columna no cambia: siempre toma el precio de la columna B.
  C$6  →  $6  fija la FILA 6 (% de descuento). Al copiar la fórmula hacia ABAJO, la fila no cambia: siempre toma el descuento de la fila 6.</t>
  </si>
  <si>
    <t>Columna</t>
  </si>
  <si>
    <t>Función</t>
  </si>
  <si>
    <t>Fórmula usada</t>
  </si>
  <si>
    <t>¿Qué evalúa?</t>
  </si>
  <si>
    <t>Col I</t>
  </si>
  <si>
    <t>SI simple</t>
  </si>
  <si>
    <t>SI(F&gt;=0.8, "Cumple", "No cumple")</t>
  </si>
  <si>
    <t>¿El empleado cumple el mínimo de asistencia?</t>
  </si>
  <si>
    <t>Col J</t>
  </si>
  <si>
    <t>SI con Y</t>
  </si>
  <si>
    <t>SI(Y(F&gt;=0.8, G&gt;=70), "BONO", "Sin bono")</t>
  </si>
  <si>
    <t>Bono solo si AMBAS condiciones se cumplen</t>
  </si>
  <si>
    <t>Col K</t>
  </si>
  <si>
    <t>SI con O</t>
  </si>
  <si>
    <t>SI(O(F&lt;0.6, G&lt;50), "ALERTA", "OK")</t>
  </si>
  <si>
    <t>Alerta si AL MENOS UNA condición es crítica</t>
  </si>
  <si>
    <t>Col L</t>
  </si>
  <si>
    <t>SI Anidado</t>
  </si>
  <si>
    <t>SI(Y(F&gt;=0.9,G&gt;=85),"Excelente", SI(Y(F&gt;=0.8,G&gt;=70),"Bueno","Revisar"))</t>
  </si>
  <si>
    <t>Clasificación en 3 niveles combinando SI + Y</t>
  </si>
  <si>
    <t>ID</t>
  </si>
  <si>
    <t>Empleado</t>
  </si>
  <si>
    <t>Depto</t>
  </si>
  <si>
    <t>Ciudad</t>
  </si>
  <si>
    <t>Salario ($)</t>
  </si>
  <si>
    <t>Asistencia %</t>
  </si>
  <si>
    <t>Calificación</t>
  </si>
  <si>
    <t>Antigüedad
(años)</t>
  </si>
  <si>
    <t>SI Simple
(Col I)</t>
  </si>
  <si>
    <t>SI con Y
(Col J)</t>
  </si>
  <si>
    <t>SI con O
(Col K)</t>
  </si>
  <si>
    <t>SI Anidado
(Col L)</t>
  </si>
  <si>
    <t>E0001</t>
  </si>
  <si>
    <t>Valentina Torres</t>
  </si>
  <si>
    <t>Marketing</t>
  </si>
  <si>
    <t>Barranquilla</t>
  </si>
  <si>
    <t>E0002</t>
  </si>
  <si>
    <t>David Pérez</t>
  </si>
  <si>
    <t>Logística</t>
  </si>
  <si>
    <t>Bogotá</t>
  </si>
  <si>
    <t>E0003</t>
  </si>
  <si>
    <t>María Muñoz</t>
  </si>
  <si>
    <t>RRHH</t>
  </si>
  <si>
    <t>Pereira</t>
  </si>
  <si>
    <t>E0004</t>
  </si>
  <si>
    <t>Ana Flores</t>
  </si>
  <si>
    <t>Contabilidad</t>
  </si>
  <si>
    <t>E0005</t>
  </si>
  <si>
    <t>Carlos Ruiz</t>
  </si>
  <si>
    <t>TI</t>
  </si>
  <si>
    <t>E0006</t>
  </si>
  <si>
    <t>Laura Ramírez</t>
  </si>
  <si>
    <t>Finanzas</t>
  </si>
  <si>
    <t>Medellín</t>
  </si>
  <si>
    <t>E0007</t>
  </si>
  <si>
    <t>Rafael Guerrero</t>
  </si>
  <si>
    <t>Operaciones</t>
  </si>
  <si>
    <t>E0008</t>
  </si>
  <si>
    <t>Gloria Rojas</t>
  </si>
  <si>
    <t>E0009</t>
  </si>
  <si>
    <t>Diego Medina</t>
  </si>
  <si>
    <t>E0010</t>
  </si>
  <si>
    <t>Sofía Moya</t>
  </si>
  <si>
    <t>Bucaramanga</t>
  </si>
  <si>
    <t>E0011</t>
  </si>
  <si>
    <t>Camila Castro</t>
  </si>
  <si>
    <t>Ventas</t>
  </si>
  <si>
    <t>Cartagena</t>
  </si>
  <si>
    <t>E0012</t>
  </si>
  <si>
    <t>Jorge Guerrero</t>
  </si>
  <si>
    <t>E0013</t>
  </si>
  <si>
    <t>Natalia Castro</t>
  </si>
  <si>
    <t>E0014</t>
  </si>
  <si>
    <t>Natalia Rojo</t>
  </si>
  <si>
    <t>E0015</t>
  </si>
  <si>
    <t>Sebastián Vargas</t>
  </si>
  <si>
    <t>E0016</t>
  </si>
  <si>
    <t>Miguel Rojas</t>
  </si>
  <si>
    <t>E0017</t>
  </si>
  <si>
    <t>Juliana Pinto</t>
  </si>
  <si>
    <t>Manizales</t>
  </si>
  <si>
    <t>E0018</t>
  </si>
  <si>
    <t>Alejandra Rojo</t>
  </si>
  <si>
    <t>E0019</t>
  </si>
  <si>
    <t>Sofía Muñoz</t>
  </si>
  <si>
    <t>E0020</t>
  </si>
  <si>
    <t>Tatiana Castro</t>
  </si>
  <si>
    <t>E0021</t>
  </si>
  <si>
    <t>Sandra Flores</t>
  </si>
  <si>
    <t>Cali</t>
  </si>
  <si>
    <t>E0022</t>
  </si>
  <si>
    <t>Iván Rojas</t>
  </si>
  <si>
    <t>E0023</t>
  </si>
  <si>
    <t>Rodrigo Reyes</t>
  </si>
  <si>
    <t>E0024</t>
  </si>
  <si>
    <t>Carlos Torres</t>
  </si>
  <si>
    <t>E0025</t>
  </si>
  <si>
    <t>Laura Rojas</t>
  </si>
  <si>
    <t>E0026</t>
  </si>
  <si>
    <t>Natalia Ramírez</t>
  </si>
  <si>
    <t>E0027</t>
  </si>
  <si>
    <t>Sebastián Blanco</t>
  </si>
  <si>
    <t>E0028</t>
  </si>
  <si>
    <t>Patricia Gómez</t>
  </si>
  <si>
    <t>E0029</t>
  </si>
  <si>
    <t>Natalia Pinto</t>
  </si>
  <si>
    <t>E0030</t>
  </si>
  <si>
    <t>Miguel Ruiz</t>
  </si>
  <si>
    <t>E0031</t>
  </si>
  <si>
    <t>Ricardo Luna</t>
  </si>
  <si>
    <t>E0032</t>
  </si>
  <si>
    <t>Isabella Navarro</t>
  </si>
  <si>
    <t>E0033</t>
  </si>
  <si>
    <t>Juliana Medina</t>
  </si>
  <si>
    <t>E0034</t>
  </si>
  <si>
    <t>Iván Herrera</t>
  </si>
  <si>
    <t>E0035</t>
  </si>
  <si>
    <t>Marcela Ríos</t>
  </si>
  <si>
    <t>E0036</t>
  </si>
  <si>
    <t>Sergio Morales</t>
  </si>
  <si>
    <t>E0037</t>
  </si>
  <si>
    <t>Rodrigo López</t>
  </si>
  <si>
    <t>E0038</t>
  </si>
  <si>
    <t>Rafael Morales</t>
  </si>
  <si>
    <t>E0039</t>
  </si>
  <si>
    <t>Diego Guerrero</t>
  </si>
  <si>
    <t>E0040</t>
  </si>
  <si>
    <t>Tatiana Vargas</t>
  </si>
  <si>
    <t>E0041</t>
  </si>
  <si>
    <t>Patricia Ramírez</t>
  </si>
  <si>
    <t>E0042</t>
  </si>
  <si>
    <t>Isabella Rojo</t>
  </si>
  <si>
    <t>E0043</t>
  </si>
  <si>
    <t>Laura Torres</t>
  </si>
  <si>
    <t>E0044</t>
  </si>
  <si>
    <t>Miguel Soto</t>
  </si>
  <si>
    <t>E0045</t>
  </si>
  <si>
    <t>Andrés Morales</t>
  </si>
  <si>
    <t>E0046</t>
  </si>
  <si>
    <t>Laura Guerrero</t>
  </si>
  <si>
    <t>E0047</t>
  </si>
  <si>
    <t>Miguel Guerrero</t>
  </si>
  <si>
    <t>E0048</t>
  </si>
  <si>
    <t>María Herrera</t>
  </si>
  <si>
    <t>E0049</t>
  </si>
  <si>
    <t>Patricia Ríos</t>
  </si>
  <si>
    <t>E0050</t>
  </si>
  <si>
    <t>Adriana Castro</t>
  </si>
  <si>
    <t>E0051</t>
  </si>
  <si>
    <t>Gabriela Blanco</t>
  </si>
  <si>
    <t>E0052</t>
  </si>
  <si>
    <t>Isabella Gómez</t>
  </si>
  <si>
    <t>E0053</t>
  </si>
  <si>
    <t>Esteban Ruiz</t>
  </si>
  <si>
    <t>E0054</t>
  </si>
  <si>
    <t>David Reyes</t>
  </si>
  <si>
    <t>E0055</t>
  </si>
  <si>
    <t>Valentina Ramírez</t>
  </si>
  <si>
    <t>E0056</t>
  </si>
  <si>
    <t>Miguel López</t>
  </si>
  <si>
    <t>E0057</t>
  </si>
  <si>
    <t>Tatiana Ríos</t>
  </si>
  <si>
    <t>E0058</t>
  </si>
  <si>
    <t>Hernán Reyes</t>
  </si>
  <si>
    <t>E0059</t>
  </si>
  <si>
    <t>Rafael Vera</t>
  </si>
  <si>
    <t>E0060</t>
  </si>
  <si>
    <t>Laura Castro</t>
  </si>
  <si>
    <t>E0061</t>
  </si>
  <si>
    <t>Felipe Luna</t>
  </si>
  <si>
    <t>E0062</t>
  </si>
  <si>
    <t>Patricia Flores</t>
  </si>
  <si>
    <t>E0063</t>
  </si>
  <si>
    <t>Miguel Castro</t>
  </si>
  <si>
    <t>E0064</t>
  </si>
  <si>
    <t>Pablo Vera</t>
  </si>
  <si>
    <t>E0065</t>
  </si>
  <si>
    <t>Julián Moya</t>
  </si>
  <si>
    <t>E0066</t>
  </si>
  <si>
    <t>Marcela Cruz</t>
  </si>
  <si>
    <t>E0067</t>
  </si>
  <si>
    <t>Natalia López</t>
  </si>
  <si>
    <t>E0068</t>
  </si>
  <si>
    <t>Tomás Vera</t>
  </si>
  <si>
    <t>E0069</t>
  </si>
  <si>
    <t>Sergio Soto</t>
  </si>
  <si>
    <t>E0070</t>
  </si>
  <si>
    <t>Felipe Rojas</t>
  </si>
  <si>
    <t>E0071</t>
  </si>
  <si>
    <t>Felipe Vera</t>
  </si>
  <si>
    <t>E0072</t>
  </si>
  <si>
    <t>Rodrigo Morales</t>
  </si>
  <si>
    <t>E0073</t>
  </si>
  <si>
    <t>Isabella Ríos</t>
  </si>
  <si>
    <t>E0074</t>
  </si>
  <si>
    <t>Tomás Cruz</t>
  </si>
  <si>
    <t>E0075</t>
  </si>
  <si>
    <t>Diego Castro</t>
  </si>
  <si>
    <t>E0076</t>
  </si>
  <si>
    <t>Rafael López</t>
  </si>
  <si>
    <t>E0077</t>
  </si>
  <si>
    <t>Isabella Flores</t>
  </si>
  <si>
    <t>E0078</t>
  </si>
  <si>
    <t>Sofía Suárez</t>
  </si>
  <si>
    <t>E0079</t>
  </si>
  <si>
    <t>Paola Pérez</t>
  </si>
  <si>
    <t>E0080</t>
  </si>
  <si>
    <t>Jorge Ortega</t>
  </si>
  <si>
    <t>E0081</t>
  </si>
  <si>
    <t>Tomás Mendoza</t>
  </si>
  <si>
    <t>E0082</t>
  </si>
  <si>
    <t>Sebastián Herrera</t>
  </si>
  <si>
    <t>E0083</t>
  </si>
  <si>
    <t>Marcela Mendoza</t>
  </si>
  <si>
    <t>E0084</t>
  </si>
  <si>
    <t>María Luna</t>
  </si>
  <si>
    <t>E0085</t>
  </si>
  <si>
    <t>Pablo Soto</t>
  </si>
  <si>
    <t>E0086</t>
  </si>
  <si>
    <t>Tomás Luna</t>
  </si>
  <si>
    <t>E0087</t>
  </si>
  <si>
    <t>Gloria Suárez</t>
  </si>
  <si>
    <t>E0088</t>
  </si>
  <si>
    <t>Iván Blanco</t>
  </si>
  <si>
    <t>E0089</t>
  </si>
  <si>
    <t>Adriana Ruiz</t>
  </si>
  <si>
    <t>E0090</t>
  </si>
  <si>
    <t>Julián Cruz</t>
  </si>
  <si>
    <t>E0091</t>
  </si>
  <si>
    <t>Ana Soto</t>
  </si>
  <si>
    <t>E0092</t>
  </si>
  <si>
    <t>Natalia Jiménez</t>
  </si>
  <si>
    <t>E0093</t>
  </si>
  <si>
    <t>Carlos Herrera</t>
  </si>
  <si>
    <t>E0094</t>
  </si>
  <si>
    <t>Sandra Morales</t>
  </si>
  <si>
    <t>E0095</t>
  </si>
  <si>
    <t>Marcela Ruiz</t>
  </si>
  <si>
    <t>E0096</t>
  </si>
  <si>
    <t>Sergio Pinto</t>
  </si>
  <si>
    <t>E0097</t>
  </si>
  <si>
    <t>Carolina Jiménez</t>
  </si>
  <si>
    <t>E0098</t>
  </si>
  <si>
    <t>Sandra Herrera</t>
  </si>
  <si>
    <t>E0099</t>
  </si>
  <si>
    <t>Adriana Suárez</t>
  </si>
  <si>
    <t>E0100</t>
  </si>
  <si>
    <t>Sergio Reyes</t>
  </si>
  <si>
    <t>E0101</t>
  </si>
  <si>
    <t>Daniela Pérez</t>
  </si>
  <si>
    <t>E0102</t>
  </si>
  <si>
    <t>Mauricio Soto</t>
  </si>
  <si>
    <t>E0103</t>
  </si>
  <si>
    <t>Pablo Gómez</t>
  </si>
  <si>
    <t>E0104</t>
  </si>
  <si>
    <t>Jorge Morales</t>
  </si>
  <si>
    <t>E0105</t>
  </si>
  <si>
    <t>Hernán Navarro</t>
  </si>
  <si>
    <t>E0106</t>
  </si>
  <si>
    <t>Julián Blanco</t>
  </si>
  <si>
    <t>E0107</t>
  </si>
  <si>
    <t>Ricardo Suárez</t>
  </si>
  <si>
    <t>E0108</t>
  </si>
  <si>
    <t>Rodrigo Rojas</t>
  </si>
  <si>
    <t>E0109</t>
  </si>
  <si>
    <t>Ricardo Jiménez</t>
  </si>
  <si>
    <t>E0110</t>
  </si>
  <si>
    <t>Hernán Guerrero</t>
  </si>
  <si>
    <t>E0111</t>
  </si>
  <si>
    <t>Tatiana Muñoz</t>
  </si>
  <si>
    <t>E0112</t>
  </si>
  <si>
    <t>Valentina Jiménez</t>
  </si>
  <si>
    <t>E0113</t>
  </si>
  <si>
    <t>Julián Luna</t>
  </si>
  <si>
    <t>E0114</t>
  </si>
  <si>
    <t>Esteban Ramírez</t>
  </si>
  <si>
    <t>E0115</t>
  </si>
  <si>
    <t>Esteban Cruz</t>
  </si>
  <si>
    <t>E0116</t>
  </si>
  <si>
    <t>Hernán Muñoz</t>
  </si>
  <si>
    <t>E0117</t>
  </si>
  <si>
    <t>Luis Rojas</t>
  </si>
  <si>
    <t>E0118</t>
  </si>
  <si>
    <t>Julián Soto</t>
  </si>
  <si>
    <t>E0119</t>
  </si>
  <si>
    <t>Laura López</t>
  </si>
  <si>
    <t>E0120</t>
  </si>
  <si>
    <t>Daniela Pinto</t>
  </si>
  <si>
    <t>E0121</t>
  </si>
  <si>
    <t>Rodrigo Jiménez</t>
  </si>
  <si>
    <t>E0122</t>
  </si>
  <si>
    <t>Ricardo Rojas</t>
  </si>
  <si>
    <t>E0123</t>
  </si>
  <si>
    <t>Gloria Pinto</t>
  </si>
  <si>
    <t>E0124</t>
  </si>
  <si>
    <t>Laura Vera</t>
  </si>
  <si>
    <t>E0125</t>
  </si>
  <si>
    <t>Tomás Morales</t>
  </si>
  <si>
    <t>E0126</t>
  </si>
  <si>
    <t>Marcela Luna</t>
  </si>
  <si>
    <t>E0127</t>
  </si>
  <si>
    <t>Ana Guerrero</t>
  </si>
  <si>
    <t>E0128</t>
  </si>
  <si>
    <t>Diego Morales</t>
  </si>
  <si>
    <t>E0129</t>
  </si>
  <si>
    <t>Julián Ruiz</t>
  </si>
  <si>
    <t>E0130</t>
  </si>
  <si>
    <t>Juliana Torres</t>
  </si>
  <si>
    <t>E0131</t>
  </si>
  <si>
    <t>Ricardo Mendoza</t>
  </si>
  <si>
    <t>E0132</t>
  </si>
  <si>
    <t>Rafael Cruz</t>
  </si>
  <si>
    <t>E0133</t>
  </si>
  <si>
    <t>Laura Morales</t>
  </si>
  <si>
    <t>E0134</t>
  </si>
  <si>
    <t>Alejandra Medina</t>
  </si>
  <si>
    <t>E0135</t>
  </si>
  <si>
    <t>Julián Ortega</t>
  </si>
  <si>
    <t>E0136</t>
  </si>
  <si>
    <t>Adriana Rojas</t>
  </si>
  <si>
    <t>E0137</t>
  </si>
  <si>
    <t>Valentina Moya</t>
  </si>
  <si>
    <t>E0138</t>
  </si>
  <si>
    <t>Adriana Luna</t>
  </si>
  <si>
    <t>E0139</t>
  </si>
  <si>
    <t>Mauricio Navarro</t>
  </si>
  <si>
    <t>E0140</t>
  </si>
  <si>
    <t>Ricardo Ruiz</t>
  </si>
  <si>
    <t>E0141</t>
  </si>
  <si>
    <t>David Pinto</t>
  </si>
  <si>
    <t>E0142</t>
  </si>
  <si>
    <t>Gabriela Gómez</t>
  </si>
  <si>
    <t>E0143</t>
  </si>
  <si>
    <t>Patricia Reyes</t>
  </si>
  <si>
    <t>E0144</t>
  </si>
  <si>
    <t>Mauricio Pérez</t>
  </si>
  <si>
    <t>E0145</t>
  </si>
  <si>
    <t>Jorge Medina</t>
  </si>
  <si>
    <t>E0146</t>
  </si>
  <si>
    <t>Daniela Ortega</t>
  </si>
  <si>
    <t>E0147</t>
  </si>
  <si>
    <t>Alejandra Ruiz</t>
  </si>
  <si>
    <t>E0148</t>
  </si>
  <si>
    <t>Tomás Rojo</t>
  </si>
  <si>
    <t>E0149</t>
  </si>
  <si>
    <t>Patricia Moya</t>
  </si>
  <si>
    <t>E0150</t>
  </si>
  <si>
    <t>María Gómez</t>
  </si>
  <si>
    <t>E0151</t>
  </si>
  <si>
    <t>Hernán Pérez</t>
  </si>
  <si>
    <t>E0152</t>
  </si>
  <si>
    <t>Sergio Muñoz</t>
  </si>
  <si>
    <t>E0153</t>
  </si>
  <si>
    <t>Sebastián Ruiz</t>
  </si>
  <si>
    <t>E0154</t>
  </si>
  <si>
    <t>Mauricio Ríos</t>
  </si>
  <si>
    <t>E0155</t>
  </si>
  <si>
    <t>Daniela Reyes</t>
  </si>
  <si>
    <t>E0156</t>
  </si>
  <si>
    <t>Andrés Ortega</t>
  </si>
  <si>
    <t>E0157</t>
  </si>
  <si>
    <t>Tomás Blanco</t>
  </si>
  <si>
    <t>E0158</t>
  </si>
  <si>
    <t>Esteban Medina</t>
  </si>
  <si>
    <t>E0159</t>
  </si>
  <si>
    <t>Andrés Ruiz</t>
  </si>
  <si>
    <t>E0160</t>
  </si>
  <si>
    <t>Gabriela Torres</t>
  </si>
  <si>
    <t>E0161</t>
  </si>
  <si>
    <t>Alejandra Rojas</t>
  </si>
  <si>
    <t>E0162</t>
  </si>
  <si>
    <t>Iván Medina</t>
  </si>
  <si>
    <t>E0163</t>
  </si>
  <si>
    <t>Luis Flores</t>
  </si>
  <si>
    <t>E0164</t>
  </si>
  <si>
    <t>Gabriela Moya</t>
  </si>
  <si>
    <t>E0165</t>
  </si>
  <si>
    <t>Diego Pinto</t>
  </si>
  <si>
    <t>E0166</t>
  </si>
  <si>
    <t>Tatiana Gómez</t>
  </si>
  <si>
    <t>E0167</t>
  </si>
  <si>
    <t>Carolina Flores</t>
  </si>
  <si>
    <t>E0168</t>
  </si>
  <si>
    <t>Natalia Ríos</t>
  </si>
  <si>
    <t>E0169</t>
  </si>
  <si>
    <t>Sandra Rojas</t>
  </si>
  <si>
    <t>E0170</t>
  </si>
  <si>
    <t>Rodrigo Torres</t>
  </si>
  <si>
    <t>E0171</t>
  </si>
  <si>
    <t>Patricia Castro</t>
  </si>
  <si>
    <t>E0172</t>
  </si>
  <si>
    <t>Adriana Vera</t>
  </si>
  <si>
    <t>E0173</t>
  </si>
  <si>
    <t>Diego Blanco</t>
  </si>
  <si>
    <t>E0174</t>
  </si>
  <si>
    <t>Daniela Flores</t>
  </si>
  <si>
    <t>E0175</t>
  </si>
  <si>
    <t>Jorge Jiménez</t>
  </si>
  <si>
    <t>E0176</t>
  </si>
  <si>
    <t>Tatiana Ortega</t>
  </si>
  <si>
    <t>E0177</t>
  </si>
  <si>
    <t>Laura Gómez</t>
  </si>
  <si>
    <t>E0178</t>
  </si>
  <si>
    <t>Esteban Ríos</t>
  </si>
  <si>
    <t>E0179</t>
  </si>
  <si>
    <t>Julián Rojo</t>
  </si>
  <si>
    <t>E0180</t>
  </si>
  <si>
    <t>Gloria Rojo</t>
  </si>
  <si>
    <t>E0181</t>
  </si>
  <si>
    <t>Rafael Herrera</t>
  </si>
  <si>
    <t>E0182</t>
  </si>
  <si>
    <t>Camila Ortega</t>
  </si>
  <si>
    <t>E0183</t>
  </si>
  <si>
    <t>Pablo Rojas</t>
  </si>
  <si>
    <t>E0184</t>
  </si>
  <si>
    <t>Tatiana Jiménez</t>
  </si>
  <si>
    <t>E0185</t>
  </si>
  <si>
    <t>Felipe Jiménez</t>
  </si>
  <si>
    <t>E0186</t>
  </si>
  <si>
    <t>Sebastián Rojo</t>
  </si>
  <si>
    <t>E0187</t>
  </si>
  <si>
    <t>Ricardo Medina</t>
  </si>
  <si>
    <t>E0188</t>
  </si>
  <si>
    <t>David Mendoza</t>
  </si>
  <si>
    <t>E0189</t>
  </si>
  <si>
    <t>Alejandra Mendoza</t>
  </si>
  <si>
    <t>E0190</t>
  </si>
  <si>
    <t>Rafael Suárez</t>
  </si>
  <si>
    <t>E0191</t>
  </si>
  <si>
    <t>Paola Blanco</t>
  </si>
  <si>
    <t>E0192</t>
  </si>
  <si>
    <t>Sofía Mendoza</t>
  </si>
  <si>
    <t>E0193</t>
  </si>
  <si>
    <t>Miguel Navarro</t>
  </si>
  <si>
    <t>E0194</t>
  </si>
  <si>
    <t>Esteban López</t>
  </si>
  <si>
    <t>E0195</t>
  </si>
  <si>
    <t>Tomás Gómez</t>
  </si>
  <si>
    <t>E0196</t>
  </si>
  <si>
    <t>María Vera</t>
  </si>
  <si>
    <t>E0197</t>
  </si>
  <si>
    <t>Natalia Flores</t>
  </si>
  <si>
    <t>E0198</t>
  </si>
  <si>
    <t>Carolina Mendoza</t>
  </si>
  <si>
    <t>E0199</t>
  </si>
  <si>
    <t>Tomás Jiménez</t>
  </si>
  <si>
    <t>E0200</t>
  </si>
  <si>
    <t>María Jiménez</t>
  </si>
  <si>
    <t>E0201</t>
  </si>
  <si>
    <t>Tomás Herrera</t>
  </si>
  <si>
    <t>E0202</t>
  </si>
  <si>
    <t>Esteban Muñoz</t>
  </si>
  <si>
    <t>E0203</t>
  </si>
  <si>
    <t>Isabella Ramírez</t>
  </si>
  <si>
    <t>E0204</t>
  </si>
  <si>
    <t>Carlos López</t>
  </si>
  <si>
    <t>E0205</t>
  </si>
  <si>
    <t>Julián Jiménez</t>
  </si>
  <si>
    <t>E0206</t>
  </si>
  <si>
    <t>Paola Gómez</t>
  </si>
  <si>
    <t>E0207</t>
  </si>
  <si>
    <t>David Luna</t>
  </si>
  <si>
    <t>E0208</t>
  </si>
  <si>
    <t>Camila Rojas</t>
  </si>
  <si>
    <t>E0209</t>
  </si>
  <si>
    <t>Alejandra Luna</t>
  </si>
  <si>
    <t>E0210</t>
  </si>
  <si>
    <t>Pablo Mendoza</t>
  </si>
  <si>
    <t>E0211</t>
  </si>
  <si>
    <t>Tatiana Moya</t>
  </si>
  <si>
    <t>E0212</t>
  </si>
  <si>
    <t>Diego Vargas</t>
  </si>
  <si>
    <t>E0213</t>
  </si>
  <si>
    <t>Rodrigo Blanco</t>
  </si>
  <si>
    <t>E0214</t>
  </si>
  <si>
    <t>Sandra Castro</t>
  </si>
  <si>
    <t>E0215</t>
  </si>
  <si>
    <t>Hernán Blanco</t>
  </si>
  <si>
    <t>E0216</t>
  </si>
  <si>
    <t>Luis Jiménez</t>
  </si>
  <si>
    <t>E0217</t>
  </si>
  <si>
    <t>Felipe Navarro</t>
  </si>
  <si>
    <t>E0218</t>
  </si>
  <si>
    <t>Juliana Soto</t>
  </si>
  <si>
    <t>E0219</t>
  </si>
  <si>
    <t>Luis Reyes</t>
  </si>
  <si>
    <t>E0220</t>
  </si>
  <si>
    <t>Alejandra Ortega</t>
  </si>
  <si>
    <t>E0221</t>
  </si>
  <si>
    <t>Ricardo Torres</t>
  </si>
  <si>
    <t>E0222</t>
  </si>
  <si>
    <t>Gloria Pérez</t>
  </si>
  <si>
    <t>E0223</t>
  </si>
  <si>
    <t>Jorge Pérez</t>
  </si>
  <si>
    <t>E0224</t>
  </si>
  <si>
    <t>Diego López</t>
  </si>
  <si>
    <t>E0225</t>
  </si>
  <si>
    <t>Iván López</t>
  </si>
  <si>
    <t>E0226</t>
  </si>
  <si>
    <t>Iván Guerrero</t>
  </si>
  <si>
    <t>E0227</t>
  </si>
  <si>
    <t>Esteban Jiménez</t>
  </si>
  <si>
    <t>E0228</t>
  </si>
  <si>
    <t>Jorge Gómez</t>
  </si>
  <si>
    <t>E0229</t>
  </si>
  <si>
    <t>Jorge Pinto</t>
  </si>
  <si>
    <t>E0230</t>
  </si>
  <si>
    <t>Rodrigo Suárez</t>
  </si>
  <si>
    <t>E0231</t>
  </si>
  <si>
    <t>Mauricio Medina</t>
  </si>
  <si>
    <t>E0232</t>
  </si>
  <si>
    <t>Diego Ríos</t>
  </si>
  <si>
    <t>E0233</t>
  </si>
  <si>
    <t>Valentina Cruz</t>
  </si>
  <si>
    <t>E0234</t>
  </si>
  <si>
    <t>Rafael Pinto</t>
  </si>
  <si>
    <t>E0235</t>
  </si>
  <si>
    <t>Sofía Luna</t>
  </si>
  <si>
    <t>E0236</t>
  </si>
  <si>
    <t>Esteban Moya</t>
  </si>
  <si>
    <t>E0237</t>
  </si>
  <si>
    <t>Pablo Guerrero</t>
  </si>
  <si>
    <t>E0238</t>
  </si>
  <si>
    <t>Andrés Flores</t>
  </si>
  <si>
    <t>E0239</t>
  </si>
  <si>
    <t>Juliana Pérez</t>
  </si>
  <si>
    <t>E0240</t>
  </si>
  <si>
    <t>Carlos Muñoz</t>
  </si>
  <si>
    <t>E0241</t>
  </si>
  <si>
    <t>Natalia Soto</t>
  </si>
  <si>
    <t>E0242</t>
  </si>
  <si>
    <t>Sofía Ríos</t>
  </si>
  <si>
    <t>E0243</t>
  </si>
  <si>
    <t>Jorge Suárez</t>
  </si>
  <si>
    <t>E0244</t>
  </si>
  <si>
    <t>Sergio Suárez</t>
  </si>
  <si>
    <t>E0245</t>
  </si>
  <si>
    <t>Sergio Luna</t>
  </si>
  <si>
    <t>E0246</t>
  </si>
  <si>
    <t>Valentina Medina</t>
  </si>
  <si>
    <t>E0247</t>
  </si>
  <si>
    <t>Rafael Navarro</t>
  </si>
  <si>
    <t>E0248</t>
  </si>
  <si>
    <t>Alejandra Moya</t>
  </si>
  <si>
    <t>E0249</t>
  </si>
  <si>
    <t>Paola Castro</t>
  </si>
  <si>
    <t>E0250</t>
  </si>
  <si>
    <t>Carolina Soto</t>
  </si>
  <si>
    <t>E0251</t>
  </si>
  <si>
    <t>Jorge Reyes</t>
  </si>
  <si>
    <t>E0252</t>
  </si>
  <si>
    <t>Gloria Blanco</t>
  </si>
  <si>
    <t>E0253</t>
  </si>
  <si>
    <t>Gabriela López</t>
  </si>
  <si>
    <t>E0254</t>
  </si>
  <si>
    <t>Adriana Gómez</t>
  </si>
  <si>
    <t>E0255</t>
  </si>
  <si>
    <t>Natalia Torres</t>
  </si>
  <si>
    <t>E0256</t>
  </si>
  <si>
    <t>Paola Flores</t>
  </si>
  <si>
    <t>E0257</t>
  </si>
  <si>
    <t>Adriana Muñoz</t>
  </si>
  <si>
    <t>E0258</t>
  </si>
  <si>
    <t>Laura Mendoza</t>
  </si>
  <si>
    <t>E0259</t>
  </si>
  <si>
    <t>Ana Suárez</t>
  </si>
  <si>
    <t>E0260</t>
  </si>
  <si>
    <t>Natalia Rojas</t>
  </si>
  <si>
    <t>E0261</t>
  </si>
  <si>
    <t>Mauricio Jiménez</t>
  </si>
  <si>
    <t>E0262</t>
  </si>
  <si>
    <t>Paola Herrera</t>
  </si>
  <si>
    <t>E0263</t>
  </si>
  <si>
    <t>Alejandra López</t>
  </si>
  <si>
    <t>E0264</t>
  </si>
  <si>
    <t>Gabriela Vera</t>
  </si>
  <si>
    <t>E0265</t>
  </si>
  <si>
    <t>Tatiana Herrera</t>
  </si>
  <si>
    <t>E0266</t>
  </si>
  <si>
    <t>Natalia Luna</t>
  </si>
  <si>
    <t>E0267</t>
  </si>
  <si>
    <t>David Ortega</t>
  </si>
  <si>
    <t>E0268</t>
  </si>
  <si>
    <t>Iván Soto</t>
  </si>
  <si>
    <t>E0269</t>
  </si>
  <si>
    <t>Paola Morales</t>
  </si>
  <si>
    <t>E0270</t>
  </si>
  <si>
    <t>Gloria Guerrero</t>
  </si>
  <si>
    <t>E0271</t>
  </si>
  <si>
    <t>Camila Muñoz</t>
  </si>
  <si>
    <t>E0272</t>
  </si>
  <si>
    <t>Carolina Morales</t>
  </si>
  <si>
    <t>E0273</t>
  </si>
  <si>
    <t>Camila Navarro</t>
  </si>
  <si>
    <t>E0274</t>
  </si>
  <si>
    <t>Felipe Moya</t>
  </si>
  <si>
    <t>E0275</t>
  </si>
  <si>
    <t>Diego Ruiz</t>
  </si>
  <si>
    <t>E0276</t>
  </si>
  <si>
    <t>María Suárez</t>
  </si>
  <si>
    <t>E0277</t>
  </si>
  <si>
    <t>Gabriela Medina</t>
  </si>
  <si>
    <t>E0278</t>
  </si>
  <si>
    <t>Sandra Ruiz</t>
  </si>
  <si>
    <t>E0279</t>
  </si>
  <si>
    <t>Laura Ríos</t>
  </si>
  <si>
    <t>E0280</t>
  </si>
  <si>
    <t>Juliana Castro</t>
  </si>
  <si>
    <t>E0281</t>
  </si>
  <si>
    <t>Iván Castro</t>
  </si>
  <si>
    <t>E0282</t>
  </si>
  <si>
    <t>Sebastián Muñoz</t>
  </si>
  <si>
    <t>E0283</t>
  </si>
  <si>
    <t>Luis Soto</t>
  </si>
  <si>
    <t>E0284</t>
  </si>
  <si>
    <t>Julián Castro</t>
  </si>
  <si>
    <t>E0285</t>
  </si>
  <si>
    <t>Miguel Pinto</t>
  </si>
  <si>
    <t>E0286</t>
  </si>
  <si>
    <t>Gloria Navarro</t>
  </si>
  <si>
    <t>E0287</t>
  </si>
  <si>
    <t>Felipe Reyes</t>
  </si>
  <si>
    <t>E0288</t>
  </si>
  <si>
    <t>Carlos Suárez</t>
  </si>
  <si>
    <t>E0289</t>
  </si>
  <si>
    <t>Julián Navarro</t>
  </si>
  <si>
    <t>E0290</t>
  </si>
  <si>
    <t>Juliana Ríos</t>
  </si>
  <si>
    <t>E0291</t>
  </si>
  <si>
    <t>Mauricio Ruiz</t>
  </si>
  <si>
    <t>E0292</t>
  </si>
  <si>
    <t>Adriana Ramírez</t>
  </si>
  <si>
    <t>E0293</t>
  </si>
  <si>
    <t>Paola Vera</t>
  </si>
  <si>
    <t>E0294</t>
  </si>
  <si>
    <t>Carlos Cruz</t>
  </si>
  <si>
    <t>E0295</t>
  </si>
  <si>
    <t>Alejandra Navarro</t>
  </si>
  <si>
    <t>E0296</t>
  </si>
  <si>
    <t>Tomás López</t>
  </si>
  <si>
    <t>E0297</t>
  </si>
  <si>
    <t>Andrés Gómez</t>
  </si>
  <si>
    <t>E0298</t>
  </si>
  <si>
    <t>María Rojo</t>
  </si>
  <si>
    <t>E0299</t>
  </si>
  <si>
    <t>Patricia Rojo</t>
  </si>
  <si>
    <t>E0300</t>
  </si>
  <si>
    <t>Gabriela Ortega</t>
  </si>
  <si>
    <t>E0301</t>
  </si>
  <si>
    <t>Gloria Jiménez</t>
  </si>
  <si>
    <t>E0302</t>
  </si>
  <si>
    <t>Sofía Pérez</t>
  </si>
  <si>
    <t>E0303</t>
  </si>
  <si>
    <t>Carolina Guerrero</t>
  </si>
  <si>
    <t>E0304</t>
  </si>
  <si>
    <t>Laura Herrera</t>
  </si>
  <si>
    <t>E0305</t>
  </si>
  <si>
    <t>Jorge Castro</t>
  </si>
  <si>
    <t>E0306</t>
  </si>
  <si>
    <t>Diego Gómez</t>
  </si>
  <si>
    <t>E0307</t>
  </si>
  <si>
    <t>Rafael Vargas</t>
  </si>
  <si>
    <t>E0308</t>
  </si>
  <si>
    <t>Diego Muñoz</t>
  </si>
  <si>
    <t>E0309</t>
  </si>
  <si>
    <t>Marcela Soto</t>
  </si>
  <si>
    <t>E0310</t>
  </si>
  <si>
    <t>Luis Blanco</t>
  </si>
  <si>
    <t>E0311</t>
  </si>
  <si>
    <t>Gabriela Ruiz</t>
  </si>
  <si>
    <t>E0312</t>
  </si>
  <si>
    <t>María Pérez</t>
  </si>
  <si>
    <t>E0313</t>
  </si>
  <si>
    <t>Tomás Ríos</t>
  </si>
  <si>
    <t>E0314</t>
  </si>
  <si>
    <t>Gabriela Suárez</t>
  </si>
  <si>
    <t>E0315</t>
  </si>
  <si>
    <t>Tatiana Luna</t>
  </si>
  <si>
    <t>E0316</t>
  </si>
  <si>
    <t>Paola Moya</t>
  </si>
  <si>
    <t>E0317</t>
  </si>
  <si>
    <t>Rafael Ríos</t>
  </si>
  <si>
    <t>E0318</t>
  </si>
  <si>
    <t>Paola Luna</t>
  </si>
  <si>
    <t>E0319</t>
  </si>
  <si>
    <t>Ricardo Morales</t>
  </si>
  <si>
    <t>E0320</t>
  </si>
  <si>
    <t>Alejandra Reyes</t>
  </si>
  <si>
    <t>E0321</t>
  </si>
  <si>
    <t>Sandra Mendoza</t>
  </si>
  <si>
    <t>E0322</t>
  </si>
  <si>
    <t>Daniela Soto</t>
  </si>
  <si>
    <t>E0323</t>
  </si>
  <si>
    <t>David Rojo</t>
  </si>
  <si>
    <t>E0324</t>
  </si>
  <si>
    <t>Gloria Ruiz</t>
  </si>
  <si>
    <t>E0325</t>
  </si>
  <si>
    <t>Rodrigo Flores</t>
  </si>
  <si>
    <t>E0326</t>
  </si>
  <si>
    <t>Iván Muñoz</t>
  </si>
  <si>
    <t>E0327</t>
  </si>
  <si>
    <t>Patricia Suárez</t>
  </si>
  <si>
    <t>E0328</t>
  </si>
  <si>
    <t>Carlos Moya</t>
  </si>
  <si>
    <t>E0329</t>
  </si>
  <si>
    <t>Hernán Vera</t>
  </si>
  <si>
    <t>E0330</t>
  </si>
  <si>
    <t>Carlos Jiménez</t>
  </si>
  <si>
    <t>E0331</t>
  </si>
  <si>
    <t>Mauricio Castro</t>
  </si>
  <si>
    <t>E0332</t>
  </si>
  <si>
    <t>Felipe Torres</t>
  </si>
  <si>
    <t>E0333</t>
  </si>
  <si>
    <t>David Herrera</t>
  </si>
  <si>
    <t>E0334</t>
  </si>
  <si>
    <t>Ricardo Rojo</t>
  </si>
  <si>
    <t>E0335</t>
  </si>
  <si>
    <t>Mauricio Vargas</t>
  </si>
  <si>
    <t>E0336</t>
  </si>
  <si>
    <t>Marcela Suárez</t>
  </si>
  <si>
    <t>E0337</t>
  </si>
  <si>
    <t>Pablo López</t>
  </si>
  <si>
    <t>E0338</t>
  </si>
  <si>
    <t>Alejandra Muñoz</t>
  </si>
  <si>
    <t>E0339</t>
  </si>
  <si>
    <t>Rafael Gómez</t>
  </si>
  <si>
    <t>E0340</t>
  </si>
  <si>
    <t>Ricardo Pinto</t>
  </si>
  <si>
    <t>E0341</t>
  </si>
  <si>
    <t>Jorge Torres</t>
  </si>
  <si>
    <t>E0342</t>
  </si>
  <si>
    <t>Mauricio Morales</t>
  </si>
  <si>
    <t>E0343</t>
  </si>
  <si>
    <t>Andrés Muñoz</t>
  </si>
  <si>
    <t>E0344</t>
  </si>
  <si>
    <t>Laura Moya</t>
  </si>
  <si>
    <t>E0345</t>
  </si>
  <si>
    <t>Marcela Medina</t>
  </si>
  <si>
    <t>E0346</t>
  </si>
  <si>
    <t>Camila Morales</t>
  </si>
  <si>
    <t>E0347</t>
  </si>
  <si>
    <t>Juliana Suárez</t>
  </si>
  <si>
    <t>E0348</t>
  </si>
  <si>
    <t>Gabriela Rojas</t>
  </si>
  <si>
    <t>E0349</t>
  </si>
  <si>
    <t>Rodrigo Luna</t>
  </si>
  <si>
    <t>E0350</t>
  </si>
  <si>
    <t>Gloria Ríos</t>
  </si>
  <si>
    <t>E0351</t>
  </si>
  <si>
    <t>Gloria Ramírez</t>
  </si>
  <si>
    <t>E0352</t>
  </si>
  <si>
    <t>Sebastián Mendoza</t>
  </si>
  <si>
    <t>E0353</t>
  </si>
  <si>
    <t>Jorge López</t>
  </si>
  <si>
    <t>E0354</t>
  </si>
  <si>
    <t>Mauricio Torres</t>
  </si>
  <si>
    <t>E0355</t>
  </si>
  <si>
    <t>Natalia Guerrero</t>
  </si>
  <si>
    <t>E0356</t>
  </si>
  <si>
    <t>Andrés Reyes</t>
  </si>
  <si>
    <t>E0357</t>
  </si>
  <si>
    <t>Gloria Soto</t>
  </si>
  <si>
    <t>E0358</t>
  </si>
  <si>
    <t>Iván Reyes</t>
  </si>
  <si>
    <t>E0359</t>
  </si>
  <si>
    <t>Sebastián Soto</t>
  </si>
  <si>
    <t>E0360</t>
  </si>
  <si>
    <t>Patricia Ruiz</t>
  </si>
  <si>
    <t>E0361</t>
  </si>
  <si>
    <t>Iván Morales</t>
  </si>
  <si>
    <t>E0362</t>
  </si>
  <si>
    <t>Daniela Navarro</t>
  </si>
  <si>
    <t>E0363</t>
  </si>
  <si>
    <t>Valentina Morales</t>
  </si>
  <si>
    <t>E0364</t>
  </si>
  <si>
    <t>Gloria Castro</t>
  </si>
  <si>
    <t>E0365</t>
  </si>
  <si>
    <t>Felipe Ruiz</t>
  </si>
  <si>
    <t>E0366</t>
  </si>
  <si>
    <t>Ana Blanco</t>
  </si>
  <si>
    <t>E0367</t>
  </si>
  <si>
    <t>Alejandra Flores</t>
  </si>
  <si>
    <t>E0368</t>
  </si>
  <si>
    <t>Laura Navarro</t>
  </si>
  <si>
    <t>E0369</t>
  </si>
  <si>
    <t>Rodrigo Pérez</t>
  </si>
  <si>
    <t>E0370</t>
  </si>
  <si>
    <t>Daniela Muñoz</t>
  </si>
  <si>
    <t>E0371</t>
  </si>
  <si>
    <t>Sebastián Ramírez</t>
  </si>
  <si>
    <t>E0372</t>
  </si>
  <si>
    <t>Camila Suárez</t>
  </si>
  <si>
    <t>E0373</t>
  </si>
  <si>
    <t>Diego Rojo</t>
  </si>
  <si>
    <t>E0374</t>
  </si>
  <si>
    <t>Valentina Flores</t>
  </si>
  <si>
    <t>E0375</t>
  </si>
  <si>
    <t>Sandra Luna</t>
  </si>
  <si>
    <t>E0376</t>
  </si>
  <si>
    <t>Patricia Guerrero</t>
  </si>
  <si>
    <t>E0377</t>
  </si>
  <si>
    <t>Daniela Herrera</t>
  </si>
  <si>
    <t>E0378</t>
  </si>
  <si>
    <t>Luis Cruz</t>
  </si>
  <si>
    <t>E0379</t>
  </si>
  <si>
    <t>Iván Gómez</t>
  </si>
  <si>
    <t>E0380</t>
  </si>
  <si>
    <t>Miguel Moya</t>
  </si>
  <si>
    <t>E0381</t>
  </si>
  <si>
    <t>Marcela Moya</t>
  </si>
  <si>
    <t>E0382</t>
  </si>
  <si>
    <t>Marcela López</t>
  </si>
  <si>
    <t>E0383</t>
  </si>
  <si>
    <t>Ana Vera</t>
  </si>
  <si>
    <t>E0384</t>
  </si>
  <si>
    <t>Camila López</t>
  </si>
  <si>
    <t>E0385</t>
  </si>
  <si>
    <t>Andrés Moya</t>
  </si>
  <si>
    <t>E0386</t>
  </si>
  <si>
    <t>Sebastián Reyes</t>
  </si>
  <si>
    <t>E0387</t>
  </si>
  <si>
    <t>Rodrigo Soto</t>
  </si>
  <si>
    <t>E0388</t>
  </si>
  <si>
    <t>Sergio Ruiz</t>
  </si>
  <si>
    <t>E0389</t>
  </si>
  <si>
    <t>David Blanco</t>
  </si>
  <si>
    <t>E0390</t>
  </si>
  <si>
    <t>Tatiana Mendoza</t>
  </si>
  <si>
    <t>E0391</t>
  </si>
  <si>
    <t>Rodrigo Rojo</t>
  </si>
  <si>
    <t>E0392</t>
  </si>
  <si>
    <t>Patricia Ortega</t>
  </si>
  <si>
    <t>E0393</t>
  </si>
  <si>
    <t>Gloria Morales</t>
  </si>
  <si>
    <t>E0394</t>
  </si>
  <si>
    <t>Hernán Ortega</t>
  </si>
  <si>
    <t>E0395</t>
  </si>
  <si>
    <t>María Ríos</t>
  </si>
  <si>
    <t>E0396</t>
  </si>
  <si>
    <t>Daniela Gómez</t>
  </si>
  <si>
    <t>E0397</t>
  </si>
  <si>
    <t>Gloria Cruz</t>
  </si>
  <si>
    <t>E0398</t>
  </si>
  <si>
    <t>Diego Luna</t>
  </si>
  <si>
    <t>E0399</t>
  </si>
  <si>
    <t>Pablo Castro</t>
  </si>
  <si>
    <t>E0400</t>
  </si>
  <si>
    <t>Sergio Castro</t>
  </si>
  <si>
    <t>E0401</t>
  </si>
  <si>
    <t>Camila Flores</t>
  </si>
  <si>
    <t>E0402</t>
  </si>
  <si>
    <t>Sergio Vera</t>
  </si>
  <si>
    <t>E0403</t>
  </si>
  <si>
    <t>Paola Mendoza</t>
  </si>
  <si>
    <t>E0404</t>
  </si>
  <si>
    <t>Julián Torres</t>
  </si>
  <si>
    <t>E0405</t>
  </si>
  <si>
    <t>Luis Gómez</t>
  </si>
  <si>
    <t>E0406</t>
  </si>
  <si>
    <t>Andrés Pérez</t>
  </si>
  <si>
    <t>E0407</t>
  </si>
  <si>
    <t>Sofía Ramírez</t>
  </si>
  <si>
    <t>E0408</t>
  </si>
  <si>
    <t>Sergio Mendoza</t>
  </si>
  <si>
    <t>E0409</t>
  </si>
  <si>
    <t>Jorge Ríos</t>
  </si>
  <si>
    <t>E0410</t>
  </si>
  <si>
    <t>Patricia Navarro</t>
  </si>
  <si>
    <t>E0411</t>
  </si>
  <si>
    <t>Luis Herrera</t>
  </si>
  <si>
    <t>E0412</t>
  </si>
  <si>
    <t>Sandra Blanco</t>
  </si>
  <si>
    <t>E0413</t>
  </si>
  <si>
    <t>Felipe Blanco</t>
  </si>
  <si>
    <t>E0414</t>
  </si>
  <si>
    <t>Sandra Ortega</t>
  </si>
  <si>
    <t>E0415</t>
  </si>
  <si>
    <t>Sofía Guerrero</t>
  </si>
  <si>
    <t>E0416</t>
  </si>
  <si>
    <t>María Pinto</t>
  </si>
  <si>
    <t>E0417</t>
  </si>
  <si>
    <t>Paola Pinto</t>
  </si>
  <si>
    <t>E0418</t>
  </si>
  <si>
    <t>Miguel Mendoza</t>
  </si>
  <si>
    <t>E0419</t>
  </si>
  <si>
    <t>Pablo Luna</t>
  </si>
  <si>
    <t>E0420</t>
  </si>
  <si>
    <t>Julián Rojas</t>
  </si>
  <si>
    <t>E0421</t>
  </si>
  <si>
    <t>David Ríos</t>
  </si>
  <si>
    <t>E0422</t>
  </si>
  <si>
    <t>Hernán Moya</t>
  </si>
  <si>
    <t>E0423</t>
  </si>
  <si>
    <t>Patricia Pérez</t>
  </si>
  <si>
    <t>E0424</t>
  </si>
  <si>
    <t>Iván Pinto</t>
  </si>
  <si>
    <t>E0425</t>
  </si>
  <si>
    <t>Laura Rojo</t>
  </si>
  <si>
    <t>E0426</t>
  </si>
  <si>
    <t>Paola López</t>
  </si>
  <si>
    <t>E0427</t>
  </si>
  <si>
    <t>Daniela Mendoza</t>
  </si>
  <si>
    <t>E0428</t>
  </si>
  <si>
    <t>Gabriela Rojo</t>
  </si>
  <si>
    <t>E0429</t>
  </si>
  <si>
    <t>Valentina Pinto</t>
  </si>
  <si>
    <t>E0430</t>
  </si>
  <si>
    <t>Jorge Flores</t>
  </si>
  <si>
    <t>E0431</t>
  </si>
  <si>
    <t>Gabriela Ríos</t>
  </si>
  <si>
    <t>E0432</t>
  </si>
  <si>
    <t>Camila Ramírez</t>
  </si>
  <si>
    <t>E0433</t>
  </si>
  <si>
    <t>Patricia Rojas</t>
  </si>
  <si>
    <t>E0434</t>
  </si>
  <si>
    <t>Tomás Vargas</t>
  </si>
  <si>
    <t>E0435</t>
  </si>
  <si>
    <t>Andrés Mendoza</t>
  </si>
  <si>
    <t>E0436</t>
  </si>
  <si>
    <t>Andrés Soto</t>
  </si>
  <si>
    <t>E0437</t>
  </si>
  <si>
    <t>Valentina Reyes</t>
  </si>
  <si>
    <t>E0438</t>
  </si>
  <si>
    <t>Julián Morales</t>
  </si>
  <si>
    <t>E0439</t>
  </si>
  <si>
    <t>Camila Herrera</t>
  </si>
  <si>
    <t>E0440</t>
  </si>
  <si>
    <t>María Rojas</t>
  </si>
  <si>
    <t>E0441</t>
  </si>
  <si>
    <t>Pablo Ortega</t>
  </si>
  <si>
    <t>E0442</t>
  </si>
  <si>
    <t>Carolina Moya</t>
  </si>
  <si>
    <t>E0443</t>
  </si>
  <si>
    <t>Pablo Vargas</t>
  </si>
  <si>
    <t>E0444</t>
  </si>
  <si>
    <t>Gabriela Jiménez</t>
  </si>
  <si>
    <t>E0445</t>
  </si>
  <si>
    <t>Iván Flores</t>
  </si>
  <si>
    <t>E0446</t>
  </si>
  <si>
    <t>Felipe Ramírez</t>
  </si>
  <si>
    <t>E0447</t>
  </si>
  <si>
    <t>Tatiana Rojas</t>
  </si>
  <si>
    <t>E0448</t>
  </si>
  <si>
    <t>Miguel Flores</t>
  </si>
  <si>
    <t>E0449</t>
  </si>
  <si>
    <t>Tatiana Pinto</t>
  </si>
  <si>
    <t>E0450</t>
  </si>
  <si>
    <t>Julián Gómez</t>
  </si>
  <si>
    <t>E0451</t>
  </si>
  <si>
    <t>Daniela López</t>
  </si>
  <si>
    <t>E0452</t>
  </si>
  <si>
    <t>Gloria Luna</t>
  </si>
  <si>
    <t>E0453</t>
  </si>
  <si>
    <t>Sofía Morales</t>
  </si>
  <si>
    <t>E0454</t>
  </si>
  <si>
    <t>Rodrigo Pinto</t>
  </si>
  <si>
    <t>E0455</t>
  </si>
  <si>
    <t>María Reyes</t>
  </si>
  <si>
    <t>E0456</t>
  </si>
  <si>
    <t>Esteban Morales</t>
  </si>
  <si>
    <t>E0457</t>
  </si>
  <si>
    <t>Mauricio Ramírez</t>
  </si>
  <si>
    <t>E0458</t>
  </si>
  <si>
    <t>Ricardo Blanco</t>
  </si>
  <si>
    <t>E0459</t>
  </si>
  <si>
    <t>Natalia Medina</t>
  </si>
  <si>
    <t>E0460</t>
  </si>
  <si>
    <t>David Vargas</t>
  </si>
  <si>
    <t>E0461</t>
  </si>
  <si>
    <t>Hernán Ríos</t>
  </si>
  <si>
    <t>E0462</t>
  </si>
  <si>
    <t>Tomás Reyes</t>
  </si>
  <si>
    <t>E0463</t>
  </si>
  <si>
    <t>Rafael Ruiz</t>
  </si>
  <si>
    <t>E0464</t>
  </si>
  <si>
    <t>Diego Soto</t>
  </si>
  <si>
    <t>E0465</t>
  </si>
  <si>
    <t>Julián Vera</t>
  </si>
  <si>
    <t>E0466</t>
  </si>
  <si>
    <t>Ricardo López</t>
  </si>
  <si>
    <t>E0467</t>
  </si>
  <si>
    <t>Mauricio Suárez</t>
  </si>
  <si>
    <t>E0468</t>
  </si>
  <si>
    <t>Juliana Blanco</t>
  </si>
  <si>
    <t>E0469</t>
  </si>
  <si>
    <t>Natalia Reyes</t>
  </si>
  <si>
    <t>E0470</t>
  </si>
  <si>
    <t>Valentina Ríos</t>
  </si>
  <si>
    <t>E0471</t>
  </si>
  <si>
    <t>Sofía Ruiz</t>
  </si>
  <si>
    <t>E0472</t>
  </si>
  <si>
    <t>Hernán Herrera</t>
  </si>
  <si>
    <t>E0473</t>
  </si>
  <si>
    <t>Tomás Moya</t>
  </si>
  <si>
    <t>E0474</t>
  </si>
  <si>
    <t>Jorge Ramírez</t>
  </si>
  <si>
    <t>E0475</t>
  </si>
  <si>
    <t>Diego Reyes</t>
  </si>
  <si>
    <t>E0476</t>
  </si>
  <si>
    <t>Sofía Rojo</t>
  </si>
  <si>
    <t>E0477</t>
  </si>
  <si>
    <t>Camila Rojo</t>
  </si>
  <si>
    <t>E0478</t>
  </si>
  <si>
    <t>Jorge Moya</t>
  </si>
  <si>
    <t>E0479</t>
  </si>
  <si>
    <t>María Ruiz</t>
  </si>
  <si>
    <t>E0480</t>
  </si>
  <si>
    <t>Tatiana Guerrero</t>
  </si>
  <si>
    <t>E0481</t>
  </si>
  <si>
    <t>Mauricio Vera</t>
  </si>
  <si>
    <t>E0482</t>
  </si>
  <si>
    <t>Adriana Torres</t>
  </si>
  <si>
    <t>E0483</t>
  </si>
  <si>
    <t>Natalia Mendoza</t>
  </si>
  <si>
    <t>E0484</t>
  </si>
  <si>
    <t>Rodrigo Medina</t>
  </si>
  <si>
    <t>E0485</t>
  </si>
  <si>
    <t>Sergio Rojo</t>
  </si>
  <si>
    <t>E0486</t>
  </si>
  <si>
    <t>Esteban Flores</t>
  </si>
  <si>
    <t>E0487</t>
  </si>
  <si>
    <t>Felipe Pinto</t>
  </si>
  <si>
    <t>E0488</t>
  </si>
  <si>
    <t>Esteban Suárez</t>
  </si>
  <si>
    <t>E0489</t>
  </si>
  <si>
    <t>David Soto</t>
  </si>
  <si>
    <t>E0490</t>
  </si>
  <si>
    <t>David Suárez</t>
  </si>
  <si>
    <t>E0491</t>
  </si>
  <si>
    <t>Camila Medina</t>
  </si>
  <si>
    <t>E0492</t>
  </si>
  <si>
    <t>David Gómez</t>
  </si>
  <si>
    <t>E0493</t>
  </si>
  <si>
    <t>Miguel Ríos</t>
  </si>
  <si>
    <t>E0494</t>
  </si>
  <si>
    <t>Luis Muñoz</t>
  </si>
  <si>
    <t>E0495</t>
  </si>
  <si>
    <t>Pablo Medina</t>
  </si>
  <si>
    <t>E0496</t>
  </si>
  <si>
    <t>Alejandra Ramírez</t>
  </si>
  <si>
    <t>E0497</t>
  </si>
  <si>
    <t>Sergio Rojas</t>
  </si>
  <si>
    <t>E0498</t>
  </si>
  <si>
    <t>Luis Vargas</t>
  </si>
  <si>
    <t>E0499</t>
  </si>
  <si>
    <t>Luis Rojo</t>
  </si>
  <si>
    <t>E0500</t>
  </si>
  <si>
    <t>David Muñoz</t>
  </si>
  <si>
    <t>E0501</t>
  </si>
  <si>
    <t>Carlos Blanco</t>
  </si>
  <si>
    <t>E0502</t>
  </si>
  <si>
    <t>Diego Moya</t>
  </si>
  <si>
    <t>E0503</t>
  </si>
  <si>
    <t>Isabella Muñoz</t>
  </si>
  <si>
    <t>E0504</t>
  </si>
  <si>
    <t>Ricardo Gómez</t>
  </si>
  <si>
    <t>E0505</t>
  </si>
  <si>
    <t>Ana Jiménez</t>
  </si>
  <si>
    <t>E0506</t>
  </si>
  <si>
    <t>Patricia Medina</t>
  </si>
  <si>
    <t>E0507</t>
  </si>
  <si>
    <t>Laura Pérez</t>
  </si>
  <si>
    <t>E0508</t>
  </si>
  <si>
    <t>Adriana Navarro</t>
  </si>
  <si>
    <t>E0509</t>
  </si>
  <si>
    <t>Valentina Muñoz</t>
  </si>
  <si>
    <t>E0510</t>
  </si>
  <si>
    <t>Juliana Ortega</t>
  </si>
  <si>
    <t>E0511</t>
  </si>
  <si>
    <t>Adriana López</t>
  </si>
  <si>
    <t>E0512</t>
  </si>
  <si>
    <t>Ana Muñoz</t>
  </si>
  <si>
    <t>E0513</t>
  </si>
  <si>
    <t>Carolina Ramírez</t>
  </si>
  <si>
    <t>E0514</t>
  </si>
  <si>
    <t>Alejandra Castro</t>
  </si>
  <si>
    <t>E0515</t>
  </si>
  <si>
    <t>Miguel Pérez</t>
  </si>
  <si>
    <t>E0516</t>
  </si>
  <si>
    <t>Juliana Vargas</t>
  </si>
  <si>
    <t>E0517</t>
  </si>
  <si>
    <t>Tatiana Soto</t>
  </si>
  <si>
    <t>E0518</t>
  </si>
  <si>
    <t>Marcela Ortega</t>
  </si>
  <si>
    <t>E0519</t>
  </si>
  <si>
    <t>Carlos Guerrero</t>
  </si>
  <si>
    <t>E0520</t>
  </si>
  <si>
    <t>Patricia Herrera</t>
  </si>
  <si>
    <t>E0521</t>
  </si>
  <si>
    <t>Sandra Ramírez</t>
  </si>
  <si>
    <t>E0522</t>
  </si>
  <si>
    <t>Carolina Navarro</t>
  </si>
  <si>
    <t>E0523</t>
  </si>
  <si>
    <t>Daniela Blanco</t>
  </si>
  <si>
    <t>E0524</t>
  </si>
  <si>
    <t>Esteban Rojo</t>
  </si>
  <si>
    <t>E0525</t>
  </si>
  <si>
    <t>Rafael Reyes</t>
  </si>
  <si>
    <t>E0526</t>
  </si>
  <si>
    <t>Ricardo Castro</t>
  </si>
  <si>
    <t>E0527</t>
  </si>
  <si>
    <t>Andrés Ríos</t>
  </si>
  <si>
    <t>E0528</t>
  </si>
  <si>
    <t>Iván Jiménez</t>
  </si>
  <si>
    <t>E0529</t>
  </si>
  <si>
    <t>Sergio Jiménez</t>
  </si>
  <si>
    <t>E0530</t>
  </si>
  <si>
    <t>Diego Mendoza</t>
  </si>
  <si>
    <t>E0531</t>
  </si>
  <si>
    <t>Natalia Moya</t>
  </si>
  <si>
    <t>E0532</t>
  </si>
  <si>
    <t>Alejandra Herrera</t>
  </si>
  <si>
    <t>E0533</t>
  </si>
  <si>
    <t>Julián Reyes</t>
  </si>
  <si>
    <t>E0534</t>
  </si>
  <si>
    <t>Sofía López</t>
  </si>
  <si>
    <t>E0535</t>
  </si>
  <si>
    <t>Rodrigo Vargas</t>
  </si>
  <si>
    <t>E0536</t>
  </si>
  <si>
    <t>Sofía Castro</t>
  </si>
  <si>
    <t>E0537</t>
  </si>
  <si>
    <t>Carlos Navarro</t>
  </si>
  <si>
    <t>E0538</t>
  </si>
  <si>
    <t>Paola Rojo</t>
  </si>
  <si>
    <t>E0539</t>
  </si>
  <si>
    <t>Valentina Pérez</t>
  </si>
  <si>
    <t>E0540</t>
  </si>
  <si>
    <t>Laura Soto</t>
  </si>
  <si>
    <t>E0541</t>
  </si>
  <si>
    <t>Jorge Ruiz</t>
  </si>
  <si>
    <t>E0542</t>
  </si>
  <si>
    <t>Isabella Medina</t>
  </si>
  <si>
    <t>E0543</t>
  </si>
  <si>
    <t>Luis Pinto</t>
  </si>
  <si>
    <t>E0544</t>
  </si>
  <si>
    <t>Jorge Blanco</t>
  </si>
  <si>
    <t>E0545</t>
  </si>
  <si>
    <t>Miguel Muñoz</t>
  </si>
  <si>
    <t>E0546</t>
  </si>
  <si>
    <t>Adriana Moya</t>
  </si>
  <si>
    <t>E0547</t>
  </si>
  <si>
    <t>Rafael Soto</t>
  </si>
  <si>
    <t>E0548</t>
  </si>
  <si>
    <t>Daniela Luna</t>
  </si>
  <si>
    <t>E0549</t>
  </si>
  <si>
    <t>Iván Suárez</t>
  </si>
  <si>
    <t>E0550</t>
  </si>
  <si>
    <t>Pablo Rojo</t>
  </si>
  <si>
    <t>E0551</t>
  </si>
  <si>
    <t>Gabriela Flores</t>
  </si>
  <si>
    <t>E0552</t>
  </si>
  <si>
    <t>Sandra Navarro</t>
  </si>
  <si>
    <t>E0553</t>
  </si>
  <si>
    <t>Gabriela Castro</t>
  </si>
  <si>
    <t>E0554</t>
  </si>
  <si>
    <t>Jorge Cruz</t>
  </si>
  <si>
    <t>E0555</t>
  </si>
  <si>
    <t>Mauricio Reyes</t>
  </si>
  <si>
    <t>E0556</t>
  </si>
  <si>
    <t>Adriana Reyes</t>
  </si>
  <si>
    <t>E0557</t>
  </si>
  <si>
    <t>Isabella Castro</t>
  </si>
  <si>
    <t>E0558</t>
  </si>
  <si>
    <t>Marcela Rojas</t>
  </si>
  <si>
    <t>E0559</t>
  </si>
  <si>
    <t>Gloria Reyes</t>
  </si>
  <si>
    <t>E0560</t>
  </si>
  <si>
    <t>Luis Luna</t>
  </si>
  <si>
    <t>E0561</t>
  </si>
  <si>
    <t>Adriana Flores</t>
  </si>
  <si>
    <t>E0562</t>
  </si>
  <si>
    <t>Valentina Soto</t>
  </si>
  <si>
    <t>E0563</t>
  </si>
  <si>
    <t>Patricia Vera</t>
  </si>
  <si>
    <t>E0564</t>
  </si>
  <si>
    <t>Andrés Herrera</t>
  </si>
  <si>
    <t>E0565</t>
  </si>
  <si>
    <t>Rodrigo Cruz</t>
  </si>
  <si>
    <t>E0566</t>
  </si>
  <si>
    <t>Marcela Muñoz</t>
  </si>
  <si>
    <t>E0567</t>
  </si>
  <si>
    <t>Ana Herrera</t>
  </si>
  <si>
    <t>E0568</t>
  </si>
  <si>
    <t>Luis Ortega</t>
  </si>
  <si>
    <t>E0569</t>
  </si>
  <si>
    <t>Sofía Gómez</t>
  </si>
  <si>
    <t>E0570</t>
  </si>
  <si>
    <t>Andrés Blanco</t>
  </si>
  <si>
    <t>E0571</t>
  </si>
  <si>
    <t>Esteban Luna</t>
  </si>
  <si>
    <t>E0572</t>
  </si>
  <si>
    <t>Daniela Rojas</t>
  </si>
  <si>
    <t>E0573</t>
  </si>
  <si>
    <t>Sandra Pérez</t>
  </si>
  <si>
    <t>E0574</t>
  </si>
  <si>
    <t>Pablo Jiménez</t>
  </si>
  <si>
    <t>E0575</t>
  </si>
  <si>
    <t>Iván Moya</t>
  </si>
  <si>
    <t>E0576</t>
  </si>
  <si>
    <t>Gloria Medina</t>
  </si>
  <si>
    <t>E0577</t>
  </si>
  <si>
    <t>María Flores</t>
  </si>
  <si>
    <t>E0578</t>
  </si>
  <si>
    <t>Felipe Suárez</t>
  </si>
  <si>
    <t>E0579</t>
  </si>
  <si>
    <t>Sofía Torres</t>
  </si>
  <si>
    <t>E0580</t>
  </si>
  <si>
    <t>David Navarro</t>
  </si>
  <si>
    <t>E0581</t>
  </si>
  <si>
    <t>Pablo Moya</t>
  </si>
  <si>
    <t>E0582</t>
  </si>
  <si>
    <t>Hernán Suárez</t>
  </si>
  <si>
    <t>E0583</t>
  </si>
  <si>
    <t>Natalia Blanco</t>
  </si>
  <si>
    <t>E0584</t>
  </si>
  <si>
    <t>Julián Suárez</t>
  </si>
  <si>
    <t>E0585</t>
  </si>
  <si>
    <t>Rodrigo Castro</t>
  </si>
  <si>
    <t>E0586</t>
  </si>
  <si>
    <t>Marcela Rojo</t>
  </si>
  <si>
    <t>E0587</t>
  </si>
  <si>
    <t>Natalia Suárez</t>
  </si>
  <si>
    <t>E0588</t>
  </si>
  <si>
    <t>María López</t>
  </si>
  <si>
    <t>E0589</t>
  </si>
  <si>
    <t>Hernán Ramírez</t>
  </si>
  <si>
    <t>E0590</t>
  </si>
  <si>
    <t>Tomás Suárez</t>
  </si>
  <si>
    <t>E0591</t>
  </si>
  <si>
    <t>Isabella Mendoza</t>
  </si>
  <si>
    <t>E0592</t>
  </si>
  <si>
    <t>Hernán Castro</t>
  </si>
  <si>
    <t>E0593</t>
  </si>
  <si>
    <t>Carolina Luna</t>
  </si>
  <si>
    <t>E0594</t>
  </si>
  <si>
    <t>Miguel Rojo</t>
  </si>
  <si>
    <t>E0595</t>
  </si>
  <si>
    <t>Carolina Ruiz</t>
  </si>
  <si>
    <t>E0596</t>
  </si>
  <si>
    <t>Rodrigo Ortega</t>
  </si>
  <si>
    <t>E0597</t>
  </si>
  <si>
    <t>Camila Gómez</t>
  </si>
  <si>
    <t>E0598</t>
  </si>
  <si>
    <t>Miguel Ortega</t>
  </si>
  <si>
    <t>E0599</t>
  </si>
  <si>
    <t>Natalia Cruz</t>
  </si>
  <si>
    <t>E0600</t>
  </si>
  <si>
    <t>Jorge Herrera</t>
  </si>
  <si>
    <t>E0601</t>
  </si>
  <si>
    <t>Alejandra Guerrero</t>
  </si>
  <si>
    <t>E0602</t>
  </si>
  <si>
    <t>Felipe Medina</t>
  </si>
  <si>
    <t>E0603</t>
  </si>
  <si>
    <t>Valentina Ruiz</t>
  </si>
  <si>
    <t>E0604</t>
  </si>
  <si>
    <t>Sergio Cruz</t>
  </si>
  <si>
    <t>E0605</t>
  </si>
  <si>
    <t>Ricardo Navarro</t>
  </si>
  <si>
    <t>E0606</t>
  </si>
  <si>
    <t>Camila Mendoza</t>
  </si>
  <si>
    <t>E0607</t>
  </si>
  <si>
    <t>Iván Ruiz</t>
  </si>
  <si>
    <t>E0608</t>
  </si>
  <si>
    <t>Marcela Morales</t>
  </si>
  <si>
    <t>E0609</t>
  </si>
  <si>
    <t>Sebastián Guerrero</t>
  </si>
  <si>
    <t>E0610</t>
  </si>
  <si>
    <t>Andrés Pinto</t>
  </si>
  <si>
    <t>E0611</t>
  </si>
  <si>
    <t>Isabella Blanco</t>
  </si>
  <si>
    <t>E0612</t>
  </si>
  <si>
    <t>Pablo Torres</t>
  </si>
  <si>
    <t>E0613</t>
  </si>
  <si>
    <t>Luis Torres</t>
  </si>
  <si>
    <t>E0614</t>
  </si>
  <si>
    <t>Adriana Cruz</t>
  </si>
  <si>
    <t>E0615</t>
  </si>
  <si>
    <t>Julián Herrera</t>
  </si>
  <si>
    <t>E0616</t>
  </si>
  <si>
    <t>Gloria Flores</t>
  </si>
  <si>
    <t>E0617</t>
  </si>
  <si>
    <t>Valentina Rojas</t>
  </si>
  <si>
    <t>E0618</t>
  </si>
  <si>
    <t>Camila Reyes</t>
  </si>
  <si>
    <t>E0619</t>
  </si>
  <si>
    <t>Natalia Vera</t>
  </si>
  <si>
    <t>E0620</t>
  </si>
  <si>
    <t>Esteban Pinto</t>
  </si>
  <si>
    <t>E0621</t>
  </si>
  <si>
    <t>Miguel Vargas</t>
  </si>
  <si>
    <t>E0622</t>
  </si>
  <si>
    <t>Tomás Pinto</t>
  </si>
  <si>
    <t>E0623</t>
  </si>
  <si>
    <t>Sofía Blanco</t>
  </si>
  <si>
    <t>E0624</t>
  </si>
  <si>
    <t>Andrés López</t>
  </si>
  <si>
    <t>E0625</t>
  </si>
  <si>
    <t>Carlos Soto</t>
  </si>
  <si>
    <t>E0626</t>
  </si>
  <si>
    <t>David Medina</t>
  </si>
  <si>
    <t>E0627</t>
  </si>
  <si>
    <t>Sergio Guerrero</t>
  </si>
  <si>
    <t>E0628</t>
  </si>
  <si>
    <t>Camila Moya</t>
  </si>
  <si>
    <t>E0629</t>
  </si>
  <si>
    <t>Felipe Castro</t>
  </si>
  <si>
    <t>E0630</t>
  </si>
  <si>
    <t>Mauricio Muñoz</t>
  </si>
  <si>
    <t>E0631</t>
  </si>
  <si>
    <t>Rodrigo Ramírez</t>
  </si>
  <si>
    <t>E0632</t>
  </si>
  <si>
    <t>Camila Jiménez</t>
  </si>
  <si>
    <t>E0633</t>
  </si>
  <si>
    <t>Natalia Pérez</t>
  </si>
  <si>
    <t>E0634</t>
  </si>
  <si>
    <t>Tatiana Navarro</t>
  </si>
  <si>
    <t>E0635</t>
  </si>
  <si>
    <t>Paola Rojas</t>
  </si>
  <si>
    <t>E0636</t>
  </si>
  <si>
    <t>Sebastián Navarro</t>
  </si>
  <si>
    <t>E0637</t>
  </si>
  <si>
    <t>Valentina Herrera</t>
  </si>
  <si>
    <t>E0638</t>
  </si>
  <si>
    <t>Paola Ruiz</t>
  </si>
  <si>
    <t>E0639</t>
  </si>
  <si>
    <t>Rafael Castro</t>
  </si>
  <si>
    <t>E0640</t>
  </si>
  <si>
    <t>Julián López</t>
  </si>
  <si>
    <t>E0641</t>
  </si>
  <si>
    <t>Sofía Medina</t>
  </si>
  <si>
    <t>E0642</t>
  </si>
  <si>
    <t>Tomás Castro</t>
  </si>
  <si>
    <t>E0643</t>
  </si>
  <si>
    <t>Ricardo Soto</t>
  </si>
  <si>
    <t>E0644</t>
  </si>
  <si>
    <t>Luis Ríos</t>
  </si>
  <si>
    <t>E0645</t>
  </si>
  <si>
    <t>Laura Muñoz</t>
  </si>
  <si>
    <t>E0646</t>
  </si>
  <si>
    <t>Juliana Moya</t>
  </si>
  <si>
    <t>E0647</t>
  </si>
  <si>
    <t>Daniela Moya</t>
  </si>
  <si>
    <t>E0648</t>
  </si>
  <si>
    <t>David López</t>
  </si>
  <si>
    <t>E0649</t>
  </si>
  <si>
    <t>Paola Guerrero</t>
  </si>
  <si>
    <t>E0650</t>
  </si>
  <si>
    <t>Hernán Jiménez</t>
  </si>
  <si>
    <t>E0651</t>
  </si>
  <si>
    <t>Laura Flores</t>
  </si>
  <si>
    <t>E0652</t>
  </si>
  <si>
    <t>Camila Pinto</t>
  </si>
  <si>
    <t>E0653</t>
  </si>
  <si>
    <t>Ana Vargas</t>
  </si>
  <si>
    <t>E0654</t>
  </si>
  <si>
    <t>Gloria Vargas</t>
  </si>
  <si>
    <t>E0655</t>
  </si>
  <si>
    <t>Laura Reyes</t>
  </si>
  <si>
    <t>E0656</t>
  </si>
  <si>
    <t>Sofía Reyes</t>
  </si>
  <si>
    <t>E0657</t>
  </si>
  <si>
    <t>Tatiana Vera</t>
  </si>
  <si>
    <t>E0658</t>
  </si>
  <si>
    <t>Carolina Vargas</t>
  </si>
  <si>
    <t>E0659</t>
  </si>
  <si>
    <t>Julián Ramírez</t>
  </si>
  <si>
    <t>E0660</t>
  </si>
  <si>
    <t>Rafael Blanco</t>
  </si>
  <si>
    <t>E0661</t>
  </si>
  <si>
    <t>Ana Ruiz</t>
  </si>
  <si>
    <t>E0662</t>
  </si>
  <si>
    <t>Carolina Torres</t>
  </si>
  <si>
    <t>E0663</t>
  </si>
  <si>
    <t>Miguel Vera</t>
  </si>
  <si>
    <t>E0664</t>
  </si>
  <si>
    <t>Rafael Torres</t>
  </si>
  <si>
    <t>E0665</t>
  </si>
  <si>
    <t>Laura Jiménez</t>
  </si>
  <si>
    <t>E0666</t>
  </si>
  <si>
    <t>Mauricio Ortega</t>
  </si>
  <si>
    <t>E0667</t>
  </si>
  <si>
    <t>María Medina</t>
  </si>
  <si>
    <t>E0668</t>
  </si>
  <si>
    <t>Carlos Ríos</t>
  </si>
  <si>
    <t>E0669</t>
  </si>
  <si>
    <t>Laura Cruz</t>
  </si>
  <si>
    <t>E0670</t>
  </si>
  <si>
    <t>Tatiana Medina</t>
  </si>
  <si>
    <t>E0671</t>
  </si>
  <si>
    <t>Gloria Moya</t>
  </si>
  <si>
    <t>E0672</t>
  </si>
  <si>
    <t>Luis López</t>
  </si>
  <si>
    <t>E0673</t>
  </si>
  <si>
    <t>Gloria Vera</t>
  </si>
  <si>
    <t>E0674</t>
  </si>
  <si>
    <t>Carolina Vera</t>
  </si>
  <si>
    <t>E0675</t>
  </si>
  <si>
    <t>Juliana Morales</t>
  </si>
  <si>
    <t>E0676</t>
  </si>
  <si>
    <t>Camila Ruiz</t>
  </si>
  <si>
    <t>E0677</t>
  </si>
  <si>
    <t>Hernán Vargas</t>
  </si>
  <si>
    <t>E0678</t>
  </si>
  <si>
    <t>Mauricio Luna</t>
  </si>
  <si>
    <t>E0679</t>
  </si>
  <si>
    <t>Rodrigo Herrera</t>
  </si>
  <si>
    <t>E0680</t>
  </si>
  <si>
    <t>Mauricio Rojas</t>
  </si>
  <si>
    <t>E0681</t>
  </si>
  <si>
    <t>Rodrigo Mendoza</t>
  </si>
  <si>
    <t>E0682</t>
  </si>
  <si>
    <t>Miguel Herrera</t>
  </si>
  <si>
    <t>E0683</t>
  </si>
  <si>
    <t>Sebastián Morales</t>
  </si>
  <si>
    <t>E0684</t>
  </si>
  <si>
    <t>Jorge Mendoza</t>
  </si>
  <si>
    <t>E0685</t>
  </si>
  <si>
    <t>Sandra Vargas</t>
  </si>
  <si>
    <t>E0686</t>
  </si>
  <si>
    <t>Felipe Vargas</t>
  </si>
  <si>
    <t>E0687</t>
  </si>
  <si>
    <t>Diego Pérez</t>
  </si>
  <si>
    <t>E0688</t>
  </si>
  <si>
    <t>Miguel Gómez</t>
  </si>
  <si>
    <t>E0689</t>
  </si>
  <si>
    <t>Sergio Ríos</t>
  </si>
  <si>
    <t>E0690</t>
  </si>
  <si>
    <t>Juliana Rojas</t>
  </si>
  <si>
    <t>E0691</t>
  </si>
  <si>
    <t>Ricardo Reyes</t>
  </si>
  <si>
    <t>E0692</t>
  </si>
  <si>
    <t>Pablo Navarro</t>
  </si>
  <si>
    <t>E0693</t>
  </si>
  <si>
    <t>Adriana Herrera</t>
  </si>
  <si>
    <t>E0694</t>
  </si>
  <si>
    <t>Gabriela Pinto</t>
  </si>
  <si>
    <t>E0695</t>
  </si>
  <si>
    <t>Gloria López</t>
  </si>
  <si>
    <t>E0696</t>
  </si>
  <si>
    <t>Sandra Reyes</t>
  </si>
  <si>
    <t>E0697</t>
  </si>
  <si>
    <t>Esteban Guerrero</t>
  </si>
  <si>
    <t>E0698</t>
  </si>
  <si>
    <t>Pablo Ramírez</t>
  </si>
  <si>
    <t>E0699</t>
  </si>
  <si>
    <t>Juliana Luna</t>
  </si>
  <si>
    <t>E0700</t>
  </si>
  <si>
    <t>Isabella Torres</t>
  </si>
  <si>
    <t>E0701</t>
  </si>
  <si>
    <t>Alejandra Cruz</t>
  </si>
  <si>
    <t>E0702</t>
  </si>
  <si>
    <t>Ricardo Flores</t>
  </si>
  <si>
    <t>E0703</t>
  </si>
  <si>
    <t>Valentina Gómez</t>
  </si>
  <si>
    <t>E0704</t>
  </si>
  <si>
    <t>David Castro</t>
  </si>
  <si>
    <t>E0705</t>
  </si>
  <si>
    <t>Laura Ruiz</t>
  </si>
  <si>
    <t>E0706</t>
  </si>
  <si>
    <t>Patricia Cruz</t>
  </si>
  <si>
    <t>E0707</t>
  </si>
  <si>
    <t>Alejandra Vera</t>
  </si>
  <si>
    <t>E0708</t>
  </si>
  <si>
    <t>Juliana Cruz</t>
  </si>
  <si>
    <t>E0709</t>
  </si>
  <si>
    <t>Sandra Jiménez</t>
  </si>
  <si>
    <t>E0710</t>
  </si>
  <si>
    <t>Sandra Cruz</t>
  </si>
  <si>
    <t>E0711</t>
  </si>
  <si>
    <t>Isabella Herrera</t>
  </si>
  <si>
    <t>E0712</t>
  </si>
  <si>
    <t>Alejandra Jiménez</t>
  </si>
  <si>
    <t>E0713</t>
  </si>
  <si>
    <t>Hernán Soto</t>
  </si>
  <si>
    <t>E0714</t>
  </si>
  <si>
    <t>María Guerrero</t>
  </si>
  <si>
    <t>E0715</t>
  </si>
  <si>
    <t>Ana Rojo</t>
  </si>
  <si>
    <t>E0716</t>
  </si>
  <si>
    <t>Ana Ríos</t>
  </si>
  <si>
    <t>E0717</t>
  </si>
  <si>
    <t>David Rojas</t>
  </si>
  <si>
    <t>E0718</t>
  </si>
  <si>
    <t>Paola Suárez</t>
  </si>
  <si>
    <t>E0719</t>
  </si>
  <si>
    <t>Laura Medina</t>
  </si>
  <si>
    <t>E0720</t>
  </si>
  <si>
    <t>Ricardo Muñoz</t>
  </si>
  <si>
    <t>E0721</t>
  </si>
  <si>
    <t>Sandra Gómez</t>
  </si>
  <si>
    <t>E0722</t>
  </si>
  <si>
    <t>Camila Guerrero</t>
  </si>
  <si>
    <t>E0723</t>
  </si>
  <si>
    <t>Ricardo Vargas</t>
  </si>
  <si>
    <t>E0724</t>
  </si>
  <si>
    <t>Jorge Muñoz</t>
  </si>
  <si>
    <t>E0725</t>
  </si>
  <si>
    <t>Marcela Navarro</t>
  </si>
  <si>
    <t>E0726</t>
  </si>
  <si>
    <t>Ricardo Pérez</t>
  </si>
  <si>
    <t>E0727</t>
  </si>
  <si>
    <t>Daniela Jiménez</t>
  </si>
  <si>
    <t>E0728</t>
  </si>
  <si>
    <t>Laura Vargas</t>
  </si>
  <si>
    <t>E0729</t>
  </si>
  <si>
    <t>Valentina Rojo</t>
  </si>
  <si>
    <t>E0730</t>
  </si>
  <si>
    <t>Carolina Cruz</t>
  </si>
  <si>
    <t>E0731</t>
  </si>
  <si>
    <t>Andrés Suárez</t>
  </si>
  <si>
    <t>E0732</t>
  </si>
  <si>
    <t>Sofía Ortega</t>
  </si>
  <si>
    <t>E0733</t>
  </si>
  <si>
    <t>Paola Ramírez</t>
  </si>
  <si>
    <t>E0734</t>
  </si>
  <si>
    <t>Tomás Rojas</t>
  </si>
  <si>
    <t>E0735</t>
  </si>
  <si>
    <t>Sebastián López</t>
  </si>
  <si>
    <t>E0736</t>
  </si>
  <si>
    <t>Paola Jiménez</t>
  </si>
  <si>
    <t>E0737</t>
  </si>
  <si>
    <t>Camila Cruz</t>
  </si>
  <si>
    <t>E0738</t>
  </si>
  <si>
    <t>Adriana Guerrero</t>
  </si>
  <si>
    <t>E0739</t>
  </si>
  <si>
    <t>Adriana Pérez</t>
  </si>
  <si>
    <t>E0740</t>
  </si>
  <si>
    <t>Marcela Castro</t>
  </si>
  <si>
    <t>E0741</t>
  </si>
  <si>
    <t>Ana Pinto</t>
  </si>
  <si>
    <t>E0742</t>
  </si>
  <si>
    <t>Iván Ríos</t>
  </si>
  <si>
    <t>E0743</t>
  </si>
  <si>
    <t>Tomás Medina</t>
  </si>
  <si>
    <t>E0744</t>
  </si>
  <si>
    <t>Sergio Torres</t>
  </si>
  <si>
    <t>E0745</t>
  </si>
  <si>
    <t>Andrés Jiménez</t>
  </si>
  <si>
    <t>E0746</t>
  </si>
  <si>
    <t>Gabriela Soto</t>
  </si>
  <si>
    <t>E0747</t>
  </si>
  <si>
    <t>Andrés Guerrero</t>
  </si>
  <si>
    <t>E0748</t>
  </si>
  <si>
    <t>Sandra Muñoz</t>
  </si>
  <si>
    <t>E0749</t>
  </si>
  <si>
    <t>Sebastián Cruz</t>
  </si>
  <si>
    <t>E0750</t>
  </si>
  <si>
    <t>Valentina Luna</t>
  </si>
  <si>
    <t>E0751</t>
  </si>
  <si>
    <t>Alejandra Suárez</t>
  </si>
  <si>
    <t>E0752</t>
  </si>
  <si>
    <t>Carolina Rojo</t>
  </si>
  <si>
    <t>E0753</t>
  </si>
  <si>
    <t>Adriana Mendoza</t>
  </si>
  <si>
    <t>E0754</t>
  </si>
  <si>
    <t>Iván Mendoza</t>
  </si>
  <si>
    <t>E0755</t>
  </si>
  <si>
    <t>Juliana Flores</t>
  </si>
  <si>
    <t>E0756</t>
  </si>
  <si>
    <t>Sofía Soto</t>
  </si>
  <si>
    <t>E0757</t>
  </si>
  <si>
    <t>Luis Morales</t>
  </si>
  <si>
    <t>E0758</t>
  </si>
  <si>
    <t>Tatiana Ruiz</t>
  </si>
  <si>
    <t>E0759</t>
  </si>
  <si>
    <t>Daniela Torres</t>
  </si>
  <si>
    <t>E0760</t>
  </si>
  <si>
    <t>Julián Guerrero</t>
  </si>
  <si>
    <t>E0761</t>
  </si>
  <si>
    <t>Rafael Mendoza</t>
  </si>
  <si>
    <t>E0762</t>
  </si>
  <si>
    <t>Ricardo Vera</t>
  </si>
  <si>
    <t>E0763</t>
  </si>
  <si>
    <t>Andrés Torres</t>
  </si>
  <si>
    <t>E0764</t>
  </si>
  <si>
    <t>Tomás Ortega</t>
  </si>
  <si>
    <t>E0765</t>
  </si>
  <si>
    <t>Sergio Vargas</t>
  </si>
  <si>
    <t>E0766</t>
  </si>
  <si>
    <t>Sergio Flores</t>
  </si>
  <si>
    <t>E0767</t>
  </si>
  <si>
    <t>Miguel Luna</t>
  </si>
  <si>
    <t>E0768</t>
  </si>
  <si>
    <t>Ana López</t>
  </si>
  <si>
    <t>E0769</t>
  </si>
  <si>
    <t>Marcela Torres</t>
  </si>
  <si>
    <t>E0770</t>
  </si>
  <si>
    <t>Sebastián Rojas</t>
  </si>
  <si>
    <t>E0771</t>
  </si>
  <si>
    <t>Sergio Gómez</t>
  </si>
  <si>
    <t>E0772</t>
  </si>
  <si>
    <t>Sandra Rojo</t>
  </si>
  <si>
    <t>E0773</t>
  </si>
  <si>
    <t>Luis Mendoza</t>
  </si>
  <si>
    <t>E0774</t>
  </si>
  <si>
    <t>Sergio Blanco</t>
  </si>
  <si>
    <t>E0775</t>
  </si>
  <si>
    <t>Carolina López</t>
  </si>
  <si>
    <t>E0776</t>
  </si>
  <si>
    <t>Natalia Navarro</t>
  </si>
  <si>
    <t>E0777</t>
  </si>
  <si>
    <t>Tatiana Torres</t>
  </si>
  <si>
    <t>E0778</t>
  </si>
  <si>
    <t>Tatiana López</t>
  </si>
  <si>
    <t>E0779</t>
  </si>
  <si>
    <t>Julián Flores</t>
  </si>
  <si>
    <t>E0780</t>
  </si>
  <si>
    <t>Sandra Suárez</t>
  </si>
  <si>
    <t>E0781</t>
  </si>
  <si>
    <t>Diego Torres</t>
  </si>
  <si>
    <t>E0782</t>
  </si>
  <si>
    <t>David Torres</t>
  </si>
  <si>
    <t>E0783</t>
  </si>
  <si>
    <t>Sergio Herrera</t>
  </si>
  <si>
    <t>E0784</t>
  </si>
  <si>
    <t>Esteban Castro</t>
  </si>
  <si>
    <t>E0785</t>
  </si>
  <si>
    <t>Juliana Muñoz</t>
  </si>
  <si>
    <t>E0786</t>
  </si>
  <si>
    <t>Tatiana Reyes</t>
  </si>
  <si>
    <t>E0787</t>
  </si>
  <si>
    <t>Sandra Guerrero</t>
  </si>
  <si>
    <t>E0788</t>
  </si>
  <si>
    <t>Rodrigo Moya</t>
  </si>
  <si>
    <t>E0789</t>
  </si>
  <si>
    <t>Andrés Medina</t>
  </si>
  <si>
    <t>E0790</t>
  </si>
  <si>
    <t>Ricardo Cruz</t>
  </si>
  <si>
    <t>E0791</t>
  </si>
  <si>
    <t>Adriana Jiménez</t>
  </si>
  <si>
    <t>E0792</t>
  </si>
  <si>
    <t>Ricardo Ortega</t>
  </si>
  <si>
    <t>E0793</t>
  </si>
  <si>
    <t>David Vera</t>
  </si>
  <si>
    <t>E0794</t>
  </si>
  <si>
    <t>Mauricio Gómez</t>
  </si>
  <si>
    <t>E0795</t>
  </si>
  <si>
    <t>Miguel Reyes</t>
  </si>
  <si>
    <t>E0796</t>
  </si>
  <si>
    <t>Isabella Luna</t>
  </si>
  <si>
    <t>E0797</t>
  </si>
  <si>
    <t>Patricia Pinto</t>
  </si>
  <si>
    <t>E0798</t>
  </si>
  <si>
    <t>Tatiana Morales</t>
  </si>
  <si>
    <t>E0799</t>
  </si>
  <si>
    <t>María Soto</t>
  </si>
  <si>
    <t>E0800</t>
  </si>
  <si>
    <t>Adriana Vargas</t>
  </si>
  <si>
    <t>E0801</t>
  </si>
  <si>
    <t>Iván Luna</t>
  </si>
  <si>
    <t>E0802</t>
  </si>
  <si>
    <t>Rafael Rojo</t>
  </si>
  <si>
    <t>E0803</t>
  </si>
  <si>
    <t>Jorge Luna</t>
  </si>
  <si>
    <t>E0804</t>
  </si>
  <si>
    <t>Mauricio López</t>
  </si>
  <si>
    <t>E0805</t>
  </si>
  <si>
    <t>Carolina Rojas</t>
  </si>
  <si>
    <t>E0806</t>
  </si>
  <si>
    <t>Daniela Medina</t>
  </si>
  <si>
    <t>E0807</t>
  </si>
  <si>
    <t>Sofía Cruz</t>
  </si>
  <si>
    <t>E0808</t>
  </si>
  <si>
    <t>Pablo Suárez</t>
  </si>
  <si>
    <t>E0809</t>
  </si>
  <si>
    <t>Esteban Navarro</t>
  </si>
  <si>
    <t>E0810</t>
  </si>
  <si>
    <t>Luis Vera</t>
  </si>
  <si>
    <t>E0811</t>
  </si>
  <si>
    <t>Valentina Vera</t>
  </si>
  <si>
    <t>E0812</t>
  </si>
  <si>
    <t>Camila Soto</t>
  </si>
  <si>
    <t>E0813</t>
  </si>
  <si>
    <t>Ana Navarro</t>
  </si>
  <si>
    <t>E0814</t>
  </si>
  <si>
    <t>Sofía Navarro</t>
  </si>
  <si>
    <t>E0815</t>
  </si>
  <si>
    <t>Gloria Mendoza</t>
  </si>
  <si>
    <t>E0816</t>
  </si>
  <si>
    <t>Patricia Mendoza</t>
  </si>
  <si>
    <t>E0817</t>
  </si>
  <si>
    <t>Miguel Ramírez</t>
  </si>
  <si>
    <t>E0818</t>
  </si>
  <si>
    <t>Pablo Reyes</t>
  </si>
  <si>
    <t>E0819</t>
  </si>
  <si>
    <t>Rodrigo Guerrero</t>
  </si>
  <si>
    <t>E0820</t>
  </si>
  <si>
    <t>Isabella Soto</t>
  </si>
  <si>
    <t>E0821</t>
  </si>
  <si>
    <t>Mauricio Mendoza</t>
  </si>
  <si>
    <t>E0822</t>
  </si>
  <si>
    <t>Ricardo Ríos</t>
  </si>
  <si>
    <t>E0823</t>
  </si>
  <si>
    <t>Alejandra Pinto</t>
  </si>
  <si>
    <t>E0824</t>
  </si>
  <si>
    <t>Marcela Blanco</t>
  </si>
  <si>
    <t>E0825</t>
  </si>
  <si>
    <t>Felipe Soto</t>
  </si>
  <si>
    <t>E0826</t>
  </si>
  <si>
    <t>Daniela Cruz</t>
  </si>
  <si>
    <t>E0827</t>
  </si>
  <si>
    <t>Gabriela Ramírez</t>
  </si>
  <si>
    <t>E0828</t>
  </si>
  <si>
    <t>Sofía Vera</t>
  </si>
  <si>
    <t>E0829</t>
  </si>
  <si>
    <t>Laura Luna</t>
  </si>
  <si>
    <t>E0830</t>
  </si>
  <si>
    <t>Daniela Ruiz</t>
  </si>
  <si>
    <t>E0831</t>
  </si>
  <si>
    <t>Esteban Mendoza</t>
  </si>
  <si>
    <t>E0832</t>
  </si>
  <si>
    <t>Tomás Navarro</t>
  </si>
  <si>
    <t>E0833</t>
  </si>
  <si>
    <t>Gabriela Vargas</t>
  </si>
  <si>
    <t>E0834</t>
  </si>
  <si>
    <t>Juliana Vera</t>
  </si>
  <si>
    <t>E0835</t>
  </si>
  <si>
    <t>Marcela Flores</t>
  </si>
  <si>
    <t>E0836</t>
  </si>
  <si>
    <t>Andrés Rojo</t>
  </si>
  <si>
    <t>E0837</t>
  </si>
  <si>
    <t>Pablo Pinto</t>
  </si>
  <si>
    <t>E0838</t>
  </si>
  <si>
    <t>Gloria Gómez</t>
  </si>
  <si>
    <t>E0839</t>
  </si>
  <si>
    <t>Iván Pérez</t>
  </si>
  <si>
    <t>E0840</t>
  </si>
  <si>
    <t>Sebastián Suárez</t>
  </si>
  <si>
    <t>E0841</t>
  </si>
  <si>
    <t>Isabella Morales</t>
  </si>
  <si>
    <t>E0842</t>
  </si>
  <si>
    <t>Rodrigo Gómez</t>
  </si>
  <si>
    <t>E0843</t>
  </si>
  <si>
    <t>Isabella Vera</t>
  </si>
  <si>
    <t>E0844</t>
  </si>
  <si>
    <t>Sofía Jiménez</t>
  </si>
  <si>
    <t>E0845</t>
  </si>
  <si>
    <t>Tatiana Pérez</t>
  </si>
  <si>
    <t>E0846</t>
  </si>
  <si>
    <t>Marcela Pinto</t>
  </si>
  <si>
    <t>E0847</t>
  </si>
  <si>
    <t>Daniela Ramírez</t>
  </si>
  <si>
    <t>E0848</t>
  </si>
  <si>
    <t>Patricia Jiménez</t>
  </si>
  <si>
    <t>E0849</t>
  </si>
  <si>
    <t>Jorge Vera</t>
  </si>
  <si>
    <t>E0850</t>
  </si>
  <si>
    <t>Rafael Jiménez</t>
  </si>
  <si>
    <t>E0851</t>
  </si>
  <si>
    <t>Adriana Rojo</t>
  </si>
  <si>
    <t>E0852</t>
  </si>
  <si>
    <t>Juliana Ramírez</t>
  </si>
  <si>
    <t>E0853</t>
  </si>
  <si>
    <t>Sofía Vargas</t>
  </si>
  <si>
    <t>E0854</t>
  </si>
  <si>
    <t>Carolina Muñoz</t>
  </si>
  <si>
    <t>E0855</t>
  </si>
  <si>
    <t>Esteban Gómez</t>
  </si>
  <si>
    <t>E0856</t>
  </si>
  <si>
    <t>Diego Flores</t>
  </si>
  <si>
    <t>E0857</t>
  </si>
  <si>
    <t>Patricia Soto</t>
  </si>
  <si>
    <t>E0858</t>
  </si>
  <si>
    <t>Hernán Flores</t>
  </si>
  <si>
    <t>E0859</t>
  </si>
  <si>
    <t>Tomás Flores</t>
  </si>
  <si>
    <t>E0860</t>
  </si>
  <si>
    <t>Sebastián Pinto</t>
  </si>
  <si>
    <t>E0861</t>
  </si>
  <si>
    <t>Hernán López</t>
  </si>
  <si>
    <t>E0862</t>
  </si>
  <si>
    <t>Sofía Pinto</t>
  </si>
  <si>
    <t>E0863</t>
  </si>
  <si>
    <t>Tatiana Ramírez</t>
  </si>
  <si>
    <t>E0864</t>
  </si>
  <si>
    <t>Carolina Pérez</t>
  </si>
  <si>
    <t>E0865</t>
  </si>
  <si>
    <t>David Morales</t>
  </si>
  <si>
    <t>E0866</t>
  </si>
  <si>
    <t>Andrés Cruz</t>
  </si>
  <si>
    <t>E0867</t>
  </si>
  <si>
    <t>Ana Moya</t>
  </si>
  <si>
    <t>E0868</t>
  </si>
  <si>
    <t>Adriana Blanco</t>
  </si>
  <si>
    <t>E0869</t>
  </si>
  <si>
    <t>Iván Ramírez</t>
  </si>
  <si>
    <t>E0870</t>
  </si>
  <si>
    <t>Patricia López</t>
  </si>
  <si>
    <t>E0871</t>
  </si>
  <si>
    <t>Julián Medina</t>
  </si>
  <si>
    <t>E0872</t>
  </si>
  <si>
    <t>Sebastián Moya</t>
  </si>
  <si>
    <t>E0873</t>
  </si>
  <si>
    <t>Esteban Rojas</t>
  </si>
  <si>
    <t>E0874</t>
  </si>
  <si>
    <t>Andrés Navarro</t>
  </si>
  <si>
    <t>E0875</t>
  </si>
  <si>
    <t>María Ortega</t>
  </si>
  <si>
    <t>E0876</t>
  </si>
  <si>
    <t>Carolina Herrera</t>
  </si>
  <si>
    <t>E0877</t>
  </si>
  <si>
    <t>Carlos Ortega</t>
  </si>
  <si>
    <t>E0878</t>
  </si>
  <si>
    <t>Mauricio Flores</t>
  </si>
  <si>
    <t>E0879</t>
  </si>
  <si>
    <t>Rodrigo Vera</t>
  </si>
  <si>
    <t>E0880</t>
  </si>
  <si>
    <t>Paola Vargas</t>
  </si>
  <si>
    <t>E0881</t>
  </si>
  <si>
    <t>María Cruz</t>
  </si>
  <si>
    <t>E0882</t>
  </si>
  <si>
    <t>Tomás Torres</t>
  </si>
  <si>
    <t>E0883</t>
  </si>
  <si>
    <t>Juliana López</t>
  </si>
  <si>
    <t>E0884</t>
  </si>
  <si>
    <t>Camila Vargas</t>
  </si>
  <si>
    <t>E0885</t>
  </si>
  <si>
    <t>Tomás Guerrero</t>
  </si>
  <si>
    <t>E0886</t>
  </si>
  <si>
    <t>Pablo Morales</t>
  </si>
  <si>
    <t>E0887</t>
  </si>
  <si>
    <t>Luis Moya</t>
  </si>
  <si>
    <t>E0888</t>
  </si>
  <si>
    <t>Miguel Morales</t>
  </si>
  <si>
    <t>E0889</t>
  </si>
  <si>
    <t>Pablo Cruz</t>
  </si>
  <si>
    <t>E0890</t>
  </si>
  <si>
    <t>Valentina Mendoza</t>
  </si>
  <si>
    <t>E0891</t>
  </si>
  <si>
    <t>Luis Guerrero</t>
  </si>
  <si>
    <t>E0892</t>
  </si>
  <si>
    <t>María Navarro</t>
  </si>
  <si>
    <t>E0893</t>
  </si>
  <si>
    <t>Tomás Muñoz</t>
  </si>
  <si>
    <t>E0894</t>
  </si>
  <si>
    <t>Valentina Blanco</t>
  </si>
  <si>
    <t>E0895</t>
  </si>
  <si>
    <t>Ana Castro</t>
  </si>
  <si>
    <t>E0896</t>
  </si>
  <si>
    <t>Ricardo Guerrero</t>
  </si>
  <si>
    <t>E0897</t>
  </si>
  <si>
    <t>Gabriela Morales</t>
  </si>
  <si>
    <t>E0898</t>
  </si>
  <si>
    <t>Sandra López</t>
  </si>
  <si>
    <t>E0899</t>
  </si>
  <si>
    <t>Isabella Reyes</t>
  </si>
  <si>
    <t>E0900</t>
  </si>
  <si>
    <t>Gabriela Navarro</t>
  </si>
  <si>
    <t>E0901</t>
  </si>
  <si>
    <t>María Ramírez</t>
  </si>
  <si>
    <t>E0902</t>
  </si>
  <si>
    <t>Patricia Torres</t>
  </si>
  <si>
    <t>E0903</t>
  </si>
  <si>
    <t>Carlos Mendoza</t>
  </si>
  <si>
    <t>E0904</t>
  </si>
  <si>
    <t>Rafael Moya</t>
  </si>
  <si>
    <t>E0905</t>
  </si>
  <si>
    <t>Natalia Gómez</t>
  </si>
  <si>
    <t>E0906</t>
  </si>
  <si>
    <t>Felipe Ríos</t>
  </si>
  <si>
    <t>E0907</t>
  </si>
  <si>
    <t>María Moya</t>
  </si>
  <si>
    <t>E0908</t>
  </si>
  <si>
    <t>Natalia Ortega</t>
  </si>
  <si>
    <t>E0909</t>
  </si>
  <si>
    <t>Diego Suárez</t>
  </si>
  <si>
    <t>E0910</t>
  </si>
  <si>
    <t>Paola Ortega</t>
  </si>
  <si>
    <t>E0911</t>
  </si>
  <si>
    <t>Carlos Rojas</t>
  </si>
  <si>
    <t>E0912</t>
  </si>
  <si>
    <t>Adriana Soto</t>
  </si>
  <si>
    <t>E0913</t>
  </si>
  <si>
    <t>Ana Pérez</t>
  </si>
  <si>
    <t>E0914</t>
  </si>
  <si>
    <t>Sergio Navarro</t>
  </si>
  <si>
    <t>E0915</t>
  </si>
  <si>
    <t>Carolina Suárez</t>
  </si>
  <si>
    <t>E0916</t>
  </si>
  <si>
    <t>Daniela Guerrero</t>
  </si>
  <si>
    <t>E0917</t>
  </si>
  <si>
    <t>Sebastián Jiménez</t>
  </si>
  <si>
    <t>E0918</t>
  </si>
  <si>
    <t>Daniela Vera</t>
  </si>
  <si>
    <t>E0919</t>
  </si>
  <si>
    <t>Gloria Ortega</t>
  </si>
  <si>
    <t>E0920</t>
  </si>
  <si>
    <t>Felipe Morales</t>
  </si>
  <si>
    <t>E0921</t>
  </si>
  <si>
    <t>Adriana Morales</t>
  </si>
  <si>
    <t>E0922</t>
  </si>
  <si>
    <t>Isabella Jiménez</t>
  </si>
  <si>
    <t>E0923</t>
  </si>
  <si>
    <t>Carlos Medina</t>
  </si>
  <si>
    <t>E0924</t>
  </si>
  <si>
    <t>Tatiana Suárez</t>
  </si>
  <si>
    <t>E0925</t>
  </si>
  <si>
    <t>Sergio Ortega</t>
  </si>
  <si>
    <t>E0926</t>
  </si>
  <si>
    <t>Sebastián Flores</t>
  </si>
  <si>
    <t>E0927</t>
  </si>
  <si>
    <t>Jorge Rojas</t>
  </si>
  <si>
    <t>E0928</t>
  </si>
  <si>
    <t>María Morales</t>
  </si>
  <si>
    <t>E0929</t>
  </si>
  <si>
    <t>Rodrigo Ríos</t>
  </si>
  <si>
    <t>E0930</t>
  </si>
  <si>
    <t>Carlos Morales</t>
  </si>
  <si>
    <t>E0931</t>
  </si>
  <si>
    <t>Carolina Castro</t>
  </si>
  <si>
    <t>E0932</t>
  </si>
  <si>
    <t>Natalia Muñoz</t>
  </si>
  <si>
    <t>E0933</t>
  </si>
  <si>
    <t>Mauricio Cruz</t>
  </si>
  <si>
    <t>E0934</t>
  </si>
  <si>
    <t>Ricardo Moya</t>
  </si>
  <si>
    <t>E0935</t>
  </si>
  <si>
    <t>Marcela Herrera</t>
  </si>
  <si>
    <t>E0936</t>
  </si>
  <si>
    <t>Sandra Soto</t>
  </si>
  <si>
    <t>E0937</t>
  </si>
  <si>
    <t>Carlos Ramírez</t>
  </si>
  <si>
    <t>E0938</t>
  </si>
  <si>
    <t>Gloria Muñoz</t>
  </si>
  <si>
    <t>E0939</t>
  </si>
  <si>
    <t>María Vargas</t>
  </si>
  <si>
    <t>E0940</t>
  </si>
  <si>
    <t>Ana Reyes</t>
  </si>
  <si>
    <t>E0941</t>
  </si>
  <si>
    <t>Ana Gómez</t>
  </si>
  <si>
    <t>E0942</t>
  </si>
  <si>
    <t>María Torres</t>
  </si>
  <si>
    <t>E0943</t>
  </si>
  <si>
    <t>Miguel Jiménez</t>
  </si>
  <si>
    <t>E0944</t>
  </si>
  <si>
    <t>Diego Vera</t>
  </si>
  <si>
    <t>E0945</t>
  </si>
  <si>
    <t>Carolina Pinto</t>
  </si>
  <si>
    <t>E0946</t>
  </si>
  <si>
    <t>Patricia Vargas</t>
  </si>
  <si>
    <t>E0947</t>
  </si>
  <si>
    <t>Julián Pérez</t>
  </si>
  <si>
    <t>E0948</t>
  </si>
  <si>
    <t>Valentina Suárez</t>
  </si>
  <si>
    <t>E0949</t>
  </si>
  <si>
    <t>María Castro</t>
  </si>
  <si>
    <t>E0950</t>
  </si>
  <si>
    <t>Felipe Rojo</t>
  </si>
  <si>
    <t>E0951</t>
  </si>
  <si>
    <t>Sandra Medina</t>
  </si>
  <si>
    <t>E0952</t>
  </si>
  <si>
    <t>Esteban Pérez</t>
  </si>
  <si>
    <t>E0953</t>
  </si>
  <si>
    <t>Alejandra Vargas</t>
  </si>
  <si>
    <t>E0954</t>
  </si>
  <si>
    <t>Felipe Herrera</t>
  </si>
  <si>
    <t>E0955</t>
  </si>
  <si>
    <t>Paola Torres</t>
  </si>
  <si>
    <t>E0956</t>
  </si>
  <si>
    <t>Sergio Pérez</t>
  </si>
  <si>
    <t>E0957</t>
  </si>
  <si>
    <t>Marcela Vargas</t>
  </si>
  <si>
    <t>E0958</t>
  </si>
  <si>
    <t>Tatiana Rojo</t>
  </si>
  <si>
    <t>E0959</t>
  </si>
  <si>
    <t>Alejandra Blanco</t>
  </si>
  <si>
    <t>E0960</t>
  </si>
  <si>
    <t>Hernán Morales</t>
  </si>
  <si>
    <t>E0961</t>
  </si>
  <si>
    <t>Paola Cruz</t>
  </si>
  <si>
    <t>E0962</t>
  </si>
  <si>
    <t>Gabriela Pérez</t>
  </si>
  <si>
    <t>E0963</t>
  </si>
  <si>
    <t>Carlos Vargas</t>
  </si>
  <si>
    <t>E0964</t>
  </si>
  <si>
    <t>Diego Rojas</t>
  </si>
  <si>
    <t>E0965</t>
  </si>
  <si>
    <t>Pablo Ruiz</t>
  </si>
  <si>
    <t>E0966</t>
  </si>
  <si>
    <t>Andrés Rojas</t>
  </si>
  <si>
    <t>E0967</t>
  </si>
  <si>
    <t>Rafael Ortega</t>
  </si>
  <si>
    <t>E0968</t>
  </si>
  <si>
    <t>Mauricio Herrera</t>
  </si>
  <si>
    <t>E0969</t>
  </si>
  <si>
    <t>Sofía Flores</t>
  </si>
  <si>
    <t>E0970</t>
  </si>
  <si>
    <t>Felipe Flores</t>
  </si>
  <si>
    <t>E0971</t>
  </si>
  <si>
    <t>David Jiménez</t>
  </si>
  <si>
    <t>E0972</t>
  </si>
  <si>
    <t>Pablo Pérez</t>
  </si>
  <si>
    <t>E0973</t>
  </si>
  <si>
    <t>Sebastián Ortega</t>
  </si>
  <si>
    <t>E0974</t>
  </si>
  <si>
    <t>Juliana Mendoza</t>
  </si>
  <si>
    <t>E0975</t>
  </si>
  <si>
    <t>Luis Suárez</t>
  </si>
  <si>
    <t>E0976</t>
  </si>
  <si>
    <t>Felipe Gómez</t>
  </si>
  <si>
    <t>E0977</t>
  </si>
  <si>
    <t>Ricardo Ramírez</t>
  </si>
  <si>
    <t>E0978</t>
  </si>
  <si>
    <t>Carlos Pinto</t>
  </si>
  <si>
    <t>E0979</t>
  </si>
  <si>
    <t>Paola Soto</t>
  </si>
  <si>
    <t>E0980</t>
  </si>
  <si>
    <t>Carolina Ortega</t>
  </si>
  <si>
    <t>E0981</t>
  </si>
  <si>
    <t>Daniela Ríos</t>
  </si>
  <si>
    <t>E0982</t>
  </si>
  <si>
    <t>Pablo Herrera</t>
  </si>
  <si>
    <t>E0983</t>
  </si>
  <si>
    <t>Carolina Reyes</t>
  </si>
  <si>
    <t>E0984</t>
  </si>
  <si>
    <t>Luis Ruiz</t>
  </si>
  <si>
    <t>E0985</t>
  </si>
  <si>
    <t>Isabella Rojas</t>
  </si>
  <si>
    <t>E0986</t>
  </si>
  <si>
    <t>Juliana Reyes</t>
  </si>
  <si>
    <t>E0987</t>
  </si>
  <si>
    <t>Daniela Suárez</t>
  </si>
  <si>
    <t>E0988</t>
  </si>
  <si>
    <t>Isabella Cruz</t>
  </si>
  <si>
    <t>E0989</t>
  </si>
  <si>
    <t>Esteban Vargas</t>
  </si>
  <si>
    <t>E0990</t>
  </si>
  <si>
    <t>Sandra Vera</t>
  </si>
  <si>
    <t>E0991</t>
  </si>
  <si>
    <t>Diego Ortega</t>
  </si>
  <si>
    <t>E0992</t>
  </si>
  <si>
    <t>Marcela Reyes</t>
  </si>
  <si>
    <t>E0993</t>
  </si>
  <si>
    <t>Marcela Pérez</t>
  </si>
  <si>
    <t>E0994</t>
  </si>
  <si>
    <t>Paola Navarro</t>
  </si>
  <si>
    <t>E0995</t>
  </si>
  <si>
    <t>Sebastián Luna</t>
  </si>
  <si>
    <t>E0996</t>
  </si>
  <si>
    <t>Mauricio Guerrero</t>
  </si>
  <si>
    <t>E0997</t>
  </si>
  <si>
    <t>Alejandra Ríos</t>
  </si>
  <si>
    <t>E0998</t>
  </si>
  <si>
    <t>Valentina Navarro</t>
  </si>
  <si>
    <t>E0999</t>
  </si>
  <si>
    <t>Tatiana Blanco</t>
  </si>
  <si>
    <t>E1000</t>
  </si>
  <si>
    <t>Sebastián Torres</t>
  </si>
  <si>
    <t>E1001</t>
  </si>
  <si>
    <t>Tomás Ramírez</t>
  </si>
  <si>
    <t>E1002</t>
  </si>
  <si>
    <t>Felipe López</t>
  </si>
  <si>
    <t>E1003</t>
  </si>
  <si>
    <t>Marcela Gómez</t>
  </si>
  <si>
    <t>E1004</t>
  </si>
  <si>
    <t>Sebastián Castro</t>
  </si>
  <si>
    <t>E1005</t>
  </si>
  <si>
    <t>Sebastián Medina</t>
  </si>
  <si>
    <t>E1006</t>
  </si>
  <si>
    <t>Daniela Castro</t>
  </si>
  <si>
    <t>E1007</t>
  </si>
  <si>
    <t>Rafael Medina</t>
  </si>
  <si>
    <t>E1008</t>
  </si>
  <si>
    <t>Luis Medina</t>
  </si>
  <si>
    <t>E1009</t>
  </si>
  <si>
    <t>Andrés Vera</t>
  </si>
  <si>
    <t>E1010</t>
  </si>
  <si>
    <t>Andrés Ramírez</t>
  </si>
  <si>
    <t>E1011</t>
  </si>
  <si>
    <t>Paola Medina</t>
  </si>
  <si>
    <t>E1012</t>
  </si>
  <si>
    <t>Paola Muñoz</t>
  </si>
  <si>
    <t>E1013</t>
  </si>
  <si>
    <t>Miguel Blanco</t>
  </si>
  <si>
    <t>E1014</t>
  </si>
  <si>
    <t>Esteban Ortega</t>
  </si>
  <si>
    <t>E1015</t>
  </si>
  <si>
    <t>Esteban Soto</t>
  </si>
  <si>
    <t>E1016</t>
  </si>
  <si>
    <t>Diego Jiménez</t>
  </si>
  <si>
    <t>E1017</t>
  </si>
  <si>
    <t>Ana Mendoza</t>
  </si>
  <si>
    <t>E1018</t>
  </si>
  <si>
    <t>Pablo Muñoz</t>
  </si>
  <si>
    <t>E1019</t>
  </si>
  <si>
    <t>Ricardo Herrera</t>
  </si>
  <si>
    <t>E1020</t>
  </si>
  <si>
    <t>Sandra Pinto</t>
  </si>
  <si>
    <t>E1021</t>
  </si>
  <si>
    <t>Ana Ortega</t>
  </si>
  <si>
    <t>E1022</t>
  </si>
  <si>
    <t>Hernán Mendoza</t>
  </si>
  <si>
    <t>E1023</t>
  </si>
  <si>
    <t>David Ruiz</t>
  </si>
  <si>
    <t>E1024</t>
  </si>
  <si>
    <t>Adriana Pinto</t>
  </si>
  <si>
    <t>E1025</t>
  </si>
  <si>
    <t>Isabella Ortega</t>
  </si>
  <si>
    <t>E1026</t>
  </si>
  <si>
    <t>Julián Mendoza</t>
  </si>
  <si>
    <t>E1027</t>
  </si>
  <si>
    <t>Adriana Ríos</t>
  </si>
  <si>
    <t>E1028</t>
  </si>
  <si>
    <t>Ana Medina</t>
  </si>
  <si>
    <t>E1029</t>
  </si>
  <si>
    <t>Natalia Ruiz</t>
  </si>
  <si>
    <t>E1030</t>
  </si>
  <si>
    <t>Ana Morales</t>
  </si>
  <si>
    <t>E1031</t>
  </si>
  <si>
    <t>Valentina López</t>
  </si>
  <si>
    <t>E1032</t>
  </si>
  <si>
    <t>Jorge Rojo</t>
  </si>
  <si>
    <t>E1033</t>
  </si>
  <si>
    <t>Carolina Ríos</t>
  </si>
  <si>
    <t>E1034</t>
  </si>
  <si>
    <t>Andrés Vargas</t>
  </si>
  <si>
    <t>E1035</t>
  </si>
  <si>
    <t>Miguel Medina</t>
  </si>
  <si>
    <t>E1036</t>
  </si>
  <si>
    <t>Camila Vera</t>
  </si>
  <si>
    <t>E1037</t>
  </si>
  <si>
    <t>Laura Suárez</t>
  </si>
  <si>
    <t>E1038</t>
  </si>
  <si>
    <t>Iván Navarro</t>
  </si>
  <si>
    <t>E1039</t>
  </si>
  <si>
    <t>Sebastián Gómez</t>
  </si>
  <si>
    <t>E1040</t>
  </si>
  <si>
    <t>Juliana Herrera</t>
  </si>
  <si>
    <t>E1041</t>
  </si>
  <si>
    <t>Laura Blanco</t>
  </si>
  <si>
    <t>E1042</t>
  </si>
  <si>
    <t>Hernán Cruz</t>
  </si>
  <si>
    <t>E1043</t>
  </si>
  <si>
    <t>Mauricio Moya</t>
  </si>
  <si>
    <t>E1044</t>
  </si>
  <si>
    <t>Pablo Flores</t>
  </si>
  <si>
    <t>E1045</t>
  </si>
  <si>
    <t>Alejandra Pérez</t>
  </si>
  <si>
    <t>E1046</t>
  </si>
  <si>
    <t>Hernán Rojas</t>
  </si>
  <si>
    <t>E1047</t>
  </si>
  <si>
    <t>Sebastián Vera</t>
  </si>
  <si>
    <t>E1048</t>
  </si>
  <si>
    <t>David Flores</t>
  </si>
  <si>
    <t>E1049</t>
  </si>
  <si>
    <t>Mauricio Pinto</t>
  </si>
  <si>
    <t>E1050</t>
  </si>
  <si>
    <t>Tomás Ruiz</t>
  </si>
  <si>
    <t>E1051</t>
  </si>
  <si>
    <t>Isabella Suárez</t>
  </si>
  <si>
    <t>E1052</t>
  </si>
  <si>
    <t>Sergio López</t>
  </si>
  <si>
    <t>E1053</t>
  </si>
  <si>
    <t>Diego Herrera</t>
  </si>
  <si>
    <t>E1054</t>
  </si>
  <si>
    <t>Patricia Luna</t>
  </si>
  <si>
    <t>E1055</t>
  </si>
  <si>
    <t>Sofía Herrera</t>
  </si>
  <si>
    <t>E1056</t>
  </si>
  <si>
    <t>Julián Vargas</t>
  </si>
  <si>
    <t>E1057</t>
  </si>
  <si>
    <t>Gabriela Luna</t>
  </si>
  <si>
    <t>E1058</t>
  </si>
  <si>
    <t>Patricia Morales</t>
  </si>
  <si>
    <t>E1059</t>
  </si>
  <si>
    <t>Hernán Pinto</t>
  </si>
  <si>
    <t>E1060</t>
  </si>
  <si>
    <t>Sandra Moya</t>
  </si>
  <si>
    <t>E1061</t>
  </si>
  <si>
    <t>Sandra Ríos</t>
  </si>
  <si>
    <t>E1062</t>
  </si>
  <si>
    <t>Tatiana Cruz</t>
  </si>
  <si>
    <t>E1063</t>
  </si>
  <si>
    <t>Camila Ríos</t>
  </si>
  <si>
    <t>E1064</t>
  </si>
  <si>
    <t>Felipe Cruz</t>
  </si>
  <si>
    <t>E1065</t>
  </si>
  <si>
    <t>Iván Rojo</t>
  </si>
  <si>
    <t>E1066</t>
  </si>
  <si>
    <t>Valentina Castro</t>
  </si>
  <si>
    <t>E1067</t>
  </si>
  <si>
    <t>Isabella Ruiz</t>
  </si>
  <si>
    <t>E1068</t>
  </si>
  <si>
    <t>Esteban Vera</t>
  </si>
  <si>
    <t>E1069</t>
  </si>
  <si>
    <t>Iván Vargas</t>
  </si>
  <si>
    <t>E1070</t>
  </si>
  <si>
    <t>Rodrigo Ruiz</t>
  </si>
  <si>
    <t>E1071</t>
  </si>
  <si>
    <t>Rafael Luna</t>
  </si>
  <si>
    <t>E1072</t>
  </si>
  <si>
    <t>Julián Pinto</t>
  </si>
  <si>
    <t>E1073</t>
  </si>
  <si>
    <t>Esteban Herrera</t>
  </si>
  <si>
    <t>E1074</t>
  </si>
  <si>
    <t>David Guerrero</t>
  </si>
  <si>
    <t>E1075</t>
  </si>
  <si>
    <t>Daniela Rojo</t>
  </si>
  <si>
    <t>E1076</t>
  </si>
  <si>
    <t>Camila Luna</t>
  </si>
  <si>
    <t>E1077</t>
  </si>
  <si>
    <t>Esteban Reyes</t>
  </si>
  <si>
    <t>E1078</t>
  </si>
  <si>
    <t>Jorge Navarro</t>
  </si>
  <si>
    <t>E1079</t>
  </si>
  <si>
    <t>Miguel Torres</t>
  </si>
  <si>
    <t>E1080</t>
  </si>
  <si>
    <t>Rafael Muñoz</t>
  </si>
  <si>
    <t>E1081</t>
  </si>
  <si>
    <t>Camila Pérez</t>
  </si>
  <si>
    <t>E1082</t>
  </si>
  <si>
    <t>Sandra Torres</t>
  </si>
  <si>
    <t>E1083</t>
  </si>
  <si>
    <t>María Mendoza</t>
  </si>
  <si>
    <t>E1084</t>
  </si>
  <si>
    <t>David Cruz</t>
  </si>
  <si>
    <t>E1085</t>
  </si>
  <si>
    <t>Julián Ríos</t>
  </si>
  <si>
    <t>E1086</t>
  </si>
  <si>
    <t>Iván Cruz</t>
  </si>
  <si>
    <t>E1087</t>
  </si>
  <si>
    <t>Iván Ortega</t>
  </si>
  <si>
    <t>E1088</t>
  </si>
  <si>
    <t>Juliana Navarro</t>
  </si>
  <si>
    <t>E1089</t>
  </si>
  <si>
    <t>Camila Torres</t>
  </si>
  <si>
    <t>E1090</t>
  </si>
  <si>
    <t>Hernán Ruiz</t>
  </si>
  <si>
    <t>E1091</t>
  </si>
  <si>
    <t>Laura Ortega</t>
  </si>
  <si>
    <t>E1092</t>
  </si>
  <si>
    <t>Juliana Gómez</t>
  </si>
  <si>
    <t>E1093</t>
  </si>
  <si>
    <t>Natalia Vargas</t>
  </si>
  <si>
    <t>E1094</t>
  </si>
  <si>
    <t>Miguel Suárez</t>
  </si>
  <si>
    <t>E1095</t>
  </si>
  <si>
    <t>Tomás Soto</t>
  </si>
  <si>
    <t>E1096</t>
  </si>
  <si>
    <t>Hernán Gómez</t>
  </si>
  <si>
    <t>E1097</t>
  </si>
  <si>
    <t>Diego Navarro</t>
  </si>
  <si>
    <t>E1098</t>
  </si>
  <si>
    <t>Patricia Muñoz</t>
  </si>
  <si>
    <t>E1099</t>
  </si>
  <si>
    <t>Ana Cruz</t>
  </si>
  <si>
    <t>E1100</t>
  </si>
  <si>
    <t>Hernán Torres</t>
  </si>
  <si>
    <t>E1101</t>
  </si>
  <si>
    <t>Gabriela Guerrero</t>
  </si>
  <si>
    <t>E1102</t>
  </si>
  <si>
    <t>Tomás Pérez</t>
  </si>
  <si>
    <t>E1103</t>
  </si>
  <si>
    <t>Andrés Luna</t>
  </si>
  <si>
    <t>E1104</t>
  </si>
  <si>
    <t>Felipe Mendoza</t>
  </si>
  <si>
    <t>E1105</t>
  </si>
  <si>
    <t>Marcela Vera</t>
  </si>
  <si>
    <t>E1106</t>
  </si>
  <si>
    <t>Daniela Morales</t>
  </si>
  <si>
    <t>E1107</t>
  </si>
  <si>
    <t>Felipe Guerrero</t>
  </si>
  <si>
    <t>E1108</t>
  </si>
  <si>
    <t>Carlos Gómez</t>
  </si>
  <si>
    <t>E1109</t>
  </si>
  <si>
    <t>Patricia Blanco</t>
  </si>
  <si>
    <t>E1110</t>
  </si>
  <si>
    <t>Isabella Vargas</t>
  </si>
  <si>
    <t>E1111</t>
  </si>
  <si>
    <t>María Blanco</t>
  </si>
  <si>
    <t>E1112</t>
  </si>
  <si>
    <t>Isabella Pérez</t>
  </si>
  <si>
    <t>E1113</t>
  </si>
  <si>
    <t>Laura Pinto</t>
  </si>
  <si>
    <t>E1114</t>
  </si>
  <si>
    <t>Natalia Morales</t>
  </si>
  <si>
    <t>E1115</t>
  </si>
  <si>
    <t>Sebastián Pérez</t>
  </si>
  <si>
    <t>E1116</t>
  </si>
  <si>
    <t>Valentina Guerrero</t>
  </si>
  <si>
    <t>E1117</t>
  </si>
  <si>
    <t>Valentina Vargas</t>
  </si>
  <si>
    <t>E1118</t>
  </si>
  <si>
    <t>Carolina Blanco</t>
  </si>
  <si>
    <t>E1119</t>
  </si>
  <si>
    <t>Ana Ramírez</t>
  </si>
  <si>
    <t>E1120</t>
  </si>
  <si>
    <t>Miguel Cruz</t>
  </si>
  <si>
    <t>E1121</t>
  </si>
  <si>
    <t>Jorge Vargas</t>
  </si>
  <si>
    <t>E1122</t>
  </si>
  <si>
    <t>Juliana Ruiz</t>
  </si>
  <si>
    <t>E1123</t>
  </si>
  <si>
    <t>Juliana Rojo</t>
  </si>
  <si>
    <t>E1124</t>
  </si>
  <si>
    <t>Natalia Herrera</t>
  </si>
  <si>
    <t>E1125</t>
  </si>
  <si>
    <t>Rafael Flores</t>
  </si>
  <si>
    <t>E1126</t>
  </si>
  <si>
    <t>Adriana Medina</t>
  </si>
  <si>
    <t>E1127</t>
  </si>
  <si>
    <t>Iván Vera</t>
  </si>
  <si>
    <t>E1128</t>
  </si>
  <si>
    <t>Hernán Luna</t>
  </si>
  <si>
    <t>E1129</t>
  </si>
  <si>
    <t>Diego Ramírez</t>
  </si>
  <si>
    <t>E1130</t>
  </si>
  <si>
    <t>Rafael Ramírez</t>
  </si>
  <si>
    <t>E1131</t>
  </si>
  <si>
    <t>Sergio Ramírez</t>
  </si>
  <si>
    <t>E1132</t>
  </si>
  <si>
    <t>Gabriela Muñoz</t>
  </si>
  <si>
    <t>E1133</t>
  </si>
  <si>
    <t>Gloria Herrera</t>
  </si>
  <si>
    <t>E1134</t>
  </si>
  <si>
    <t>Carlos Vera</t>
  </si>
  <si>
    <t>E1135</t>
  </si>
  <si>
    <t>Carlos Luna</t>
  </si>
  <si>
    <t>E1136</t>
  </si>
  <si>
    <t>Julián Muñoz</t>
  </si>
  <si>
    <t>E1137</t>
  </si>
  <si>
    <t>Rodrigo Muñoz</t>
  </si>
  <si>
    <t>E1138</t>
  </si>
  <si>
    <t>Rodrigo Navarro</t>
  </si>
  <si>
    <t>E1139</t>
  </si>
  <si>
    <t>Isabella Pinto</t>
  </si>
  <si>
    <t>E1140</t>
  </si>
  <si>
    <t>Hernán Rojo</t>
  </si>
  <si>
    <t>E1141</t>
  </si>
  <si>
    <t>Valentina Ortega</t>
  </si>
  <si>
    <t>E1142</t>
  </si>
  <si>
    <t>Gabriela Herrera</t>
  </si>
  <si>
    <t>E1143</t>
  </si>
  <si>
    <t>Daniela Vargas</t>
  </si>
  <si>
    <t>E1144</t>
  </si>
  <si>
    <t>Camila Blanco</t>
  </si>
  <si>
    <t>E1145</t>
  </si>
  <si>
    <t>Luis Castro</t>
  </si>
  <si>
    <t>E1146</t>
  </si>
  <si>
    <t>Carlos Flores</t>
  </si>
  <si>
    <t>E1147</t>
  </si>
  <si>
    <t>Felipe Muñoz</t>
  </si>
  <si>
    <t>E1148</t>
  </si>
  <si>
    <t>Felipe Pérez</t>
  </si>
  <si>
    <t>E1149</t>
  </si>
  <si>
    <t>Sofía Rojas</t>
  </si>
  <si>
    <t>E1150</t>
  </si>
  <si>
    <t>Alejandra Soto</t>
  </si>
  <si>
    <t>E1151</t>
  </si>
  <si>
    <t>Sergio Medina</t>
  </si>
  <si>
    <t>E1152</t>
  </si>
  <si>
    <t>Paola Reyes</t>
  </si>
  <si>
    <t>E1153</t>
  </si>
  <si>
    <t>Esteban Blanco</t>
  </si>
  <si>
    <t>E1154</t>
  </si>
  <si>
    <t>Carlos Pérez</t>
  </si>
  <si>
    <t>E1155</t>
  </si>
  <si>
    <t>Luis Navarro</t>
  </si>
  <si>
    <t>E1156</t>
  </si>
  <si>
    <t>Pablo Blanco</t>
  </si>
  <si>
    <t>E1157</t>
  </si>
  <si>
    <t>Felipe Ortega</t>
  </si>
  <si>
    <t>E1158</t>
  </si>
  <si>
    <t>David Moya</t>
  </si>
  <si>
    <t>E1159</t>
  </si>
  <si>
    <t>Hernán Medina</t>
  </si>
  <si>
    <t>E1160</t>
  </si>
  <si>
    <t>Andrés Castro</t>
  </si>
  <si>
    <t>E1161</t>
  </si>
  <si>
    <t>Gabriela Mendoza</t>
  </si>
  <si>
    <t>E1162</t>
  </si>
  <si>
    <t>Gloria Torres</t>
  </si>
  <si>
    <t>E1163</t>
  </si>
  <si>
    <t>Luis Ramírez</t>
  </si>
  <si>
    <t>E1164</t>
  </si>
  <si>
    <t>Isabella López</t>
  </si>
  <si>
    <t>E1165</t>
  </si>
  <si>
    <t>Isabella Guerrero</t>
  </si>
  <si>
    <t>E1166</t>
  </si>
  <si>
    <t>Alejandra Torres</t>
  </si>
  <si>
    <t>E1167</t>
  </si>
  <si>
    <t>Iván Torres</t>
  </si>
  <si>
    <t>E1168</t>
  </si>
  <si>
    <t>Alejandra Morales</t>
  </si>
  <si>
    <t>E1169</t>
  </si>
  <si>
    <t>Carlos Castro</t>
  </si>
  <si>
    <t>E1170</t>
  </si>
  <si>
    <t>Jorge Soto</t>
  </si>
  <si>
    <t>E1171</t>
  </si>
  <si>
    <t>Juliana Jiménez</t>
  </si>
  <si>
    <t>E1172</t>
  </si>
  <si>
    <t>Luis Pérez</t>
  </si>
  <si>
    <t>E1173</t>
  </si>
  <si>
    <t>Rafael Pérez</t>
  </si>
  <si>
    <t>E1174</t>
  </si>
  <si>
    <t>David Ramírez</t>
  </si>
  <si>
    <t>E1175</t>
  </si>
  <si>
    <t>Carolina Medina</t>
  </si>
  <si>
    <t>E1176</t>
  </si>
  <si>
    <t>Esteban Torres</t>
  </si>
  <si>
    <t>E1177</t>
  </si>
  <si>
    <t>Ana Rojas</t>
  </si>
  <si>
    <t>E1178</t>
  </si>
  <si>
    <t>Mauricio Blanco</t>
  </si>
  <si>
    <t>E1179</t>
  </si>
  <si>
    <t>Isabella Moya</t>
  </si>
  <si>
    <t>E1180</t>
  </si>
  <si>
    <t>Marcela Ramírez</t>
  </si>
  <si>
    <t>E1181</t>
  </si>
  <si>
    <t>Marcela Jiménez</t>
  </si>
  <si>
    <t>E1182</t>
  </si>
  <si>
    <t>Carlos Rojo</t>
  </si>
  <si>
    <t>E1183</t>
  </si>
  <si>
    <t>Sebastián Ríos</t>
  </si>
  <si>
    <t>E1184</t>
  </si>
  <si>
    <t>Juliana Guerrero</t>
  </si>
  <si>
    <t>E1185</t>
  </si>
  <si>
    <t>Mauricio Rojo</t>
  </si>
  <si>
    <t>E1186</t>
  </si>
  <si>
    <t>Ana Luna</t>
  </si>
  <si>
    <t>E1187</t>
  </si>
  <si>
    <t>Carlos Reyes</t>
  </si>
  <si>
    <t>E1188</t>
  </si>
  <si>
    <t>Tatiana Flores</t>
  </si>
  <si>
    <t>E1189</t>
  </si>
  <si>
    <t>Rafael Rojas</t>
  </si>
  <si>
    <t>E1190</t>
  </si>
  <si>
    <t>Sergio Moya</t>
  </si>
  <si>
    <t>E1191</t>
  </si>
  <si>
    <t>Adriana Ortega</t>
  </si>
  <si>
    <t>E1192</t>
  </si>
  <si>
    <t>Alejandra Gómez</t>
  </si>
  <si>
    <t>E1193</t>
  </si>
  <si>
    <t>Paola Ríos</t>
  </si>
  <si>
    <t>E1194</t>
  </si>
  <si>
    <t>Ana Torres</t>
  </si>
  <si>
    <t>E1195</t>
  </si>
  <si>
    <t>Marcela Guerrero</t>
  </si>
  <si>
    <t>E1196</t>
  </si>
  <si>
    <t>Pablo Ríos</t>
  </si>
  <si>
    <t>E1197</t>
  </si>
  <si>
    <t>Gabriela Cruz</t>
  </si>
  <si>
    <t>E1198</t>
  </si>
  <si>
    <t>Empleado 3111</t>
  </si>
  <si>
    <t>E1199</t>
  </si>
  <si>
    <t>Carolina Gómez</t>
  </si>
  <si>
    <t>E1200</t>
  </si>
  <si>
    <t>Empleado 9637</t>
  </si>
  <si>
    <t>E1201</t>
  </si>
  <si>
    <t>Empleado 3879</t>
  </si>
  <si>
    <t>E1202</t>
  </si>
  <si>
    <t>Empleado 4542</t>
  </si>
  <si>
    <t>E1203</t>
  </si>
  <si>
    <t>Empleado 5593</t>
  </si>
  <si>
    <t>E1204</t>
  </si>
  <si>
    <t>Empleado 6260</t>
  </si>
  <si>
    <t>E1205</t>
  </si>
  <si>
    <t>Empleado 5003</t>
  </si>
  <si>
    <t>E1206</t>
  </si>
  <si>
    <t>Empleado 6435</t>
  </si>
  <si>
    <t>E1207</t>
  </si>
  <si>
    <t>Empleado 1735</t>
  </si>
  <si>
    <t>E1208</t>
  </si>
  <si>
    <t>Gabriela Reyes</t>
  </si>
  <si>
    <t>E1209</t>
  </si>
  <si>
    <t>Diego Cruz</t>
  </si>
  <si>
    <t>E1210</t>
  </si>
  <si>
    <t>Empleado 3884</t>
  </si>
  <si>
    <t>E1211</t>
  </si>
  <si>
    <t>Empleado 8596</t>
  </si>
  <si>
    <t>E1212</t>
  </si>
  <si>
    <t>Empleado 3870</t>
  </si>
  <si>
    <t>E1213</t>
  </si>
  <si>
    <t>Empleado 6953</t>
  </si>
  <si>
    <t>E1214</t>
  </si>
  <si>
    <t>Empleado 1066</t>
  </si>
  <si>
    <t>E1215</t>
  </si>
  <si>
    <t>Empleado 6214</t>
  </si>
  <si>
    <t>E1216</t>
  </si>
  <si>
    <t>Empleado 9388</t>
  </si>
  <si>
    <t>E1217</t>
  </si>
  <si>
    <t>Empleado 8411</t>
  </si>
  <si>
    <t>E1218</t>
  </si>
  <si>
    <t>Empleado 5262</t>
  </si>
  <si>
    <t>E1219</t>
  </si>
  <si>
    <t>Empleado 7601</t>
  </si>
  <si>
    <t>E1220</t>
  </si>
  <si>
    <t>Empleado 4001</t>
  </si>
  <si>
    <t>E1221</t>
  </si>
  <si>
    <t>Empleado 7178</t>
  </si>
  <si>
    <t>E1222</t>
  </si>
  <si>
    <t>Empleado 9051</t>
  </si>
  <si>
    <t>E1223</t>
  </si>
  <si>
    <t>Empleado 2440</t>
  </si>
  <si>
    <t>E1224</t>
  </si>
  <si>
    <t>Empleado 3706</t>
  </si>
  <si>
    <t>E1225</t>
  </si>
  <si>
    <t>Empleado 5883</t>
  </si>
  <si>
    <t>E1226</t>
  </si>
  <si>
    <t>Empleado 8268</t>
  </si>
  <si>
    <t>E1227</t>
  </si>
  <si>
    <t>Empleado 7962</t>
  </si>
  <si>
    <t>E1228</t>
  </si>
  <si>
    <t>Empleado 2281</t>
  </si>
  <si>
    <t>E1229</t>
  </si>
  <si>
    <t>Empleado 1786</t>
  </si>
  <si>
    <t>E1230</t>
  </si>
  <si>
    <t>Empleado 9970</t>
  </si>
  <si>
    <t>E1231</t>
  </si>
  <si>
    <t>Empleado 9906</t>
  </si>
  <si>
    <t>E1232</t>
  </si>
  <si>
    <t>Empleado 1950</t>
  </si>
  <si>
    <t>E1233</t>
  </si>
  <si>
    <t>Empleado 6914</t>
  </si>
  <si>
    <t>E1234</t>
  </si>
  <si>
    <t>Empleado 9944</t>
  </si>
  <si>
    <t>E1235</t>
  </si>
  <si>
    <t>Empleado 3354</t>
  </si>
  <si>
    <t>E1236</t>
  </si>
  <si>
    <t>Empleado 1385</t>
  </si>
  <si>
    <t>E1237</t>
  </si>
  <si>
    <t>Empleado 8379</t>
  </si>
  <si>
    <t>E1238</t>
  </si>
  <si>
    <t>Empleado 6237</t>
  </si>
  <si>
    <t>E1239</t>
  </si>
  <si>
    <t>Empleado 1053</t>
  </si>
  <si>
    <t>E1240</t>
  </si>
  <si>
    <t>Empleado 3207</t>
  </si>
  <si>
    <t>E1241</t>
  </si>
  <si>
    <t>Empleado 7223</t>
  </si>
  <si>
    <t>E1242</t>
  </si>
  <si>
    <t>Empleado 1833</t>
  </si>
  <si>
    <t>E1243</t>
  </si>
  <si>
    <t>Empleado 2455</t>
  </si>
  <si>
    <t>E1244</t>
  </si>
  <si>
    <t>Empleado 6240</t>
  </si>
  <si>
    <t>E1245</t>
  </si>
  <si>
    <t>Empleado 8709</t>
  </si>
  <si>
    <t>E1246</t>
  </si>
  <si>
    <t>Empleado 7890</t>
  </si>
  <si>
    <t>E1247</t>
  </si>
  <si>
    <t>Empleado 1685</t>
  </si>
  <si>
    <t>E1248</t>
  </si>
  <si>
    <t>Empleado 2108</t>
  </si>
  <si>
    <t>E1249</t>
  </si>
  <si>
    <t>Empleado 2972</t>
  </si>
  <si>
    <t>E1250</t>
  </si>
  <si>
    <t>Empleado 1290</t>
  </si>
  <si>
    <t>E1251</t>
  </si>
  <si>
    <t>Empleado 3124</t>
  </si>
  <si>
    <t>E1252</t>
  </si>
  <si>
    <t>Empleado 8936</t>
  </si>
  <si>
    <t>E1253</t>
  </si>
  <si>
    <t>Empleado 7482</t>
  </si>
  <si>
    <t>E1254</t>
  </si>
  <si>
    <t>Empleado 6873</t>
  </si>
  <si>
    <t>E1255</t>
  </si>
  <si>
    <t>Empleado 2925</t>
  </si>
  <si>
    <t>E1256</t>
  </si>
  <si>
    <t>Empleado 1921</t>
  </si>
  <si>
    <t>E1257</t>
  </si>
  <si>
    <t>Empleado 3620</t>
  </si>
  <si>
    <t>E1258</t>
  </si>
  <si>
    <t>Empleado 6293</t>
  </si>
  <si>
    <t>E1259</t>
  </si>
  <si>
    <t>Empleado 7167</t>
  </si>
  <si>
    <t>E1260</t>
  </si>
  <si>
    <t>Empleado 4872</t>
  </si>
  <si>
    <t>E1261</t>
  </si>
  <si>
    <t>Empleado 1406</t>
  </si>
  <si>
    <t>E1262</t>
  </si>
  <si>
    <t>Empleado 3609</t>
  </si>
  <si>
    <t>E1263</t>
  </si>
  <si>
    <t>Empleado 3970</t>
  </si>
  <si>
    <t>E1264</t>
  </si>
  <si>
    <t>Empleado 4881</t>
  </si>
  <si>
    <t>E1265</t>
  </si>
  <si>
    <t>Empleado 3621</t>
  </si>
  <si>
    <t>E1266</t>
  </si>
  <si>
    <t>Empleado 3794</t>
  </si>
  <si>
    <t>E1267</t>
  </si>
  <si>
    <t>Empleado 3132</t>
  </si>
  <si>
    <t>E1268</t>
  </si>
  <si>
    <t>Empleado 5769</t>
  </si>
  <si>
    <t>E1269</t>
  </si>
  <si>
    <t>Empleado 8395</t>
  </si>
  <si>
    <t>E1270</t>
  </si>
  <si>
    <t>Empleado 2788</t>
  </si>
  <si>
    <t>E1271</t>
  </si>
  <si>
    <t>Empleado 7648</t>
  </si>
  <si>
    <t>E1272</t>
  </si>
  <si>
    <t>Empleado 2037</t>
  </si>
  <si>
    <t>E1273</t>
  </si>
  <si>
    <t>Empleado 5172</t>
  </si>
  <si>
    <t>E1274</t>
  </si>
  <si>
    <t>Empleado 8255</t>
  </si>
  <si>
    <t>E1275</t>
  </si>
  <si>
    <t>Empleado 1816</t>
  </si>
  <si>
    <t>E1276</t>
  </si>
  <si>
    <t>Empleado 1590</t>
  </si>
  <si>
    <t>E1277</t>
  </si>
  <si>
    <t>Empleado 2701</t>
  </si>
  <si>
    <t>E1278</t>
  </si>
  <si>
    <t>Empleado 9846</t>
  </si>
  <si>
    <t>E1279</t>
  </si>
  <si>
    <t>Empleado 8284</t>
  </si>
  <si>
    <t>E1280</t>
  </si>
  <si>
    <t>Empleado 8399</t>
  </si>
  <si>
    <t>E1281</t>
  </si>
  <si>
    <t>Empleado 9750</t>
  </si>
  <si>
    <t>E1282</t>
  </si>
  <si>
    <t>Empleado 9647</t>
  </si>
  <si>
    <t>E1283</t>
  </si>
  <si>
    <t>Empleado 1772</t>
  </si>
  <si>
    <t>E1284</t>
  </si>
  <si>
    <t>Empleado 4205</t>
  </si>
  <si>
    <t>E1285</t>
  </si>
  <si>
    <t>Empleado 7633</t>
  </si>
  <si>
    <t>E1286</t>
  </si>
  <si>
    <t>Empleado 7841</t>
  </si>
  <si>
    <t>E1287</t>
  </si>
  <si>
    <t>Empleado 9751</t>
  </si>
  <si>
    <t>E1288</t>
  </si>
  <si>
    <t>Empleado 8548</t>
  </si>
  <si>
    <t>E1289</t>
  </si>
  <si>
    <t>Empleado 6763</t>
  </si>
  <si>
    <t>E1290</t>
  </si>
  <si>
    <t>Empleado 8971</t>
  </si>
  <si>
    <t>E1291</t>
  </si>
  <si>
    <t>Empleado 5298</t>
  </si>
  <si>
    <t>E1292</t>
  </si>
  <si>
    <t>Empleado 2642</t>
  </si>
  <si>
    <t>E1293</t>
  </si>
  <si>
    <t>Empleado 8676</t>
  </si>
  <si>
    <t>E1294</t>
  </si>
  <si>
    <t>Empleado 8055</t>
  </si>
  <si>
    <t>E1295</t>
  </si>
  <si>
    <t>Empleado 1052</t>
  </si>
  <si>
    <t>E1296</t>
  </si>
  <si>
    <t>Empleado 7408</t>
  </si>
  <si>
    <t>E1297</t>
  </si>
  <si>
    <t>Empleado 5101</t>
  </si>
  <si>
    <t>E1298</t>
  </si>
  <si>
    <t>Empleado 7340</t>
  </si>
  <si>
    <t>E1299</t>
  </si>
  <si>
    <t>Empleado 6676</t>
  </si>
  <si>
    <t>E1300</t>
  </si>
  <si>
    <t>Empleado 7865</t>
  </si>
  <si>
    <t>E1301</t>
  </si>
  <si>
    <t>Empleado 7625</t>
  </si>
  <si>
    <t>E1302</t>
  </si>
  <si>
    <t>Empleado 7424</t>
  </si>
  <si>
    <t>E1303</t>
  </si>
  <si>
    <t>Empleado 2248</t>
  </si>
  <si>
    <t>E1304</t>
  </si>
  <si>
    <t>Empleado 6088</t>
  </si>
  <si>
    <t>E1305</t>
  </si>
  <si>
    <t>Empleado 1720</t>
  </si>
  <si>
    <t>E1306</t>
  </si>
  <si>
    <t>Empleado 5168</t>
  </si>
  <si>
    <t>E1307</t>
  </si>
  <si>
    <t>Empleado 8245</t>
  </si>
  <si>
    <t>E1308</t>
  </si>
  <si>
    <t>Empleado 3152</t>
  </si>
  <si>
    <t>E1309</t>
  </si>
  <si>
    <t>Empleado 5133</t>
  </si>
  <si>
    <t>E1310</t>
  </si>
  <si>
    <t>Empleado 9696</t>
  </si>
  <si>
    <t>E1311</t>
  </si>
  <si>
    <t>Empleado 7882</t>
  </si>
  <si>
    <t>E1312</t>
  </si>
  <si>
    <t>Empleado 4229</t>
  </si>
  <si>
    <t>E1313</t>
  </si>
  <si>
    <t>Empleado 5654</t>
  </si>
  <si>
    <t>E1314</t>
  </si>
  <si>
    <t>Empleado 3114</t>
  </si>
  <si>
    <t>E1315</t>
  </si>
  <si>
    <t>Empleado 2304</t>
  </si>
  <si>
    <t>E1316</t>
  </si>
  <si>
    <t>Empleado 2303</t>
  </si>
  <si>
    <t>E1317</t>
  </si>
  <si>
    <t>Empleado 2758</t>
  </si>
  <si>
    <t>E1318</t>
  </si>
  <si>
    <t>Empleado 6724</t>
  </si>
  <si>
    <t>E1319</t>
  </si>
  <si>
    <t>Empleado 9008</t>
  </si>
  <si>
    <t>E1320</t>
  </si>
  <si>
    <t>Empleado 4842</t>
  </si>
  <si>
    <t>E1321</t>
  </si>
  <si>
    <t>Empleado 5117</t>
  </si>
  <si>
    <t>E1322</t>
  </si>
  <si>
    <t>Empleado 5689</t>
  </si>
  <si>
    <t>E1323</t>
  </si>
  <si>
    <t>Empleado 5008</t>
  </si>
  <si>
    <t>E1324</t>
  </si>
  <si>
    <t>Empleado 7057</t>
  </si>
  <si>
    <t>E1325</t>
  </si>
  <si>
    <t>Empleado 5969</t>
  </si>
  <si>
    <t>E1326</t>
  </si>
  <si>
    <t>Empleado 6057</t>
  </si>
  <si>
    <t>E1327</t>
  </si>
  <si>
    <t>Empleado 4436</t>
  </si>
  <si>
    <t>E1328</t>
  </si>
  <si>
    <t>Empleado 1487</t>
  </si>
  <si>
    <t>E1329</t>
  </si>
  <si>
    <t>Empleado 4238</t>
  </si>
  <si>
    <t>E1330</t>
  </si>
  <si>
    <t>Empleado 5254</t>
  </si>
  <si>
    <t>E1331</t>
  </si>
  <si>
    <t>Empleado 1661</t>
  </si>
  <si>
    <t>E1332</t>
  </si>
  <si>
    <t>Empleado 6139</t>
  </si>
  <si>
    <t>E1333</t>
  </si>
  <si>
    <t>Empleado 9899</t>
  </si>
  <si>
    <t>E1334</t>
  </si>
  <si>
    <t>Empleado 8403</t>
  </si>
  <si>
    <t>E1335</t>
  </si>
  <si>
    <t>Empleado 1293</t>
  </si>
  <si>
    <t>E1336</t>
  </si>
  <si>
    <t>Empleado 5227</t>
  </si>
  <si>
    <t>E1337</t>
  </si>
  <si>
    <t>Empleado 2740</t>
  </si>
  <si>
    <t>E1338</t>
  </si>
  <si>
    <t>Empleado 6498</t>
  </si>
  <si>
    <t>E1339</t>
  </si>
  <si>
    <t>Empleado 3015</t>
  </si>
  <si>
    <t>E1340</t>
  </si>
  <si>
    <t>Empleado 7644</t>
  </si>
  <si>
    <t>E1341</t>
  </si>
  <si>
    <t>Empleado 3940</t>
  </si>
  <si>
    <t>E1342</t>
  </si>
  <si>
    <t>Empleado 5519</t>
  </si>
  <si>
    <t>E1343</t>
  </si>
  <si>
    <t>Empleado 9907</t>
  </si>
  <si>
    <t>E1344</t>
  </si>
  <si>
    <t>Empleado 5566</t>
  </si>
  <si>
    <t>E1345</t>
  </si>
  <si>
    <t>Empleado 3829</t>
  </si>
  <si>
    <t>E1346</t>
  </si>
  <si>
    <t>Empleado 9097</t>
  </si>
  <si>
    <t>E1347</t>
  </si>
  <si>
    <t>Empleado 8762</t>
  </si>
  <si>
    <t>E1348</t>
  </si>
  <si>
    <t>Empleado 9836</t>
  </si>
  <si>
    <t>E1349</t>
  </si>
  <si>
    <t>Empleado 9541</t>
  </si>
  <si>
    <t>E1350</t>
  </si>
  <si>
    <t>Empleado 2206</t>
  </si>
  <si>
    <t>E1351</t>
  </si>
  <si>
    <t>Empleado 1224</t>
  </si>
  <si>
    <t>E1352</t>
  </si>
  <si>
    <t>Empleado 1114</t>
  </si>
  <si>
    <t>E1353</t>
  </si>
  <si>
    <t>Empleado 8260</t>
  </si>
  <si>
    <t>E1354</t>
  </si>
  <si>
    <t>Empleado 3092</t>
  </si>
  <si>
    <t>E1355</t>
  </si>
  <si>
    <t>Empleado 5591</t>
  </si>
  <si>
    <t>E1356</t>
  </si>
  <si>
    <t>Empleado 9442</t>
  </si>
  <si>
    <t>E1357</t>
  </si>
  <si>
    <t>E1358</t>
  </si>
  <si>
    <t>Empleado 4586</t>
  </si>
  <si>
    <t>E1359</t>
  </si>
  <si>
    <t>Empleado 2726</t>
  </si>
  <si>
    <t>E1360</t>
  </si>
  <si>
    <t>Empleado 6401</t>
  </si>
  <si>
    <t>E1361</t>
  </si>
  <si>
    <t>Empleado 9057</t>
  </si>
  <si>
    <t>E1362</t>
  </si>
  <si>
    <t>Empleado 1021</t>
  </si>
  <si>
    <t>E1363</t>
  </si>
  <si>
    <t>Empleado 2895</t>
  </si>
  <si>
    <t>E1364</t>
  </si>
  <si>
    <t>Empleado 2030</t>
  </si>
  <si>
    <t>E1365</t>
  </si>
  <si>
    <t>Empleado 5426</t>
  </si>
  <si>
    <t>E1366</t>
  </si>
  <si>
    <t>Empleado 6378</t>
  </si>
  <si>
    <t>E1367</t>
  </si>
  <si>
    <t>Empleado 7042</t>
  </si>
  <si>
    <t>E1368</t>
  </si>
  <si>
    <t>Empleado 2820</t>
  </si>
  <si>
    <t>E1369</t>
  </si>
  <si>
    <t>Empleado 5205</t>
  </si>
  <si>
    <t>E1370</t>
  </si>
  <si>
    <t>Empleado 5564</t>
  </si>
  <si>
    <t>E1371</t>
  </si>
  <si>
    <t>Empleado 7900</t>
  </si>
  <si>
    <t>E1372</t>
  </si>
  <si>
    <t>Empleado 8846</t>
  </si>
  <si>
    <t>E1373</t>
  </si>
  <si>
    <t>Empleado 7627</t>
  </si>
  <si>
    <t>E1374</t>
  </si>
  <si>
    <t>Empleado 3149</t>
  </si>
  <si>
    <t>E1375</t>
  </si>
  <si>
    <t>Empleado 3818</t>
  </si>
  <si>
    <t>E1376</t>
  </si>
  <si>
    <t>Empleado 8103</t>
  </si>
  <si>
    <t>E1377</t>
  </si>
  <si>
    <t>Empleado 4839</t>
  </si>
  <si>
    <t>E1378</t>
  </si>
  <si>
    <t>Empleado 7192</t>
  </si>
  <si>
    <t>E1379</t>
  </si>
  <si>
    <t>Empleado 9731</t>
  </si>
  <si>
    <t>E1380</t>
  </si>
  <si>
    <t>Empleado 1465</t>
  </si>
  <si>
    <t>E1381</t>
  </si>
  <si>
    <t>Empleado 9781</t>
  </si>
  <si>
    <t>E1382</t>
  </si>
  <si>
    <t>Empleado 7392</t>
  </si>
  <si>
    <t>E1383</t>
  </si>
  <si>
    <t>Empleado 5349</t>
  </si>
  <si>
    <t>E1384</t>
  </si>
  <si>
    <t>Empleado 3106</t>
  </si>
  <si>
    <t>E1385</t>
  </si>
  <si>
    <t>Empleado 3575</t>
  </si>
  <si>
    <t>E1386</t>
  </si>
  <si>
    <t>Empleado 3349</t>
  </si>
  <si>
    <t>E1387</t>
  </si>
  <si>
    <t>Empleado 5991</t>
  </si>
  <si>
    <t>E1388</t>
  </si>
  <si>
    <t>Empleado 7266</t>
  </si>
  <si>
    <t>E1389</t>
  </si>
  <si>
    <t>Empleado 4627</t>
  </si>
  <si>
    <t>E1390</t>
  </si>
  <si>
    <t>Empleado 5029</t>
  </si>
  <si>
    <t>E1391</t>
  </si>
  <si>
    <t>Empleado 8049</t>
  </si>
  <si>
    <t>E1392</t>
  </si>
  <si>
    <t>Empleado 3128</t>
  </si>
  <si>
    <t>E1393</t>
  </si>
  <si>
    <t>Empleado 1494</t>
  </si>
  <si>
    <t>E1394</t>
  </si>
  <si>
    <t>Empleado 2582</t>
  </si>
  <si>
    <t>E1395</t>
  </si>
  <si>
    <t>Empleado 5124</t>
  </si>
  <si>
    <t>E1396</t>
  </si>
  <si>
    <t>Empleado 5561</t>
  </si>
  <si>
    <t>E1397</t>
  </si>
  <si>
    <t>Empleado 2742</t>
  </si>
  <si>
    <t>E1398</t>
  </si>
  <si>
    <t>Empleado 6927</t>
  </si>
  <si>
    <t>E1399</t>
  </si>
  <si>
    <t>Empleado 2560</t>
  </si>
  <si>
    <t>E1400</t>
  </si>
  <si>
    <t>Empleado 5762</t>
  </si>
  <si>
    <t>E1401</t>
  </si>
  <si>
    <t>Empleado 3505</t>
  </si>
  <si>
    <t>E1402</t>
  </si>
  <si>
    <t>Empleado 8354</t>
  </si>
  <si>
    <t>E1403</t>
  </si>
  <si>
    <t>Empleado 3056</t>
  </si>
  <si>
    <t>E1404</t>
  </si>
  <si>
    <t>Empleado 1852</t>
  </si>
  <si>
    <t>E1405</t>
  </si>
  <si>
    <t>Empleado 6610</t>
  </si>
  <si>
    <t>E1406</t>
  </si>
  <si>
    <t>Empleado 9801</t>
  </si>
  <si>
    <t>E1407</t>
  </si>
  <si>
    <t>Empleado 6020</t>
  </si>
  <si>
    <t>E1408</t>
  </si>
  <si>
    <t>Empleado 3088</t>
  </si>
  <si>
    <t>E1409</t>
  </si>
  <si>
    <t>Empleado 2843</t>
  </si>
  <si>
    <t>E1410</t>
  </si>
  <si>
    <t>Empleado 7420</t>
  </si>
  <si>
    <t>E1411</t>
  </si>
  <si>
    <t>Empleado 3568</t>
  </si>
  <si>
    <t>E1412</t>
  </si>
  <si>
    <t>Empleado 3789</t>
  </si>
  <si>
    <t>E1413</t>
  </si>
  <si>
    <t>Empleado 5096</t>
  </si>
  <si>
    <t>E1414</t>
  </si>
  <si>
    <t>Empleado 9745</t>
  </si>
  <si>
    <t>E1415</t>
  </si>
  <si>
    <t>E1416</t>
  </si>
  <si>
    <t>Empleado 2774</t>
  </si>
  <si>
    <t>E1417</t>
  </si>
  <si>
    <t>E1418</t>
  </si>
  <si>
    <t>Empleado 1668</t>
  </si>
  <si>
    <t>E1419</t>
  </si>
  <si>
    <t>Empleado 6096</t>
  </si>
  <si>
    <t>E1420</t>
  </si>
  <si>
    <t>Empleado 3413</t>
  </si>
  <si>
    <t>E1421</t>
  </si>
  <si>
    <t>Empleado 1078</t>
  </si>
  <si>
    <t>E1422</t>
  </si>
  <si>
    <t>Empleado 1399</t>
  </si>
  <si>
    <t>E1423</t>
  </si>
  <si>
    <t>Empleado 9039</t>
  </si>
  <si>
    <t>E1424</t>
  </si>
  <si>
    <t>Empleado 3122</t>
  </si>
  <si>
    <t>E1425</t>
  </si>
  <si>
    <t>Empleado 7011</t>
  </si>
  <si>
    <t>E1426</t>
  </si>
  <si>
    <t>Empleado 9507</t>
  </si>
  <si>
    <t>E1427</t>
  </si>
  <si>
    <t>Empleado 6122</t>
  </si>
  <si>
    <t>E1428</t>
  </si>
  <si>
    <t>Empleado 3755</t>
  </si>
  <si>
    <t>E1429</t>
  </si>
  <si>
    <t>Empleado 7250</t>
  </si>
  <si>
    <t>E1430</t>
  </si>
  <si>
    <t>E1431</t>
  </si>
  <si>
    <t>Empleado 8512</t>
  </si>
  <si>
    <t>E1432</t>
  </si>
  <si>
    <t>Empleado 9214</t>
  </si>
  <si>
    <t>E1433</t>
  </si>
  <si>
    <t>Empleado 4039</t>
  </si>
  <si>
    <t>E1434</t>
  </si>
  <si>
    <t>Empleado 4087</t>
  </si>
  <si>
    <t>E1435</t>
  </si>
  <si>
    <t>Empleado 7958</t>
  </si>
  <si>
    <t>E1436</t>
  </si>
  <si>
    <t>Empleado 5000</t>
  </si>
  <si>
    <t>E1437</t>
  </si>
  <si>
    <t>Empleado 9169</t>
  </si>
  <si>
    <t>E1438</t>
  </si>
  <si>
    <t>Empleado 8227</t>
  </si>
  <si>
    <t>E1439</t>
  </si>
  <si>
    <t>Empleado 3141</t>
  </si>
  <si>
    <t>E1440</t>
  </si>
  <si>
    <t>Empleado 9079</t>
  </si>
  <si>
    <t>E1441</t>
  </si>
  <si>
    <t>Empleado 4786</t>
  </si>
  <si>
    <t>E1442</t>
  </si>
  <si>
    <t>Empleado 7410</t>
  </si>
  <si>
    <t>E1443</t>
  </si>
  <si>
    <t>Empleado 2154</t>
  </si>
  <si>
    <t>E1444</t>
  </si>
  <si>
    <t>Empleado 9660</t>
  </si>
  <si>
    <t>E1445</t>
  </si>
  <si>
    <t>Empleado 2457</t>
  </si>
  <si>
    <t>E1446</t>
  </si>
  <si>
    <t>Empleado 6606</t>
  </si>
  <si>
    <t>E1447</t>
  </si>
  <si>
    <t>Empleado 2210</t>
  </si>
  <si>
    <t>E1448</t>
  </si>
  <si>
    <t>Empleado 5601</t>
  </si>
  <si>
    <t>E1449</t>
  </si>
  <si>
    <t>Empleado 6599</t>
  </si>
  <si>
    <t>E1450</t>
  </si>
  <si>
    <t>Empleado 4293</t>
  </si>
  <si>
    <t>E1451</t>
  </si>
  <si>
    <t>Empleado 5648</t>
  </si>
  <si>
    <t>E1452</t>
  </si>
  <si>
    <t>Empleado 7906</t>
  </si>
  <si>
    <t>E1453</t>
  </si>
  <si>
    <t>Empleado 9114</t>
  </si>
  <si>
    <t>E1454</t>
  </si>
  <si>
    <t>Empleado 2724</t>
  </si>
  <si>
    <t>E1455</t>
  </si>
  <si>
    <t>Empleado 3382</t>
  </si>
  <si>
    <t>E1456</t>
  </si>
  <si>
    <t>Empleado 3838</t>
  </si>
  <si>
    <t>E1457</t>
  </si>
  <si>
    <t>Empleado 5621</t>
  </si>
  <si>
    <t>E1458</t>
  </si>
  <si>
    <t>Empleado 6542</t>
  </si>
  <si>
    <t>E1459</t>
  </si>
  <si>
    <t>Empleado 2499</t>
  </si>
  <si>
    <t>E1460</t>
  </si>
  <si>
    <t>Empleado 4119</t>
  </si>
  <si>
    <t>E1461</t>
  </si>
  <si>
    <t>Empleado 2415</t>
  </si>
  <si>
    <t>E1462</t>
  </si>
  <si>
    <t>Empleado 7026</t>
  </si>
  <si>
    <t>E1463</t>
  </si>
  <si>
    <t>Empleado 8525</t>
  </si>
  <si>
    <t>E1464</t>
  </si>
  <si>
    <t>Empleado 7894</t>
  </si>
  <si>
    <t>E1465</t>
  </si>
  <si>
    <t>Empleado 9464</t>
  </si>
  <si>
    <t>E1466</t>
  </si>
  <si>
    <t>Empleado 5881</t>
  </si>
  <si>
    <t>E1467</t>
  </si>
  <si>
    <t>Empleado 5560</t>
  </si>
  <si>
    <t>E1468</t>
  </si>
  <si>
    <t>Empleado 8099</t>
  </si>
  <si>
    <t>E1469</t>
  </si>
  <si>
    <t>Empleado 7008</t>
  </si>
  <si>
    <t>E1470</t>
  </si>
  <si>
    <t>Empleado 8669</t>
  </si>
  <si>
    <t>E1471</t>
  </si>
  <si>
    <t>Empleado 7676</t>
  </si>
  <si>
    <t>E1472</t>
  </si>
  <si>
    <t>Empleado 9035</t>
  </si>
  <si>
    <t>E1473</t>
  </si>
  <si>
    <t>Empleado 3782</t>
  </si>
  <si>
    <t>E1474</t>
  </si>
  <si>
    <t>Empleado 3941</t>
  </si>
  <si>
    <t>E1475</t>
  </si>
  <si>
    <t>Empleado 7697</t>
  </si>
  <si>
    <t>E1476</t>
  </si>
  <si>
    <t>Empleado 4929</t>
  </si>
  <si>
    <t>E1477</t>
  </si>
  <si>
    <t>Empleado 4439</t>
  </si>
  <si>
    <t>E1478</t>
  </si>
  <si>
    <t>E1479</t>
  </si>
  <si>
    <t>E1480</t>
  </si>
  <si>
    <t>Empleado 6153</t>
  </si>
  <si>
    <t>E1481</t>
  </si>
  <si>
    <t>Empleado 2287</t>
  </si>
  <si>
    <t>E1482</t>
  </si>
  <si>
    <t>Empleado 1525</t>
  </si>
  <si>
    <t>E1483</t>
  </si>
  <si>
    <t>Empleado 5683</t>
  </si>
  <si>
    <t>E1484</t>
  </si>
  <si>
    <t>Empleado 5137</t>
  </si>
  <si>
    <t>E1485</t>
  </si>
  <si>
    <t>Empleado 3189</t>
  </si>
  <si>
    <t>E1486</t>
  </si>
  <si>
    <t>Empleado 3721</t>
  </si>
  <si>
    <t>E1487</t>
  </si>
  <si>
    <t>Empleado 8313</t>
  </si>
  <si>
    <t>E1488</t>
  </si>
  <si>
    <t>Empleado 2379</t>
  </si>
  <si>
    <t>E1489</t>
  </si>
  <si>
    <t>Empleado 5478</t>
  </si>
  <si>
    <t>E1490</t>
  </si>
  <si>
    <t>Empleado 5033</t>
  </si>
  <si>
    <t>E1491</t>
  </si>
  <si>
    <t>Empleado 8365</t>
  </si>
  <si>
    <t>E1492</t>
  </si>
  <si>
    <t>Empleado 8298</t>
  </si>
  <si>
    <t>E1493</t>
  </si>
  <si>
    <t>Empleado 9070</t>
  </si>
  <si>
    <t>E1494</t>
  </si>
  <si>
    <t>Empleado 2430</t>
  </si>
  <si>
    <t>E1495</t>
  </si>
  <si>
    <t>Empleado 6474</t>
  </si>
  <si>
    <t>E1496</t>
  </si>
  <si>
    <t>Empleado 5116</t>
  </si>
  <si>
    <t>E1497</t>
  </si>
  <si>
    <t>Empleado 6803</t>
  </si>
  <si>
    <t>E1498</t>
  </si>
  <si>
    <t>Empleado 2575</t>
  </si>
  <si>
    <t>E1499</t>
  </si>
  <si>
    <t>Empleado 6241</t>
  </si>
  <si>
    <t>E1500</t>
  </si>
  <si>
    <t>Empleado 4644</t>
  </si>
  <si>
    <t>SI ANIDADO (hoja anterior col L):
=SI( Y(F2&gt;=0,9, G2&gt;=85), "Excelente",
   SI( Y(F2&gt;=0,8, G2&gt;=70), "Bueno",
      "Revisar"))</t>
  </si>
  <si>
    <t>BASE DE DATOS – MISMOS 1 500 EMPLEADOS</t>
  </si>
  <si>
    <t>SI.CONJUNTO
(resultado)</t>
  </si>
  <si>
    <t>Bono $
(si Excelente/Bueno)</t>
  </si>
  <si>
    <t>REFERENCIAS MIXTAS  –  Lista de Precios con Descuentos por Volumen</t>
  </si>
  <si>
    <t>CASO: El área comercial de Papeleria Alvarez maneja una tabla donde el precio final depende del precio base del producto y del descuento según cuántas unidades compra el cliente. Con =$B5*(1-C$2) una sola fórmula llena TODA la tabla sin cambiar nada.</t>
  </si>
  <si>
    <t>CASO: RRHH necesita clasificar empleados según asistencia y calificación. Usamos SI simple, SI con Y, SI con O y SI anidado, cada columna demuestra una variante.</t>
  </si>
  <si>
    <t>BASE DE DATOS: EMPLEADOS (1500 empleados)</t>
  </si>
  <si>
    <t>FUNCIONES SI · Y · O  –  Evaluación de Empleados RRHH (1500 empleados)</t>
  </si>
  <si>
    <t>MISMO CASO: Con SI.CONJUNTO (IFS en inglés) escribimos UNA sola fórmula con pares condición, resultado, sin anidar. Compara col H de esta hoja con col L de la hoja anterior: resultado idéntico.</t>
  </si>
  <si>
    <t>% Descuento:</t>
  </si>
  <si>
    <t>SI.CONJUNTO  –  Misma Clasificación de Empleados (1 500 registros)</t>
  </si>
  <si>
    <t>SI ANIDADO  vs  SI.CONJUNTO  – diferencia clave</t>
  </si>
  <si>
    <t xml:space="preserve"> REGLAS APLICADAS  (una fórmula por columna)</t>
  </si>
  <si>
    <t>SI.CONJUNTO / IFS (esta hoja col H):
=SI.CONJUNTO(
   Y(F12&gt;=0,9; G12&gt;=85), "Excelente",
   Y(F12&gt;=0,8; G12&gt;=70), "Bueno",
   O(F12&lt;0,6;  G12&lt;50),  "Alerta",
   VERDADERO,           "Revisar")
Sin anidamiento: pares condicion-resultado.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</si>
</sst>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10"/>
      <color rgb="FF1F3864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sz val="10"/>
      <color rgb="FF1F3864"/>
      <name val="Arial"/>
      <charset val="1"/>
    </font>
    <font>
      <b/>
      <sz val="10"/>
      <name val="Arial"/>
      <charset val="1"/>
    </font>
    <font>
      <sz val="9"/>
      <name val="Courier New"/>
      <charset val="1"/>
    </font>
    <font>
      <b/>
      <sz val="10"/>
      <color rgb="FFC00000"/>
      <name val="Arial"/>
      <charset val="1"/>
    </font>
    <font>
      <sz val="9"/>
      <color rgb="FF1F3864"/>
      <name val="Courier New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333300"/>
      </patternFill>
    </fill>
    <fill>
      <patternFill patternType="solid">
        <fgColor rgb="FFFF8C00"/>
        <bgColor rgb="FFFF6600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5F5F5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5F5F5"/>
      </patternFill>
    </fill>
    <fill>
      <patternFill patternType="solid">
        <fgColor rgb="FF7030A0"/>
        <bgColor rgb="FF993366"/>
      </patternFill>
    </fill>
    <fill>
      <patternFill patternType="solid">
        <fgColor rgb="FFEAE0F0"/>
        <bgColor rgb="FFDEEAF1"/>
      </patternFill>
    </fill>
    <fill>
      <patternFill patternType="solid">
        <fgColor rgb="FFF5F5F5"/>
        <bgColor rgb="FFF2F2F2"/>
      </patternFill>
    </fill>
    <fill>
      <patternFill patternType="solid">
        <fgColor rgb="FFFCE4D6"/>
        <bgColor rgb="FFFFF2CC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7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/>
    </xf>
    <xf numFmtId="9" fontId="6" fillId="8" borderId="3" xfId="0" applyNumberFormat="1" applyFont="1" applyFill="1" applyBorder="1" applyAlignment="1">
      <alignment horizontal="center"/>
    </xf>
    <xf numFmtId="0" fontId="5" fillId="9" borderId="3" xfId="0" applyFont="1" applyFill="1" applyBorder="1" applyAlignment="1">
      <alignment horizontal="left" vertical="center"/>
    </xf>
    <xf numFmtId="164" fontId="7" fillId="9" borderId="3" xfId="0" applyNumberFormat="1" applyFont="1" applyFill="1" applyBorder="1" applyAlignment="1">
      <alignment horizontal="right"/>
    </xf>
    <xf numFmtId="164" fontId="8" fillId="10" borderId="3" xfId="0" applyNumberFormat="1" applyFont="1" applyFill="1" applyBorder="1" applyAlignment="1">
      <alignment horizontal="right"/>
    </xf>
    <xf numFmtId="0" fontId="5" fillId="11" borderId="3" xfId="0" applyFont="1" applyFill="1" applyBorder="1" applyAlignment="1">
      <alignment horizontal="left" vertical="center"/>
    </xf>
    <xf numFmtId="164" fontId="7" fillId="11" borderId="3" xfId="0" applyNumberFormat="1" applyFont="1" applyFill="1" applyBorder="1" applyAlignment="1">
      <alignment horizontal="right"/>
    </xf>
    <xf numFmtId="0" fontId="4" fillId="12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10" fillId="14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left" vertical="center" wrapText="1"/>
    </xf>
    <xf numFmtId="0" fontId="9" fillId="15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9" fontId="7" fillId="9" borderId="3" xfId="0" applyNumberFormat="1" applyFont="1" applyFill="1" applyBorder="1" applyAlignment="1">
      <alignment horizontal="center"/>
    </xf>
    <xf numFmtId="165" fontId="5" fillId="9" borderId="3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 vertical="center"/>
    </xf>
    <xf numFmtId="9" fontId="7" fillId="11" borderId="3" xfId="0" applyNumberFormat="1" applyFont="1" applyFill="1" applyBorder="1" applyAlignment="1">
      <alignment horizontal="center"/>
    </xf>
    <xf numFmtId="165" fontId="5" fillId="11" borderId="3" xfId="0" applyNumberFormat="1" applyFont="1" applyFill="1" applyBorder="1" applyAlignment="1">
      <alignment horizontal="center" vertical="center"/>
    </xf>
    <xf numFmtId="164" fontId="7" fillId="10" borderId="3" xfId="0" applyNumberFormat="1" applyFont="1" applyFill="1" applyBorder="1" applyAlignment="1">
      <alignment horizontal="right"/>
    </xf>
    <xf numFmtId="0" fontId="3" fillId="7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left" vertical="center" wrapText="1"/>
    </xf>
    <xf numFmtId="0" fontId="12" fillId="10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E0F0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5F5F5"/>
      <rgbColor rgb="FF99CCFF"/>
      <rgbColor rgb="FFFF99CC"/>
      <rgbColor rgb="FFCC99FF"/>
      <rgbColor rgb="FFFCE4D6"/>
      <rgbColor rgb="FF2E75B6"/>
      <rgbColor rgb="FF33CCCC"/>
      <rgbColor rgb="FF99CC00"/>
      <rgbColor rgb="FFF4B942"/>
      <rgbColor rgb="FFFF8C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G27"/>
  <sheetViews>
    <sheetView showGridLines="0" zoomScaleNormal="100" workbookViewId="0">
      <selection activeCell="E7" sqref="E7"/>
    </sheetView>
  </sheetViews>
  <sheetFormatPr baseColWidth="10" defaultColWidth="8.6640625" defaultRowHeight="14.4" x14ac:dyDescent="0.3"/>
  <cols>
    <col min="1" max="1" width="22" customWidth="1"/>
    <col min="2" max="2" width="14" customWidth="1"/>
    <col min="3" max="3" width="21.5546875" customWidth="1"/>
    <col min="4" max="7" width="13" customWidth="1"/>
  </cols>
  <sheetData>
    <row r="1" spans="1:7" ht="21.75" customHeight="1" x14ac:dyDescent="0.3">
      <c r="A1" s="30" t="s">
        <v>3071</v>
      </c>
      <c r="B1" s="30"/>
      <c r="C1" s="30"/>
      <c r="D1" s="30"/>
      <c r="E1" s="30"/>
      <c r="F1" s="30"/>
      <c r="G1" s="30"/>
    </row>
    <row r="2" spans="1:7" ht="68.400000000000006" customHeight="1" x14ac:dyDescent="0.3">
      <c r="A2" s="31" t="s">
        <v>3072</v>
      </c>
      <c r="B2" s="31"/>
      <c r="C2" s="31"/>
      <c r="D2" s="31"/>
      <c r="E2" s="31"/>
      <c r="F2" s="31"/>
      <c r="G2" s="31"/>
    </row>
    <row r="4" spans="1:7" ht="21.75" customHeight="1" x14ac:dyDescent="0.3">
      <c r="A4" s="32" t="s">
        <v>0</v>
      </c>
      <c r="B4" s="32"/>
      <c r="C4" s="32"/>
      <c r="D4" s="32"/>
      <c r="E4" s="32"/>
      <c r="F4" s="32"/>
      <c r="G4" s="32"/>
    </row>
    <row r="5" spans="1:7" ht="34.5" customHeight="1" x14ac:dyDescent="0.3">
      <c r="A5" s="1" t="s">
        <v>1</v>
      </c>
      <c r="B5" s="1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1:7" ht="18" customHeight="1" x14ac:dyDescent="0.3">
      <c r="A6" s="29" t="s">
        <v>3077</v>
      </c>
      <c r="B6" s="3"/>
      <c r="C6" s="4">
        <v>0</v>
      </c>
      <c r="D6" s="4">
        <v>0.1</v>
      </c>
      <c r="E6" s="4">
        <v>0.18</v>
      </c>
      <c r="F6" s="4">
        <v>0.25</v>
      </c>
      <c r="G6" s="4">
        <v>0.32</v>
      </c>
    </row>
    <row r="7" spans="1:7" ht="15" customHeight="1" x14ac:dyDescent="0.3">
      <c r="A7" s="5" t="s">
        <v>8</v>
      </c>
      <c r="B7" s="6">
        <v>12500</v>
      </c>
      <c r="C7" s="7">
        <f>$B7*(1-C$6)</f>
        <v>12500</v>
      </c>
      <c r="D7" s="7">
        <f t="shared" ref="D7:D21" si="0">$B7*(1-C$6)</f>
        <v>12500</v>
      </c>
      <c r="E7" s="7">
        <f t="shared" ref="E7:E21" si="1">$B7*(1-C$6)</f>
        <v>12500</v>
      </c>
      <c r="F7" s="7">
        <f t="shared" ref="F7:F21" si="2">$B7*(1-C$6)</f>
        <v>12500</v>
      </c>
      <c r="G7" s="7">
        <f t="shared" ref="G7:G21" si="3">$B7*(1-C$6)</f>
        <v>12500</v>
      </c>
    </row>
    <row r="8" spans="1:7" ht="15" customHeight="1" x14ac:dyDescent="0.3">
      <c r="A8" s="8" t="s">
        <v>9</v>
      </c>
      <c r="B8" s="9">
        <v>1800</v>
      </c>
      <c r="C8" s="7">
        <f t="shared" ref="C8:C21" si="4">$B8*(1-C$6)</f>
        <v>1800</v>
      </c>
      <c r="D8" s="7">
        <f>$B8*(1-C$6)</f>
        <v>1800</v>
      </c>
      <c r="E8" s="7">
        <f t="shared" si="1"/>
        <v>1800</v>
      </c>
      <c r="F8" s="7">
        <f t="shared" si="2"/>
        <v>1800</v>
      </c>
      <c r="G8" s="7">
        <f t="shared" si="3"/>
        <v>1800</v>
      </c>
    </row>
    <row r="9" spans="1:7" ht="15" customHeight="1" x14ac:dyDescent="0.3">
      <c r="A9" s="5" t="s">
        <v>10</v>
      </c>
      <c r="B9" s="6">
        <v>8900</v>
      </c>
      <c r="C9" s="7">
        <f t="shared" si="4"/>
        <v>8900</v>
      </c>
      <c r="D9" s="7">
        <f t="shared" si="0"/>
        <v>8900</v>
      </c>
      <c r="E9" s="7">
        <f t="shared" si="1"/>
        <v>8900</v>
      </c>
      <c r="F9" s="7">
        <f t="shared" si="2"/>
        <v>8900</v>
      </c>
      <c r="G9" s="7">
        <f t="shared" si="3"/>
        <v>8900</v>
      </c>
    </row>
    <row r="10" spans="1:7" ht="15" customHeight="1" x14ac:dyDescent="0.3">
      <c r="A10" s="8" t="s">
        <v>11</v>
      </c>
      <c r="B10" s="9">
        <v>145000</v>
      </c>
      <c r="C10" s="7">
        <f t="shared" si="4"/>
        <v>145000</v>
      </c>
      <c r="D10" s="7">
        <f>$B10*(1-C$6)</f>
        <v>145000</v>
      </c>
      <c r="E10" s="7">
        <f t="shared" si="1"/>
        <v>145000</v>
      </c>
      <c r="F10" s="7">
        <f t="shared" si="2"/>
        <v>145000</v>
      </c>
      <c r="G10" s="7">
        <f t="shared" si="3"/>
        <v>145000</v>
      </c>
    </row>
    <row r="11" spans="1:7" ht="15" customHeight="1" x14ac:dyDescent="0.3">
      <c r="A11" s="5" t="s">
        <v>12</v>
      </c>
      <c r="B11" s="6">
        <v>6500</v>
      </c>
      <c r="C11" s="7">
        <f t="shared" si="4"/>
        <v>6500</v>
      </c>
      <c r="D11" s="7">
        <f t="shared" si="0"/>
        <v>6500</v>
      </c>
      <c r="E11" s="7">
        <f>$B11*(1-C$6)</f>
        <v>6500</v>
      </c>
      <c r="F11" s="7">
        <f t="shared" si="2"/>
        <v>6500</v>
      </c>
      <c r="G11" s="7">
        <f t="shared" si="3"/>
        <v>6500</v>
      </c>
    </row>
    <row r="12" spans="1:7" ht="15" customHeight="1" x14ac:dyDescent="0.3">
      <c r="A12" s="8" t="s">
        <v>13</v>
      </c>
      <c r="B12" s="9">
        <v>2300</v>
      </c>
      <c r="C12" s="7">
        <f t="shared" si="4"/>
        <v>2300</v>
      </c>
      <c r="D12" s="7">
        <f t="shared" si="0"/>
        <v>2300</v>
      </c>
      <c r="E12" s="7">
        <f t="shared" si="1"/>
        <v>2300</v>
      </c>
      <c r="F12" s="7">
        <f t="shared" si="2"/>
        <v>2300</v>
      </c>
      <c r="G12" s="7">
        <f t="shared" si="3"/>
        <v>2300</v>
      </c>
    </row>
    <row r="13" spans="1:7" ht="15" customHeight="1" x14ac:dyDescent="0.3">
      <c r="A13" s="5" t="s">
        <v>14</v>
      </c>
      <c r="B13" s="6">
        <v>35000</v>
      </c>
      <c r="C13" s="7">
        <f t="shared" si="4"/>
        <v>35000</v>
      </c>
      <c r="D13" s="7">
        <f t="shared" si="0"/>
        <v>35000</v>
      </c>
      <c r="E13" s="7">
        <f t="shared" si="1"/>
        <v>35000</v>
      </c>
      <c r="F13" s="7">
        <f t="shared" si="2"/>
        <v>35000</v>
      </c>
      <c r="G13" s="7">
        <f t="shared" si="3"/>
        <v>35000</v>
      </c>
    </row>
    <row r="14" spans="1:7" ht="15" customHeight="1" x14ac:dyDescent="0.3">
      <c r="A14" s="8" t="s">
        <v>15</v>
      </c>
      <c r="B14" s="9">
        <v>22000</v>
      </c>
      <c r="C14" s="7">
        <f t="shared" si="4"/>
        <v>22000</v>
      </c>
      <c r="D14" s="7">
        <f t="shared" si="0"/>
        <v>22000</v>
      </c>
      <c r="E14" s="7">
        <f t="shared" si="1"/>
        <v>22000</v>
      </c>
      <c r="F14" s="7">
        <f t="shared" si="2"/>
        <v>22000</v>
      </c>
      <c r="G14" s="7">
        <f t="shared" si="3"/>
        <v>22000</v>
      </c>
    </row>
    <row r="15" spans="1:7" ht="15" customHeight="1" x14ac:dyDescent="0.3">
      <c r="A15" s="5" t="s">
        <v>16</v>
      </c>
      <c r="B15" s="6">
        <v>4800</v>
      </c>
      <c r="C15" s="7">
        <f t="shared" si="4"/>
        <v>4800</v>
      </c>
      <c r="D15" s="7">
        <f t="shared" si="0"/>
        <v>4800</v>
      </c>
      <c r="E15" s="7">
        <f t="shared" si="1"/>
        <v>4800</v>
      </c>
      <c r="F15" s="7">
        <f t="shared" si="2"/>
        <v>4800</v>
      </c>
      <c r="G15" s="7">
        <f t="shared" si="3"/>
        <v>4800</v>
      </c>
    </row>
    <row r="16" spans="1:7" ht="15" customHeight="1" x14ac:dyDescent="0.3">
      <c r="A16" s="8" t="s">
        <v>17</v>
      </c>
      <c r="B16" s="9">
        <v>1200</v>
      </c>
      <c r="C16" s="7">
        <f t="shared" si="4"/>
        <v>1200</v>
      </c>
      <c r="D16" s="7">
        <f t="shared" si="0"/>
        <v>1200</v>
      </c>
      <c r="E16" s="7">
        <f t="shared" si="1"/>
        <v>1200</v>
      </c>
      <c r="F16" s="7">
        <f t="shared" si="2"/>
        <v>1200</v>
      </c>
      <c r="G16" s="7">
        <f t="shared" si="3"/>
        <v>1200</v>
      </c>
    </row>
    <row r="17" spans="1:7" ht="15" customHeight="1" x14ac:dyDescent="0.3">
      <c r="A17" s="5" t="s">
        <v>18</v>
      </c>
      <c r="B17" s="6">
        <v>2100</v>
      </c>
      <c r="C17" s="7">
        <f t="shared" si="4"/>
        <v>2100</v>
      </c>
      <c r="D17" s="7">
        <f t="shared" si="0"/>
        <v>2100</v>
      </c>
      <c r="E17" s="7">
        <f t="shared" si="1"/>
        <v>2100</v>
      </c>
      <c r="F17" s="7">
        <f t="shared" si="2"/>
        <v>2100</v>
      </c>
      <c r="G17" s="7">
        <f t="shared" si="3"/>
        <v>2100</v>
      </c>
    </row>
    <row r="18" spans="1:7" ht="15" customHeight="1" x14ac:dyDescent="0.3">
      <c r="A18" s="8" t="s">
        <v>19</v>
      </c>
      <c r="B18" s="9">
        <v>5500</v>
      </c>
      <c r="C18" s="7">
        <f t="shared" si="4"/>
        <v>5500</v>
      </c>
      <c r="D18" s="7">
        <f t="shared" si="0"/>
        <v>5500</v>
      </c>
      <c r="E18" s="7">
        <f t="shared" si="1"/>
        <v>5500</v>
      </c>
      <c r="F18" s="7">
        <f t="shared" si="2"/>
        <v>5500</v>
      </c>
      <c r="G18" s="7">
        <f t="shared" si="3"/>
        <v>5500</v>
      </c>
    </row>
    <row r="19" spans="1:7" ht="15" customHeight="1" x14ac:dyDescent="0.3">
      <c r="A19" s="5" t="s">
        <v>20</v>
      </c>
      <c r="B19" s="6">
        <v>3200</v>
      </c>
      <c r="C19" s="7">
        <f t="shared" si="4"/>
        <v>3200</v>
      </c>
      <c r="D19" s="7">
        <f t="shared" si="0"/>
        <v>3200</v>
      </c>
      <c r="E19" s="7">
        <f t="shared" si="1"/>
        <v>3200</v>
      </c>
      <c r="F19" s="7">
        <f t="shared" si="2"/>
        <v>3200</v>
      </c>
      <c r="G19" s="7">
        <f t="shared" si="3"/>
        <v>3200</v>
      </c>
    </row>
    <row r="20" spans="1:7" ht="15" customHeight="1" x14ac:dyDescent="0.3">
      <c r="A20" s="8" t="s">
        <v>21</v>
      </c>
      <c r="B20" s="9">
        <v>18000</v>
      </c>
      <c r="C20" s="7">
        <f t="shared" si="4"/>
        <v>18000</v>
      </c>
      <c r="D20" s="7">
        <f t="shared" si="0"/>
        <v>18000</v>
      </c>
      <c r="E20" s="7">
        <f t="shared" si="1"/>
        <v>18000</v>
      </c>
      <c r="F20" s="7">
        <f t="shared" si="2"/>
        <v>18000</v>
      </c>
      <c r="G20" s="7">
        <f t="shared" si="3"/>
        <v>18000</v>
      </c>
    </row>
    <row r="21" spans="1:7" ht="15" customHeight="1" x14ac:dyDescent="0.3">
      <c r="A21" s="5" t="s">
        <v>22</v>
      </c>
      <c r="B21" s="6">
        <v>89000</v>
      </c>
      <c r="C21" s="7">
        <f t="shared" si="4"/>
        <v>89000</v>
      </c>
      <c r="D21" s="7">
        <f t="shared" si="0"/>
        <v>89000</v>
      </c>
      <c r="E21" s="7">
        <f t="shared" si="1"/>
        <v>89000</v>
      </c>
      <c r="F21" s="7">
        <f t="shared" si="2"/>
        <v>89000</v>
      </c>
      <c r="G21" s="7">
        <f t="shared" si="3"/>
        <v>89000</v>
      </c>
    </row>
    <row r="22" spans="1:7" ht="13.5" customHeight="1" x14ac:dyDescent="0.3"/>
    <row r="23" spans="1:7" ht="21.75" customHeight="1" x14ac:dyDescent="0.3">
      <c r="A23" s="33" t="s">
        <v>23</v>
      </c>
      <c r="B23" s="33"/>
      <c r="C23" s="33"/>
      <c r="D23" s="33"/>
      <c r="E23" s="33"/>
      <c r="F23" s="33"/>
      <c r="G23" s="33"/>
    </row>
    <row r="24" spans="1:7" ht="19.5" customHeight="1" x14ac:dyDescent="0.3">
      <c r="A24" s="34" t="s">
        <v>24</v>
      </c>
      <c r="B24" s="34"/>
      <c r="C24" s="34"/>
      <c r="D24" s="34"/>
      <c r="E24" s="34"/>
      <c r="F24" s="34"/>
      <c r="G24" s="34"/>
    </row>
    <row r="25" spans="1:7" ht="19.5" customHeight="1" x14ac:dyDescent="0.3">
      <c r="A25" s="34"/>
      <c r="B25" s="34"/>
      <c r="C25" s="34"/>
      <c r="D25" s="34"/>
      <c r="E25" s="34"/>
      <c r="F25" s="34"/>
      <c r="G25" s="34"/>
    </row>
    <row r="26" spans="1:7" ht="19.5" customHeight="1" x14ac:dyDescent="0.3">
      <c r="A26" s="34"/>
      <c r="B26" s="34"/>
      <c r="C26" s="34"/>
      <c r="D26" s="34"/>
      <c r="E26" s="34"/>
      <c r="F26" s="34"/>
      <c r="G26" s="34"/>
    </row>
    <row r="27" spans="1:7" ht="73.8" customHeight="1" x14ac:dyDescent="0.3">
      <c r="A27" s="34"/>
      <c r="B27" s="34"/>
      <c r="C27" s="34"/>
      <c r="D27" s="34"/>
      <c r="E27" s="34"/>
      <c r="F27" s="34"/>
      <c r="G27" s="34"/>
    </row>
  </sheetData>
  <mergeCells count="5">
    <mergeCell ref="A1:G1"/>
    <mergeCell ref="A2:G2"/>
    <mergeCell ref="A4:G4"/>
    <mergeCell ref="A23:G23"/>
    <mergeCell ref="A24:G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L1512"/>
  <sheetViews>
    <sheetView showGridLines="0" zoomScaleNormal="100" workbookViewId="0">
      <selection activeCell="I13" sqref="I13"/>
    </sheetView>
  </sheetViews>
  <sheetFormatPr baseColWidth="10" defaultColWidth="8.6640625" defaultRowHeight="14.4" x14ac:dyDescent="0.3"/>
  <cols>
    <col min="1" max="1" width="8" customWidth="1"/>
    <col min="2" max="2" width="22" customWidth="1"/>
    <col min="3" max="3" width="21.5546875" customWidth="1"/>
    <col min="4" max="4" width="13" customWidth="1"/>
    <col min="5" max="6" width="12" customWidth="1"/>
    <col min="7" max="7" width="13" customWidth="1"/>
    <col min="8" max="8" width="11" customWidth="1"/>
    <col min="9" max="12" width="12" customWidth="1"/>
  </cols>
  <sheetData>
    <row r="1" spans="1:12" ht="21.75" customHeight="1" x14ac:dyDescent="0.3">
      <c r="A1" s="30" t="s">
        <v>3075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27.75" customHeight="1" x14ac:dyDescent="0.3">
      <c r="A2" s="31" t="s">
        <v>3073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2" ht="21.75" customHeight="1" x14ac:dyDescent="0.3">
      <c r="A4" s="33" t="s">
        <v>3080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24" customHeight="1" x14ac:dyDescent="0.3">
      <c r="A5" s="10" t="s">
        <v>25</v>
      </c>
      <c r="B5" s="10" t="s">
        <v>26</v>
      </c>
      <c r="C5" s="10" t="s">
        <v>27</v>
      </c>
      <c r="D5" s="10" t="s">
        <v>28</v>
      </c>
    </row>
    <row r="6" spans="1:12" ht="52.8" x14ac:dyDescent="0.3">
      <c r="A6" s="11" t="s">
        <v>29</v>
      </c>
      <c r="B6" s="11" t="s">
        <v>30</v>
      </c>
      <c r="C6" s="12" t="s">
        <v>31</v>
      </c>
      <c r="D6" s="13" t="s">
        <v>32</v>
      </c>
    </row>
    <row r="7" spans="1:12" ht="52.8" x14ac:dyDescent="0.3">
      <c r="A7" s="14" t="s">
        <v>33</v>
      </c>
      <c r="B7" s="14" t="s">
        <v>34</v>
      </c>
      <c r="C7" s="12" t="s">
        <v>35</v>
      </c>
      <c r="D7" s="13" t="s">
        <v>36</v>
      </c>
    </row>
    <row r="8" spans="1:12" ht="52.8" x14ac:dyDescent="0.3">
      <c r="A8" s="15" t="s">
        <v>37</v>
      </c>
      <c r="B8" s="15" t="s">
        <v>38</v>
      </c>
      <c r="C8" s="12" t="s">
        <v>39</v>
      </c>
      <c r="D8" s="13" t="s">
        <v>40</v>
      </c>
    </row>
    <row r="9" spans="1:12" ht="52.8" x14ac:dyDescent="0.3">
      <c r="A9" s="16" t="s">
        <v>41</v>
      </c>
      <c r="B9" s="16" t="s">
        <v>42</v>
      </c>
      <c r="C9" s="12" t="s">
        <v>43</v>
      </c>
      <c r="D9" s="13" t="s">
        <v>44</v>
      </c>
    </row>
    <row r="11" spans="1:12" ht="21.75" customHeight="1" x14ac:dyDescent="0.3">
      <c r="A11" s="35" t="s">
        <v>3074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ht="30" customHeight="1" x14ac:dyDescent="0.3">
      <c r="A12" s="17" t="s">
        <v>45</v>
      </c>
      <c r="B12" s="17" t="s">
        <v>46</v>
      </c>
      <c r="C12" s="17" t="s">
        <v>47</v>
      </c>
      <c r="D12" s="17" t="s">
        <v>48</v>
      </c>
      <c r="E12" s="17" t="s">
        <v>49</v>
      </c>
      <c r="F12" s="17" t="s">
        <v>50</v>
      </c>
      <c r="G12" s="17" t="s">
        <v>51</v>
      </c>
      <c r="H12" s="17" t="s">
        <v>52</v>
      </c>
      <c r="I12" s="17" t="s">
        <v>53</v>
      </c>
      <c r="J12" s="17" t="s">
        <v>54</v>
      </c>
      <c r="K12" s="17" t="s">
        <v>55</v>
      </c>
      <c r="L12" s="17" t="s">
        <v>56</v>
      </c>
    </row>
    <row r="13" spans="1:12" ht="18" customHeight="1" x14ac:dyDescent="0.3">
      <c r="A13" s="18" t="s">
        <v>57</v>
      </c>
      <c r="B13" s="5" t="s">
        <v>58</v>
      </c>
      <c r="C13" s="18" t="s">
        <v>59</v>
      </c>
      <c r="D13" s="18" t="s">
        <v>60</v>
      </c>
      <c r="E13" s="6">
        <v>5600000</v>
      </c>
      <c r="F13" s="19">
        <v>0.53</v>
      </c>
      <c r="G13" s="18">
        <v>43</v>
      </c>
      <c r="H13" s="20">
        <v>13.5</v>
      </c>
      <c r="I13" s="21" t="str">
        <f>IF(F13&gt;=0.8,"Cumple","No cumple")</f>
        <v>No cumple</v>
      </c>
      <c r="J13" s="22" t="str">
        <f>IF(AND(F13&gt;=0.8,G13&gt;=70),"BONO","Sin bono")</f>
        <v>Sin bono</v>
      </c>
      <c r="K13" s="23" t="str">
        <f>IF(OR(F13&lt;0.6,G13&lt;50),"ALERTA","OK")</f>
        <v>ALERTA</v>
      </c>
      <c r="L13" s="24" t="str">
        <f>IF(AND(F13&gt;=0.9,G13&gt;=85),"Excelente",IF(AND(F13&gt;=0.8,G13&gt;=70),"Bueno","Revisar"))</f>
        <v>Revisar</v>
      </c>
    </row>
    <row r="14" spans="1:12" ht="18" customHeight="1" x14ac:dyDescent="0.3">
      <c r="A14" s="25" t="s">
        <v>61</v>
      </c>
      <c r="B14" s="8" t="s">
        <v>62</v>
      </c>
      <c r="C14" s="25" t="s">
        <v>63</v>
      </c>
      <c r="D14" s="25" t="s">
        <v>64</v>
      </c>
      <c r="E14" s="9">
        <v>3100000</v>
      </c>
      <c r="F14" s="26">
        <v>0.5</v>
      </c>
      <c r="G14" s="25">
        <v>59</v>
      </c>
      <c r="H14" s="27">
        <v>10.1</v>
      </c>
      <c r="I14" s="21" t="str">
        <f t="shared" ref="I14:I76" si="0">IF(F14&gt;=0.8,"Cumple","No cumple")</f>
        <v>No cumple</v>
      </c>
      <c r="J14" s="22" t="str">
        <f t="shared" ref="J14:J76" si="1">IF(AND(F14&gt;=0.8,G14&gt;=70),"BONO","Sin bono")</f>
        <v>Sin bono</v>
      </c>
      <c r="K14" s="23" t="str">
        <f t="shared" ref="K14:K76" si="2">IF(OR(F14&lt;0.6,G14&lt;50),"ALERTA","OK")</f>
        <v>ALERTA</v>
      </c>
      <c r="L14" s="24" t="str">
        <f t="shared" ref="L14:L76" si="3">IF(AND(F14&gt;=0.9,G14&gt;=85),"Excelente",IF(AND(F14&gt;=0.8,G14&gt;=70),"Bueno","Revisar"))</f>
        <v>Revisar</v>
      </c>
    </row>
    <row r="15" spans="1:12" ht="18" customHeight="1" x14ac:dyDescent="0.3">
      <c r="A15" s="18" t="s">
        <v>65</v>
      </c>
      <c r="B15" s="5" t="s">
        <v>66</v>
      </c>
      <c r="C15" s="18" t="s">
        <v>67</v>
      </c>
      <c r="D15" s="18" t="s">
        <v>68</v>
      </c>
      <c r="E15" s="6">
        <v>5600000</v>
      </c>
      <c r="F15" s="19">
        <v>0.7</v>
      </c>
      <c r="G15" s="18">
        <v>65</v>
      </c>
      <c r="H15" s="20">
        <v>16.2</v>
      </c>
      <c r="I15" s="21" t="str">
        <f t="shared" si="0"/>
        <v>No cumple</v>
      </c>
      <c r="J15" s="22" t="str">
        <f t="shared" si="1"/>
        <v>Sin bono</v>
      </c>
      <c r="K15" s="23" t="str">
        <f t="shared" si="2"/>
        <v>OK</v>
      </c>
      <c r="L15" s="24" t="str">
        <f t="shared" si="3"/>
        <v>Revisar</v>
      </c>
    </row>
    <row r="16" spans="1:12" ht="18" customHeight="1" x14ac:dyDescent="0.3">
      <c r="A16" s="25" t="s">
        <v>69</v>
      </c>
      <c r="B16" s="8" t="s">
        <v>70</v>
      </c>
      <c r="C16" s="25" t="s">
        <v>71</v>
      </c>
      <c r="D16" s="25" t="s">
        <v>68</v>
      </c>
      <c r="E16" s="9">
        <v>7100000</v>
      </c>
      <c r="F16" s="26">
        <v>0.6</v>
      </c>
      <c r="G16" s="25">
        <v>57</v>
      </c>
      <c r="H16" s="27">
        <v>19.100000000000001</v>
      </c>
      <c r="I16" s="21" t="str">
        <f t="shared" si="0"/>
        <v>No cumple</v>
      </c>
      <c r="J16" s="22" t="str">
        <f t="shared" si="1"/>
        <v>Sin bono</v>
      </c>
      <c r="K16" s="23" t="str">
        <f t="shared" si="2"/>
        <v>OK</v>
      </c>
      <c r="L16" s="24" t="str">
        <f t="shared" si="3"/>
        <v>Revisar</v>
      </c>
    </row>
    <row r="17" spans="1:12" ht="18" customHeight="1" x14ac:dyDescent="0.3">
      <c r="A17" s="18" t="s">
        <v>72</v>
      </c>
      <c r="B17" s="5" t="s">
        <v>73</v>
      </c>
      <c r="C17" s="18" t="s">
        <v>74</v>
      </c>
      <c r="D17" s="18" t="s">
        <v>68</v>
      </c>
      <c r="E17" s="6">
        <v>4000000</v>
      </c>
      <c r="F17" s="19">
        <v>0.65</v>
      </c>
      <c r="G17" s="18">
        <v>74</v>
      </c>
      <c r="H17" s="20">
        <v>12.1</v>
      </c>
      <c r="I17" s="21" t="str">
        <f t="shared" si="0"/>
        <v>No cumple</v>
      </c>
      <c r="J17" s="22" t="str">
        <f t="shared" si="1"/>
        <v>Sin bono</v>
      </c>
      <c r="K17" s="23" t="str">
        <f t="shared" si="2"/>
        <v>OK</v>
      </c>
      <c r="L17" s="24" t="str">
        <f t="shared" si="3"/>
        <v>Revisar</v>
      </c>
    </row>
    <row r="18" spans="1:12" ht="18" customHeight="1" x14ac:dyDescent="0.3">
      <c r="A18" s="25" t="s">
        <v>75</v>
      </c>
      <c r="B18" s="8" t="s">
        <v>76</v>
      </c>
      <c r="C18" s="25" t="s">
        <v>77</v>
      </c>
      <c r="D18" s="25" t="s">
        <v>78</v>
      </c>
      <c r="E18" s="9">
        <v>7600000</v>
      </c>
      <c r="F18" s="26">
        <v>0.49</v>
      </c>
      <c r="G18" s="25">
        <v>67</v>
      </c>
      <c r="H18" s="27">
        <v>16.600000000000001</v>
      </c>
      <c r="I18" s="21" t="str">
        <f t="shared" si="0"/>
        <v>No cumple</v>
      </c>
      <c r="J18" s="22" t="str">
        <f t="shared" si="1"/>
        <v>Sin bono</v>
      </c>
      <c r="K18" s="23" t="str">
        <f t="shared" si="2"/>
        <v>ALERTA</v>
      </c>
      <c r="L18" s="24" t="str">
        <f t="shared" si="3"/>
        <v>Revisar</v>
      </c>
    </row>
    <row r="19" spans="1:12" ht="18" customHeight="1" x14ac:dyDescent="0.3">
      <c r="A19" s="18" t="s">
        <v>79</v>
      </c>
      <c r="B19" s="5" t="s">
        <v>80</v>
      </c>
      <c r="C19" s="18" t="s">
        <v>81</v>
      </c>
      <c r="D19" s="18" t="s">
        <v>60</v>
      </c>
      <c r="E19" s="6">
        <v>11800000</v>
      </c>
      <c r="F19" s="19">
        <v>0.49</v>
      </c>
      <c r="G19" s="18">
        <v>59</v>
      </c>
      <c r="H19" s="20">
        <v>15.5</v>
      </c>
      <c r="I19" s="21" t="str">
        <f t="shared" si="0"/>
        <v>No cumple</v>
      </c>
      <c r="J19" s="22" t="str">
        <f t="shared" si="1"/>
        <v>Sin bono</v>
      </c>
      <c r="K19" s="23" t="str">
        <f t="shared" si="2"/>
        <v>ALERTA</v>
      </c>
      <c r="L19" s="24" t="str">
        <f t="shared" si="3"/>
        <v>Revisar</v>
      </c>
    </row>
    <row r="20" spans="1:12" ht="18" customHeight="1" x14ac:dyDescent="0.3">
      <c r="A20" s="25" t="s">
        <v>82</v>
      </c>
      <c r="B20" s="8" t="s">
        <v>83</v>
      </c>
      <c r="C20" s="25" t="s">
        <v>67</v>
      </c>
      <c r="D20" s="25" t="s">
        <v>78</v>
      </c>
      <c r="E20" s="9">
        <v>7600000</v>
      </c>
      <c r="F20" s="26">
        <v>0.6</v>
      </c>
      <c r="G20" s="25">
        <v>76</v>
      </c>
      <c r="H20" s="27">
        <v>3.3</v>
      </c>
      <c r="I20" s="21" t="str">
        <f t="shared" si="0"/>
        <v>No cumple</v>
      </c>
      <c r="J20" s="22" t="str">
        <f t="shared" si="1"/>
        <v>Sin bono</v>
      </c>
      <c r="K20" s="23" t="str">
        <f t="shared" si="2"/>
        <v>OK</v>
      </c>
      <c r="L20" s="24" t="str">
        <f t="shared" si="3"/>
        <v>Revisar</v>
      </c>
    </row>
    <row r="21" spans="1:12" ht="18" customHeight="1" x14ac:dyDescent="0.3">
      <c r="A21" s="18" t="s">
        <v>84</v>
      </c>
      <c r="B21" s="5" t="s">
        <v>85</v>
      </c>
      <c r="C21" s="18" t="s">
        <v>59</v>
      </c>
      <c r="D21" s="18" t="s">
        <v>78</v>
      </c>
      <c r="E21" s="6">
        <v>10500000</v>
      </c>
      <c r="F21" s="19">
        <v>0.8</v>
      </c>
      <c r="G21" s="18">
        <v>98</v>
      </c>
      <c r="H21" s="20">
        <v>14.6</v>
      </c>
      <c r="I21" s="21" t="str">
        <f t="shared" si="0"/>
        <v>Cumple</v>
      </c>
      <c r="J21" s="22" t="str">
        <f t="shared" si="1"/>
        <v>BONO</v>
      </c>
      <c r="K21" s="23" t="str">
        <f t="shared" si="2"/>
        <v>OK</v>
      </c>
      <c r="L21" s="24" t="str">
        <f t="shared" si="3"/>
        <v>Bueno</v>
      </c>
    </row>
    <row r="22" spans="1:12" ht="18" customHeight="1" x14ac:dyDescent="0.3">
      <c r="A22" s="25" t="s">
        <v>86</v>
      </c>
      <c r="B22" s="8" t="s">
        <v>87</v>
      </c>
      <c r="C22" s="25" t="s">
        <v>63</v>
      </c>
      <c r="D22" s="25" t="s">
        <v>88</v>
      </c>
      <c r="E22" s="9">
        <v>10900000</v>
      </c>
      <c r="F22" s="26">
        <v>0.83</v>
      </c>
      <c r="G22" s="25">
        <v>58</v>
      </c>
      <c r="H22" s="27">
        <v>13.7</v>
      </c>
      <c r="I22" s="21" t="str">
        <f t="shared" si="0"/>
        <v>Cumple</v>
      </c>
      <c r="J22" s="22" t="str">
        <f t="shared" si="1"/>
        <v>Sin bono</v>
      </c>
      <c r="K22" s="23" t="str">
        <f t="shared" si="2"/>
        <v>OK</v>
      </c>
      <c r="L22" s="24" t="str">
        <f t="shared" si="3"/>
        <v>Revisar</v>
      </c>
    </row>
    <row r="23" spans="1:12" ht="18" customHeight="1" x14ac:dyDescent="0.3">
      <c r="A23" s="18" t="s">
        <v>89</v>
      </c>
      <c r="B23" s="5" t="s">
        <v>90</v>
      </c>
      <c r="C23" s="18" t="s">
        <v>91</v>
      </c>
      <c r="D23" s="18" t="s">
        <v>92</v>
      </c>
      <c r="E23" s="6">
        <v>7900000</v>
      </c>
      <c r="F23" s="19">
        <v>0.6</v>
      </c>
      <c r="G23" s="18">
        <v>57</v>
      </c>
      <c r="H23" s="20">
        <v>18.3</v>
      </c>
      <c r="I23" s="21" t="str">
        <f t="shared" si="0"/>
        <v>No cumple</v>
      </c>
      <c r="J23" s="22" t="str">
        <f t="shared" si="1"/>
        <v>Sin bono</v>
      </c>
      <c r="K23" s="23" t="str">
        <f t="shared" si="2"/>
        <v>OK</v>
      </c>
      <c r="L23" s="24" t="str">
        <f t="shared" si="3"/>
        <v>Revisar</v>
      </c>
    </row>
    <row r="24" spans="1:12" ht="18" customHeight="1" x14ac:dyDescent="0.3">
      <c r="A24" s="25" t="s">
        <v>93</v>
      </c>
      <c r="B24" s="8" t="s">
        <v>94</v>
      </c>
      <c r="C24" s="25" t="s">
        <v>81</v>
      </c>
      <c r="D24" s="25" t="s">
        <v>60</v>
      </c>
      <c r="E24" s="9">
        <v>11100000</v>
      </c>
      <c r="F24" s="26">
        <v>0.72</v>
      </c>
      <c r="G24" s="25">
        <v>88</v>
      </c>
      <c r="H24" s="27">
        <v>2.9</v>
      </c>
      <c r="I24" s="21" t="str">
        <f t="shared" si="0"/>
        <v>No cumple</v>
      </c>
      <c r="J24" s="22" t="str">
        <f t="shared" si="1"/>
        <v>Sin bono</v>
      </c>
      <c r="K24" s="23" t="str">
        <f t="shared" si="2"/>
        <v>OK</v>
      </c>
      <c r="L24" s="24" t="str">
        <f t="shared" si="3"/>
        <v>Revisar</v>
      </c>
    </row>
    <row r="25" spans="1:12" ht="18" customHeight="1" x14ac:dyDescent="0.3">
      <c r="A25" s="18" t="s">
        <v>95</v>
      </c>
      <c r="B25" s="5" t="s">
        <v>96</v>
      </c>
      <c r="C25" s="18" t="s">
        <v>59</v>
      </c>
      <c r="D25" s="18" t="s">
        <v>68</v>
      </c>
      <c r="E25" s="6">
        <v>10200000</v>
      </c>
      <c r="F25" s="19">
        <v>0.67</v>
      </c>
      <c r="G25" s="18">
        <v>58</v>
      </c>
      <c r="H25" s="20">
        <v>19.899999999999999</v>
      </c>
      <c r="I25" s="21" t="str">
        <f t="shared" si="0"/>
        <v>No cumple</v>
      </c>
      <c r="J25" s="22" t="str">
        <f t="shared" si="1"/>
        <v>Sin bono</v>
      </c>
      <c r="K25" s="23" t="str">
        <f t="shared" si="2"/>
        <v>OK</v>
      </c>
      <c r="L25" s="24" t="str">
        <f t="shared" si="3"/>
        <v>Revisar</v>
      </c>
    </row>
    <row r="26" spans="1:12" ht="18" customHeight="1" x14ac:dyDescent="0.3">
      <c r="A26" s="25" t="s">
        <v>97</v>
      </c>
      <c r="B26" s="8" t="s">
        <v>98</v>
      </c>
      <c r="C26" s="25" t="s">
        <v>77</v>
      </c>
      <c r="D26" s="25" t="s">
        <v>78</v>
      </c>
      <c r="E26" s="9">
        <v>3400000</v>
      </c>
      <c r="F26" s="26">
        <v>0.92</v>
      </c>
      <c r="G26" s="25">
        <v>49</v>
      </c>
      <c r="H26" s="27">
        <v>12.5</v>
      </c>
      <c r="I26" s="21" t="str">
        <f t="shared" si="0"/>
        <v>Cumple</v>
      </c>
      <c r="J26" s="22" t="str">
        <f t="shared" si="1"/>
        <v>Sin bono</v>
      </c>
      <c r="K26" s="23" t="str">
        <f t="shared" si="2"/>
        <v>ALERTA</v>
      </c>
      <c r="L26" s="24" t="str">
        <f t="shared" si="3"/>
        <v>Revisar</v>
      </c>
    </row>
    <row r="27" spans="1:12" ht="18" customHeight="1" x14ac:dyDescent="0.3">
      <c r="A27" s="18" t="s">
        <v>99</v>
      </c>
      <c r="B27" s="5" t="s">
        <v>100</v>
      </c>
      <c r="C27" s="18" t="s">
        <v>74</v>
      </c>
      <c r="D27" s="18" t="s">
        <v>68</v>
      </c>
      <c r="E27" s="6">
        <v>7600000</v>
      </c>
      <c r="F27" s="19">
        <v>0.78</v>
      </c>
      <c r="G27" s="18">
        <v>89</v>
      </c>
      <c r="H27" s="20">
        <v>10.6</v>
      </c>
      <c r="I27" s="21" t="str">
        <f t="shared" si="0"/>
        <v>No cumple</v>
      </c>
      <c r="J27" s="22" t="str">
        <f t="shared" si="1"/>
        <v>Sin bono</v>
      </c>
      <c r="K27" s="23" t="str">
        <f t="shared" si="2"/>
        <v>OK</v>
      </c>
      <c r="L27" s="24" t="str">
        <f t="shared" si="3"/>
        <v>Revisar</v>
      </c>
    </row>
    <row r="28" spans="1:12" ht="18" customHeight="1" x14ac:dyDescent="0.3">
      <c r="A28" s="25" t="s">
        <v>101</v>
      </c>
      <c r="B28" s="8" t="s">
        <v>102</v>
      </c>
      <c r="C28" s="25" t="s">
        <v>91</v>
      </c>
      <c r="D28" s="25" t="s">
        <v>78</v>
      </c>
      <c r="E28" s="9">
        <v>11500000</v>
      </c>
      <c r="F28" s="26">
        <v>0.94</v>
      </c>
      <c r="G28" s="25">
        <v>64</v>
      </c>
      <c r="H28" s="27">
        <v>15.4</v>
      </c>
      <c r="I28" s="21" t="str">
        <f t="shared" si="0"/>
        <v>Cumple</v>
      </c>
      <c r="J28" s="22" t="str">
        <f t="shared" si="1"/>
        <v>Sin bono</v>
      </c>
      <c r="K28" s="23" t="str">
        <f t="shared" si="2"/>
        <v>OK</v>
      </c>
      <c r="L28" s="24" t="str">
        <f t="shared" si="3"/>
        <v>Revisar</v>
      </c>
    </row>
    <row r="29" spans="1:12" ht="18" customHeight="1" x14ac:dyDescent="0.3">
      <c r="A29" s="18" t="s">
        <v>103</v>
      </c>
      <c r="B29" s="5" t="s">
        <v>104</v>
      </c>
      <c r="C29" s="18" t="s">
        <v>71</v>
      </c>
      <c r="D29" s="18" t="s">
        <v>105</v>
      </c>
      <c r="E29" s="6">
        <v>2800000</v>
      </c>
      <c r="F29" s="19">
        <v>0.97</v>
      </c>
      <c r="G29" s="18">
        <v>63</v>
      </c>
      <c r="H29" s="20">
        <v>19.399999999999999</v>
      </c>
      <c r="I29" s="21" t="str">
        <f t="shared" si="0"/>
        <v>Cumple</v>
      </c>
      <c r="J29" s="22" t="str">
        <f t="shared" si="1"/>
        <v>Sin bono</v>
      </c>
      <c r="K29" s="23" t="str">
        <f t="shared" si="2"/>
        <v>OK</v>
      </c>
      <c r="L29" s="24" t="str">
        <f t="shared" si="3"/>
        <v>Revisar</v>
      </c>
    </row>
    <row r="30" spans="1:12" ht="18" customHeight="1" x14ac:dyDescent="0.3">
      <c r="A30" s="25" t="s">
        <v>106</v>
      </c>
      <c r="B30" s="8" t="s">
        <v>107</v>
      </c>
      <c r="C30" s="25" t="s">
        <v>74</v>
      </c>
      <c r="D30" s="25" t="s">
        <v>88</v>
      </c>
      <c r="E30" s="9">
        <v>10900000</v>
      </c>
      <c r="F30" s="26">
        <v>0.73</v>
      </c>
      <c r="G30" s="25">
        <v>55</v>
      </c>
      <c r="H30" s="27">
        <v>3.1</v>
      </c>
      <c r="I30" s="21" t="str">
        <f t="shared" si="0"/>
        <v>No cumple</v>
      </c>
      <c r="J30" s="22" t="str">
        <f t="shared" si="1"/>
        <v>Sin bono</v>
      </c>
      <c r="K30" s="23" t="str">
        <f t="shared" si="2"/>
        <v>OK</v>
      </c>
      <c r="L30" s="24" t="str">
        <f t="shared" si="3"/>
        <v>Revisar</v>
      </c>
    </row>
    <row r="31" spans="1:12" ht="18" customHeight="1" x14ac:dyDescent="0.3">
      <c r="A31" s="18" t="s">
        <v>108</v>
      </c>
      <c r="B31" s="5" t="s">
        <v>109</v>
      </c>
      <c r="C31" s="18" t="s">
        <v>91</v>
      </c>
      <c r="D31" s="18" t="s">
        <v>92</v>
      </c>
      <c r="E31" s="6">
        <v>9000000</v>
      </c>
      <c r="F31" s="19">
        <v>0.46</v>
      </c>
      <c r="G31" s="18">
        <v>76</v>
      </c>
      <c r="H31" s="20">
        <v>17.600000000000001</v>
      </c>
      <c r="I31" s="21" t="str">
        <f t="shared" si="0"/>
        <v>No cumple</v>
      </c>
      <c r="J31" s="22" t="str">
        <f t="shared" si="1"/>
        <v>Sin bono</v>
      </c>
      <c r="K31" s="23" t="str">
        <f t="shared" si="2"/>
        <v>ALERTA</v>
      </c>
      <c r="L31" s="24" t="str">
        <f t="shared" si="3"/>
        <v>Revisar</v>
      </c>
    </row>
    <row r="32" spans="1:12" ht="18" customHeight="1" x14ac:dyDescent="0.3">
      <c r="A32" s="25" t="s">
        <v>110</v>
      </c>
      <c r="B32" s="8" t="s">
        <v>111</v>
      </c>
      <c r="C32" s="25" t="s">
        <v>91</v>
      </c>
      <c r="D32" s="25" t="s">
        <v>60</v>
      </c>
      <c r="E32" s="9">
        <v>10000000</v>
      </c>
      <c r="F32" s="26">
        <v>0.97</v>
      </c>
      <c r="G32" s="25">
        <v>40</v>
      </c>
      <c r="H32" s="27">
        <v>14.6</v>
      </c>
      <c r="I32" s="21" t="str">
        <f t="shared" si="0"/>
        <v>Cumple</v>
      </c>
      <c r="J32" s="22" t="str">
        <f t="shared" si="1"/>
        <v>Sin bono</v>
      </c>
      <c r="K32" s="23" t="str">
        <f t="shared" si="2"/>
        <v>ALERTA</v>
      </c>
      <c r="L32" s="24" t="str">
        <f t="shared" si="3"/>
        <v>Revisar</v>
      </c>
    </row>
    <row r="33" spans="1:12" ht="18" customHeight="1" x14ac:dyDescent="0.3">
      <c r="A33" s="18" t="s">
        <v>112</v>
      </c>
      <c r="B33" s="5" t="s">
        <v>113</v>
      </c>
      <c r="C33" s="18" t="s">
        <v>71</v>
      </c>
      <c r="D33" s="18" t="s">
        <v>114</v>
      </c>
      <c r="E33" s="6">
        <v>11200000</v>
      </c>
      <c r="F33" s="19">
        <v>0.71</v>
      </c>
      <c r="G33" s="18">
        <v>100</v>
      </c>
      <c r="H33" s="20">
        <v>3.3</v>
      </c>
      <c r="I33" s="21" t="str">
        <f t="shared" si="0"/>
        <v>No cumple</v>
      </c>
      <c r="J33" s="22" t="str">
        <f t="shared" si="1"/>
        <v>Sin bono</v>
      </c>
      <c r="K33" s="23" t="str">
        <f t="shared" si="2"/>
        <v>OK</v>
      </c>
      <c r="L33" s="24" t="str">
        <f t="shared" si="3"/>
        <v>Revisar</v>
      </c>
    </row>
    <row r="34" spans="1:12" ht="18" customHeight="1" x14ac:dyDescent="0.3">
      <c r="A34" s="25" t="s">
        <v>115</v>
      </c>
      <c r="B34" s="8" t="s">
        <v>116</v>
      </c>
      <c r="C34" s="25" t="s">
        <v>63</v>
      </c>
      <c r="D34" s="25" t="s">
        <v>60</v>
      </c>
      <c r="E34" s="9">
        <v>9700000</v>
      </c>
      <c r="F34" s="26">
        <v>0.87</v>
      </c>
      <c r="G34" s="25">
        <v>55</v>
      </c>
      <c r="H34" s="27">
        <v>14.3</v>
      </c>
      <c r="I34" s="21" t="str">
        <f t="shared" si="0"/>
        <v>Cumple</v>
      </c>
      <c r="J34" s="22" t="str">
        <f t="shared" si="1"/>
        <v>Sin bono</v>
      </c>
      <c r="K34" s="23" t="str">
        <f t="shared" si="2"/>
        <v>OK</v>
      </c>
      <c r="L34" s="24" t="str">
        <f t="shared" si="3"/>
        <v>Revisar</v>
      </c>
    </row>
    <row r="35" spans="1:12" ht="18" customHeight="1" x14ac:dyDescent="0.3">
      <c r="A35" s="18" t="s">
        <v>117</v>
      </c>
      <c r="B35" s="5" t="s">
        <v>118</v>
      </c>
      <c r="C35" s="18" t="s">
        <v>81</v>
      </c>
      <c r="D35" s="18" t="s">
        <v>105</v>
      </c>
      <c r="E35" s="6">
        <v>9400000</v>
      </c>
      <c r="F35" s="19">
        <v>0.7</v>
      </c>
      <c r="G35" s="18">
        <v>61</v>
      </c>
      <c r="H35" s="20">
        <v>4.5</v>
      </c>
      <c r="I35" s="21" t="str">
        <f t="shared" si="0"/>
        <v>No cumple</v>
      </c>
      <c r="J35" s="22" t="str">
        <f t="shared" si="1"/>
        <v>Sin bono</v>
      </c>
      <c r="K35" s="23" t="str">
        <f t="shared" si="2"/>
        <v>OK</v>
      </c>
      <c r="L35" s="24" t="str">
        <f t="shared" si="3"/>
        <v>Revisar</v>
      </c>
    </row>
    <row r="36" spans="1:12" ht="18" customHeight="1" x14ac:dyDescent="0.3">
      <c r="A36" s="25" t="s">
        <v>119</v>
      </c>
      <c r="B36" s="8" t="s">
        <v>120</v>
      </c>
      <c r="C36" s="25" t="s">
        <v>67</v>
      </c>
      <c r="D36" s="25" t="s">
        <v>60</v>
      </c>
      <c r="E36" s="9">
        <v>2800000</v>
      </c>
      <c r="F36" s="26">
        <v>0.49</v>
      </c>
      <c r="G36" s="25">
        <v>37</v>
      </c>
      <c r="H36" s="27">
        <v>4.5999999999999996</v>
      </c>
      <c r="I36" s="21" t="str">
        <f t="shared" si="0"/>
        <v>No cumple</v>
      </c>
      <c r="J36" s="22" t="str">
        <f t="shared" si="1"/>
        <v>Sin bono</v>
      </c>
      <c r="K36" s="23" t="str">
        <f t="shared" si="2"/>
        <v>ALERTA</v>
      </c>
      <c r="L36" s="24" t="str">
        <f t="shared" si="3"/>
        <v>Revisar</v>
      </c>
    </row>
    <row r="37" spans="1:12" ht="18" customHeight="1" x14ac:dyDescent="0.3">
      <c r="A37" s="18" t="s">
        <v>121</v>
      </c>
      <c r="B37" s="5" t="s">
        <v>122</v>
      </c>
      <c r="C37" s="18" t="s">
        <v>81</v>
      </c>
      <c r="D37" s="18" t="s">
        <v>78</v>
      </c>
      <c r="E37" s="6">
        <v>9300000</v>
      </c>
      <c r="F37" s="19">
        <v>0.57999999999999996</v>
      </c>
      <c r="G37" s="18">
        <v>92</v>
      </c>
      <c r="H37" s="20">
        <v>4.3</v>
      </c>
      <c r="I37" s="21" t="str">
        <f t="shared" si="0"/>
        <v>No cumple</v>
      </c>
      <c r="J37" s="22" t="str">
        <f t="shared" si="1"/>
        <v>Sin bono</v>
      </c>
      <c r="K37" s="23" t="str">
        <f t="shared" si="2"/>
        <v>ALERTA</v>
      </c>
      <c r="L37" s="24" t="str">
        <f t="shared" si="3"/>
        <v>Revisar</v>
      </c>
    </row>
    <row r="38" spans="1:12" ht="18" customHeight="1" x14ac:dyDescent="0.3">
      <c r="A38" s="25" t="s">
        <v>123</v>
      </c>
      <c r="B38" s="8" t="s">
        <v>124</v>
      </c>
      <c r="C38" s="25" t="s">
        <v>77</v>
      </c>
      <c r="D38" s="25" t="s">
        <v>60</v>
      </c>
      <c r="E38" s="9">
        <v>8800000</v>
      </c>
      <c r="F38" s="26">
        <v>0.89</v>
      </c>
      <c r="G38" s="25">
        <v>54</v>
      </c>
      <c r="H38" s="27">
        <v>1.9</v>
      </c>
      <c r="I38" s="21" t="str">
        <f t="shared" si="0"/>
        <v>Cumple</v>
      </c>
      <c r="J38" s="22" t="str">
        <f t="shared" si="1"/>
        <v>Sin bono</v>
      </c>
      <c r="K38" s="23" t="str">
        <f t="shared" si="2"/>
        <v>OK</v>
      </c>
      <c r="L38" s="24" t="str">
        <f t="shared" si="3"/>
        <v>Revisar</v>
      </c>
    </row>
    <row r="39" spans="1:12" ht="18" customHeight="1" x14ac:dyDescent="0.3">
      <c r="A39" s="18" t="s">
        <v>125</v>
      </c>
      <c r="B39" s="5" t="s">
        <v>126</v>
      </c>
      <c r="C39" s="18" t="s">
        <v>63</v>
      </c>
      <c r="D39" s="18" t="s">
        <v>68</v>
      </c>
      <c r="E39" s="6">
        <v>8700000</v>
      </c>
      <c r="F39" s="19">
        <v>0.93</v>
      </c>
      <c r="G39" s="18">
        <v>36</v>
      </c>
      <c r="H39" s="20">
        <v>13.5</v>
      </c>
      <c r="I39" s="21" t="str">
        <f t="shared" si="0"/>
        <v>Cumple</v>
      </c>
      <c r="J39" s="22" t="str">
        <f t="shared" si="1"/>
        <v>Sin bono</v>
      </c>
      <c r="K39" s="23" t="str">
        <f t="shared" si="2"/>
        <v>ALERTA</v>
      </c>
      <c r="L39" s="24" t="str">
        <f t="shared" si="3"/>
        <v>Revisar</v>
      </c>
    </row>
    <row r="40" spans="1:12" ht="18" customHeight="1" x14ac:dyDescent="0.3">
      <c r="A40" s="25" t="s">
        <v>127</v>
      </c>
      <c r="B40" s="8" t="s">
        <v>128</v>
      </c>
      <c r="C40" s="25" t="s">
        <v>63</v>
      </c>
      <c r="D40" s="25" t="s">
        <v>92</v>
      </c>
      <c r="E40" s="9">
        <v>4100000</v>
      </c>
      <c r="F40" s="26">
        <v>0.59</v>
      </c>
      <c r="G40" s="25">
        <v>54</v>
      </c>
      <c r="H40" s="27">
        <v>10.7</v>
      </c>
      <c r="I40" s="21" t="str">
        <f t="shared" si="0"/>
        <v>No cumple</v>
      </c>
      <c r="J40" s="22" t="str">
        <f t="shared" si="1"/>
        <v>Sin bono</v>
      </c>
      <c r="K40" s="23" t="str">
        <f t="shared" si="2"/>
        <v>ALERTA</v>
      </c>
      <c r="L40" s="24" t="str">
        <f t="shared" si="3"/>
        <v>Revisar</v>
      </c>
    </row>
    <row r="41" spans="1:12" ht="18" customHeight="1" x14ac:dyDescent="0.3">
      <c r="A41" s="18" t="s">
        <v>129</v>
      </c>
      <c r="B41" s="5" t="s">
        <v>130</v>
      </c>
      <c r="C41" s="18" t="s">
        <v>71</v>
      </c>
      <c r="D41" s="18" t="s">
        <v>88</v>
      </c>
      <c r="E41" s="6">
        <v>8700000</v>
      </c>
      <c r="F41" s="19">
        <v>0.59</v>
      </c>
      <c r="G41" s="18">
        <v>39</v>
      </c>
      <c r="H41" s="20">
        <v>8.9</v>
      </c>
      <c r="I41" s="21" t="str">
        <f t="shared" si="0"/>
        <v>No cumple</v>
      </c>
      <c r="J41" s="22" t="str">
        <f t="shared" si="1"/>
        <v>Sin bono</v>
      </c>
      <c r="K41" s="23" t="str">
        <f t="shared" si="2"/>
        <v>ALERTA</v>
      </c>
      <c r="L41" s="24" t="str">
        <f t="shared" si="3"/>
        <v>Revisar</v>
      </c>
    </row>
    <row r="42" spans="1:12" ht="18" customHeight="1" x14ac:dyDescent="0.3">
      <c r="A42" s="25" t="s">
        <v>131</v>
      </c>
      <c r="B42" s="8" t="s">
        <v>132</v>
      </c>
      <c r="C42" s="25" t="s">
        <v>91</v>
      </c>
      <c r="D42" s="25" t="s">
        <v>64</v>
      </c>
      <c r="E42" s="9">
        <v>3900000</v>
      </c>
      <c r="F42" s="26">
        <v>0.96</v>
      </c>
      <c r="G42" s="25">
        <v>60</v>
      </c>
      <c r="H42" s="27">
        <v>3.3</v>
      </c>
      <c r="I42" s="21" t="str">
        <f t="shared" si="0"/>
        <v>Cumple</v>
      </c>
      <c r="J42" s="22" t="str">
        <f t="shared" si="1"/>
        <v>Sin bono</v>
      </c>
      <c r="K42" s="23" t="str">
        <f t="shared" si="2"/>
        <v>OK</v>
      </c>
      <c r="L42" s="24" t="str">
        <f t="shared" si="3"/>
        <v>Revisar</v>
      </c>
    </row>
    <row r="43" spans="1:12" ht="18" customHeight="1" x14ac:dyDescent="0.3">
      <c r="A43" s="18" t="s">
        <v>133</v>
      </c>
      <c r="B43" s="5" t="s">
        <v>134</v>
      </c>
      <c r="C43" s="18" t="s">
        <v>67</v>
      </c>
      <c r="D43" s="18" t="s">
        <v>68</v>
      </c>
      <c r="E43" s="6">
        <v>3500000</v>
      </c>
      <c r="F43" s="19">
        <v>0.54</v>
      </c>
      <c r="G43" s="18">
        <v>30</v>
      </c>
      <c r="H43" s="20">
        <v>19.7</v>
      </c>
      <c r="I43" s="21" t="str">
        <f t="shared" si="0"/>
        <v>No cumple</v>
      </c>
      <c r="J43" s="22" t="str">
        <f t="shared" si="1"/>
        <v>Sin bono</v>
      </c>
      <c r="K43" s="23" t="str">
        <f t="shared" si="2"/>
        <v>ALERTA</v>
      </c>
      <c r="L43" s="24" t="str">
        <f t="shared" si="3"/>
        <v>Revisar</v>
      </c>
    </row>
    <row r="44" spans="1:12" ht="18" customHeight="1" x14ac:dyDescent="0.3">
      <c r="A44" s="25" t="s">
        <v>135</v>
      </c>
      <c r="B44" s="8" t="s">
        <v>136</v>
      </c>
      <c r="C44" s="25" t="s">
        <v>77</v>
      </c>
      <c r="D44" s="25" t="s">
        <v>88</v>
      </c>
      <c r="E44" s="9">
        <v>8200000</v>
      </c>
      <c r="F44" s="26">
        <v>0.83</v>
      </c>
      <c r="G44" s="25">
        <v>92</v>
      </c>
      <c r="H44" s="27">
        <v>3.1</v>
      </c>
      <c r="I44" s="21" t="str">
        <f t="shared" si="0"/>
        <v>Cumple</v>
      </c>
      <c r="J44" s="22" t="str">
        <f t="shared" si="1"/>
        <v>BONO</v>
      </c>
      <c r="K44" s="23" t="str">
        <f t="shared" si="2"/>
        <v>OK</v>
      </c>
      <c r="L44" s="24" t="str">
        <f t="shared" si="3"/>
        <v>Bueno</v>
      </c>
    </row>
    <row r="45" spans="1:12" ht="18" customHeight="1" x14ac:dyDescent="0.3">
      <c r="A45" s="18" t="s">
        <v>137</v>
      </c>
      <c r="B45" s="5" t="s">
        <v>138</v>
      </c>
      <c r="C45" s="18" t="s">
        <v>91</v>
      </c>
      <c r="D45" s="18" t="s">
        <v>64</v>
      </c>
      <c r="E45" s="6">
        <v>6800000</v>
      </c>
      <c r="F45" s="19">
        <v>0.48</v>
      </c>
      <c r="G45" s="18">
        <v>91</v>
      </c>
      <c r="H45" s="20">
        <v>10.1</v>
      </c>
      <c r="I45" s="21" t="str">
        <f t="shared" si="0"/>
        <v>No cumple</v>
      </c>
      <c r="J45" s="22" t="str">
        <f t="shared" si="1"/>
        <v>Sin bono</v>
      </c>
      <c r="K45" s="23" t="str">
        <f t="shared" si="2"/>
        <v>ALERTA</v>
      </c>
      <c r="L45" s="24" t="str">
        <f t="shared" si="3"/>
        <v>Revisar</v>
      </c>
    </row>
    <row r="46" spans="1:12" ht="18" customHeight="1" x14ac:dyDescent="0.3">
      <c r="A46" s="25" t="s">
        <v>139</v>
      </c>
      <c r="B46" s="8" t="s">
        <v>140</v>
      </c>
      <c r="C46" s="25" t="s">
        <v>91</v>
      </c>
      <c r="D46" s="25" t="s">
        <v>78</v>
      </c>
      <c r="E46" s="9">
        <v>5100000</v>
      </c>
      <c r="F46" s="26">
        <v>0.49</v>
      </c>
      <c r="G46" s="25">
        <v>38</v>
      </c>
      <c r="H46" s="27">
        <v>13.5</v>
      </c>
      <c r="I46" s="21" t="str">
        <f t="shared" si="0"/>
        <v>No cumple</v>
      </c>
      <c r="J46" s="22" t="str">
        <f t="shared" si="1"/>
        <v>Sin bono</v>
      </c>
      <c r="K46" s="23" t="str">
        <f t="shared" si="2"/>
        <v>ALERTA</v>
      </c>
      <c r="L46" s="24" t="str">
        <f t="shared" si="3"/>
        <v>Revisar</v>
      </c>
    </row>
    <row r="47" spans="1:12" ht="18" customHeight="1" x14ac:dyDescent="0.3">
      <c r="A47" s="18" t="s">
        <v>141</v>
      </c>
      <c r="B47" s="5" t="s">
        <v>142</v>
      </c>
      <c r="C47" s="18" t="s">
        <v>74</v>
      </c>
      <c r="D47" s="18" t="s">
        <v>60</v>
      </c>
      <c r="E47" s="6">
        <v>10200000</v>
      </c>
      <c r="F47" s="19">
        <v>0.78</v>
      </c>
      <c r="G47" s="18">
        <v>40</v>
      </c>
      <c r="H47" s="20">
        <v>8.4</v>
      </c>
      <c r="I47" s="21" t="str">
        <f t="shared" si="0"/>
        <v>No cumple</v>
      </c>
      <c r="J47" s="22" t="str">
        <f t="shared" si="1"/>
        <v>Sin bono</v>
      </c>
      <c r="K47" s="23" t="str">
        <f t="shared" si="2"/>
        <v>ALERTA</v>
      </c>
      <c r="L47" s="24" t="str">
        <f t="shared" si="3"/>
        <v>Revisar</v>
      </c>
    </row>
    <row r="48" spans="1:12" ht="18" customHeight="1" x14ac:dyDescent="0.3">
      <c r="A48" s="25" t="s">
        <v>143</v>
      </c>
      <c r="B48" s="8" t="s">
        <v>144</v>
      </c>
      <c r="C48" s="25" t="s">
        <v>81</v>
      </c>
      <c r="D48" s="25" t="s">
        <v>88</v>
      </c>
      <c r="E48" s="9">
        <v>5400000</v>
      </c>
      <c r="F48" s="26">
        <v>0.82</v>
      </c>
      <c r="G48" s="25">
        <v>70</v>
      </c>
      <c r="H48" s="27">
        <v>4.8</v>
      </c>
      <c r="I48" s="21" t="str">
        <f t="shared" si="0"/>
        <v>Cumple</v>
      </c>
      <c r="J48" s="22" t="str">
        <f t="shared" si="1"/>
        <v>BONO</v>
      </c>
      <c r="K48" s="23" t="str">
        <f t="shared" si="2"/>
        <v>OK</v>
      </c>
      <c r="L48" s="24" t="str">
        <f t="shared" si="3"/>
        <v>Bueno</v>
      </c>
    </row>
    <row r="49" spans="1:12" ht="18" customHeight="1" x14ac:dyDescent="0.3">
      <c r="A49" s="18" t="s">
        <v>145</v>
      </c>
      <c r="B49" s="5" t="s">
        <v>146</v>
      </c>
      <c r="C49" s="18" t="s">
        <v>59</v>
      </c>
      <c r="D49" s="18" t="s">
        <v>105</v>
      </c>
      <c r="E49" s="6">
        <v>6800000</v>
      </c>
      <c r="F49" s="19">
        <v>0.96</v>
      </c>
      <c r="G49" s="18">
        <v>39</v>
      </c>
      <c r="H49" s="20">
        <v>0.2</v>
      </c>
      <c r="I49" s="21" t="str">
        <f t="shared" si="0"/>
        <v>Cumple</v>
      </c>
      <c r="J49" s="22" t="str">
        <f t="shared" si="1"/>
        <v>Sin bono</v>
      </c>
      <c r="K49" s="23" t="str">
        <f t="shared" si="2"/>
        <v>ALERTA</v>
      </c>
      <c r="L49" s="24" t="str">
        <f t="shared" si="3"/>
        <v>Revisar</v>
      </c>
    </row>
    <row r="50" spans="1:12" ht="18" customHeight="1" x14ac:dyDescent="0.3">
      <c r="A50" s="25" t="s">
        <v>147</v>
      </c>
      <c r="B50" s="8" t="s">
        <v>148</v>
      </c>
      <c r="C50" s="25" t="s">
        <v>74</v>
      </c>
      <c r="D50" s="25" t="s">
        <v>78</v>
      </c>
      <c r="E50" s="9">
        <v>9600000</v>
      </c>
      <c r="F50" s="26">
        <v>0.56999999999999995</v>
      </c>
      <c r="G50" s="25">
        <v>63</v>
      </c>
      <c r="H50" s="27">
        <v>2.6</v>
      </c>
      <c r="I50" s="21" t="str">
        <f t="shared" si="0"/>
        <v>No cumple</v>
      </c>
      <c r="J50" s="22" t="str">
        <f t="shared" si="1"/>
        <v>Sin bono</v>
      </c>
      <c r="K50" s="23" t="str">
        <f t="shared" si="2"/>
        <v>ALERTA</v>
      </c>
      <c r="L50" s="24" t="str">
        <f t="shared" si="3"/>
        <v>Revisar</v>
      </c>
    </row>
    <row r="51" spans="1:12" ht="18" customHeight="1" x14ac:dyDescent="0.3">
      <c r="A51" s="18" t="s">
        <v>149</v>
      </c>
      <c r="B51" s="5" t="s">
        <v>150</v>
      </c>
      <c r="C51" s="18" t="s">
        <v>74</v>
      </c>
      <c r="D51" s="18" t="s">
        <v>60</v>
      </c>
      <c r="E51" s="6">
        <v>7500000</v>
      </c>
      <c r="F51" s="19">
        <v>0.61</v>
      </c>
      <c r="G51" s="18">
        <v>86</v>
      </c>
      <c r="H51" s="20">
        <v>16.7</v>
      </c>
      <c r="I51" s="21" t="str">
        <f t="shared" si="0"/>
        <v>No cumple</v>
      </c>
      <c r="J51" s="22" t="str">
        <f t="shared" si="1"/>
        <v>Sin bono</v>
      </c>
      <c r="K51" s="23" t="str">
        <f t="shared" si="2"/>
        <v>OK</v>
      </c>
      <c r="L51" s="24" t="str">
        <f t="shared" si="3"/>
        <v>Revisar</v>
      </c>
    </row>
    <row r="52" spans="1:12" ht="18" customHeight="1" x14ac:dyDescent="0.3">
      <c r="A52" s="25" t="s">
        <v>151</v>
      </c>
      <c r="B52" s="8" t="s">
        <v>152</v>
      </c>
      <c r="C52" s="25" t="s">
        <v>91</v>
      </c>
      <c r="D52" s="25" t="s">
        <v>88</v>
      </c>
      <c r="E52" s="9">
        <v>11200000</v>
      </c>
      <c r="F52" s="26">
        <v>0.51</v>
      </c>
      <c r="G52" s="25">
        <v>47</v>
      </c>
      <c r="H52" s="27">
        <v>5.3</v>
      </c>
      <c r="I52" s="21" t="str">
        <f t="shared" si="0"/>
        <v>No cumple</v>
      </c>
      <c r="J52" s="22" t="str">
        <f t="shared" si="1"/>
        <v>Sin bono</v>
      </c>
      <c r="K52" s="23" t="str">
        <f t="shared" si="2"/>
        <v>ALERTA</v>
      </c>
      <c r="L52" s="24" t="str">
        <f t="shared" si="3"/>
        <v>Revisar</v>
      </c>
    </row>
    <row r="53" spans="1:12" ht="18" customHeight="1" x14ac:dyDescent="0.3">
      <c r="A53" s="18" t="s">
        <v>153</v>
      </c>
      <c r="B53" s="5" t="s">
        <v>154</v>
      </c>
      <c r="C53" s="18" t="s">
        <v>71</v>
      </c>
      <c r="D53" s="18" t="s">
        <v>88</v>
      </c>
      <c r="E53" s="6">
        <v>6400000</v>
      </c>
      <c r="F53" s="19">
        <v>0.78</v>
      </c>
      <c r="G53" s="18">
        <v>73</v>
      </c>
      <c r="H53" s="20">
        <v>4.0999999999999996</v>
      </c>
      <c r="I53" s="21" t="str">
        <f t="shared" si="0"/>
        <v>No cumple</v>
      </c>
      <c r="J53" s="22" t="str">
        <f t="shared" si="1"/>
        <v>Sin bono</v>
      </c>
      <c r="K53" s="23" t="str">
        <f t="shared" si="2"/>
        <v>OK</v>
      </c>
      <c r="L53" s="24" t="str">
        <f t="shared" si="3"/>
        <v>Revisar</v>
      </c>
    </row>
    <row r="54" spans="1:12" ht="18" customHeight="1" x14ac:dyDescent="0.3">
      <c r="A54" s="25" t="s">
        <v>155</v>
      </c>
      <c r="B54" s="8" t="s">
        <v>156</v>
      </c>
      <c r="C54" s="25" t="s">
        <v>77</v>
      </c>
      <c r="D54" s="25" t="s">
        <v>88</v>
      </c>
      <c r="E54" s="9">
        <v>3400000</v>
      </c>
      <c r="F54" s="26">
        <v>0.5</v>
      </c>
      <c r="G54" s="25">
        <v>84</v>
      </c>
      <c r="H54" s="27">
        <v>16.600000000000001</v>
      </c>
      <c r="I54" s="21" t="str">
        <f t="shared" si="0"/>
        <v>No cumple</v>
      </c>
      <c r="J54" s="22" t="str">
        <f t="shared" si="1"/>
        <v>Sin bono</v>
      </c>
      <c r="K54" s="23" t="str">
        <f t="shared" si="2"/>
        <v>ALERTA</v>
      </c>
      <c r="L54" s="24" t="str">
        <f t="shared" si="3"/>
        <v>Revisar</v>
      </c>
    </row>
    <row r="55" spans="1:12" ht="18" customHeight="1" x14ac:dyDescent="0.3">
      <c r="A55" s="18" t="s">
        <v>157</v>
      </c>
      <c r="B55" s="5" t="s">
        <v>158</v>
      </c>
      <c r="C55" s="18" t="s">
        <v>81</v>
      </c>
      <c r="D55" s="18" t="s">
        <v>114</v>
      </c>
      <c r="E55" s="6">
        <v>10900000</v>
      </c>
      <c r="F55" s="19">
        <v>0.99</v>
      </c>
      <c r="G55" s="18">
        <v>50</v>
      </c>
      <c r="H55" s="20">
        <v>14.8</v>
      </c>
      <c r="I55" s="21" t="str">
        <f t="shared" si="0"/>
        <v>Cumple</v>
      </c>
      <c r="J55" s="22" t="str">
        <f t="shared" si="1"/>
        <v>Sin bono</v>
      </c>
      <c r="K55" s="23" t="str">
        <f t="shared" si="2"/>
        <v>OK</v>
      </c>
      <c r="L55" s="24" t="str">
        <f t="shared" si="3"/>
        <v>Revisar</v>
      </c>
    </row>
    <row r="56" spans="1:12" ht="18" customHeight="1" x14ac:dyDescent="0.3">
      <c r="A56" s="25" t="s">
        <v>159</v>
      </c>
      <c r="B56" s="8" t="s">
        <v>160</v>
      </c>
      <c r="C56" s="25" t="s">
        <v>63</v>
      </c>
      <c r="D56" s="25" t="s">
        <v>64</v>
      </c>
      <c r="E56" s="9">
        <v>4200000</v>
      </c>
      <c r="F56" s="26">
        <v>0.49</v>
      </c>
      <c r="G56" s="25">
        <v>49</v>
      </c>
      <c r="H56" s="27">
        <v>10.9</v>
      </c>
      <c r="I56" s="21" t="str">
        <f t="shared" si="0"/>
        <v>No cumple</v>
      </c>
      <c r="J56" s="22" t="str">
        <f t="shared" si="1"/>
        <v>Sin bono</v>
      </c>
      <c r="K56" s="23" t="str">
        <f t="shared" si="2"/>
        <v>ALERTA</v>
      </c>
      <c r="L56" s="24" t="str">
        <f t="shared" si="3"/>
        <v>Revisar</v>
      </c>
    </row>
    <row r="57" spans="1:12" ht="18" customHeight="1" x14ac:dyDescent="0.3">
      <c r="A57" s="18" t="s">
        <v>161</v>
      </c>
      <c r="B57" s="5" t="s">
        <v>162</v>
      </c>
      <c r="C57" s="18" t="s">
        <v>71</v>
      </c>
      <c r="D57" s="18" t="s">
        <v>68</v>
      </c>
      <c r="E57" s="6">
        <v>4400000</v>
      </c>
      <c r="F57" s="19">
        <v>0.47</v>
      </c>
      <c r="G57" s="18">
        <v>76</v>
      </c>
      <c r="H57" s="20">
        <v>18</v>
      </c>
      <c r="I57" s="21" t="str">
        <f t="shared" si="0"/>
        <v>No cumple</v>
      </c>
      <c r="J57" s="22" t="str">
        <f t="shared" si="1"/>
        <v>Sin bono</v>
      </c>
      <c r="K57" s="23" t="str">
        <f t="shared" si="2"/>
        <v>ALERTA</v>
      </c>
      <c r="L57" s="24" t="str">
        <f t="shared" si="3"/>
        <v>Revisar</v>
      </c>
    </row>
    <row r="58" spans="1:12" ht="18" customHeight="1" x14ac:dyDescent="0.3">
      <c r="A58" s="25" t="s">
        <v>163</v>
      </c>
      <c r="B58" s="8" t="s">
        <v>164</v>
      </c>
      <c r="C58" s="25" t="s">
        <v>81</v>
      </c>
      <c r="D58" s="25" t="s">
        <v>60</v>
      </c>
      <c r="E58" s="9">
        <v>11500000</v>
      </c>
      <c r="F58" s="26">
        <v>0.59</v>
      </c>
      <c r="G58" s="25">
        <v>43</v>
      </c>
      <c r="H58" s="27">
        <v>7.1</v>
      </c>
      <c r="I58" s="21" t="str">
        <f t="shared" si="0"/>
        <v>No cumple</v>
      </c>
      <c r="J58" s="22" t="str">
        <f t="shared" si="1"/>
        <v>Sin bono</v>
      </c>
      <c r="K58" s="23" t="str">
        <f t="shared" si="2"/>
        <v>ALERTA</v>
      </c>
      <c r="L58" s="24" t="str">
        <f t="shared" si="3"/>
        <v>Revisar</v>
      </c>
    </row>
    <row r="59" spans="1:12" ht="18" customHeight="1" x14ac:dyDescent="0.3">
      <c r="A59" s="18" t="s">
        <v>165</v>
      </c>
      <c r="B59" s="5" t="s">
        <v>166</v>
      </c>
      <c r="C59" s="18" t="s">
        <v>63</v>
      </c>
      <c r="D59" s="18" t="s">
        <v>114</v>
      </c>
      <c r="E59" s="6">
        <v>5800000</v>
      </c>
      <c r="F59" s="19">
        <v>0.93</v>
      </c>
      <c r="G59" s="18">
        <v>52</v>
      </c>
      <c r="H59" s="20">
        <v>17.600000000000001</v>
      </c>
      <c r="I59" s="21" t="str">
        <f t="shared" si="0"/>
        <v>Cumple</v>
      </c>
      <c r="J59" s="22" t="str">
        <f t="shared" si="1"/>
        <v>Sin bono</v>
      </c>
      <c r="K59" s="23" t="str">
        <f t="shared" si="2"/>
        <v>OK</v>
      </c>
      <c r="L59" s="24" t="str">
        <f t="shared" si="3"/>
        <v>Revisar</v>
      </c>
    </row>
    <row r="60" spans="1:12" ht="18" customHeight="1" x14ac:dyDescent="0.3">
      <c r="A60" s="25" t="s">
        <v>167</v>
      </c>
      <c r="B60" s="8" t="s">
        <v>168</v>
      </c>
      <c r="C60" s="25" t="s">
        <v>81</v>
      </c>
      <c r="D60" s="25" t="s">
        <v>68</v>
      </c>
      <c r="E60" s="9">
        <v>11300000</v>
      </c>
      <c r="F60" s="26">
        <v>0.93</v>
      </c>
      <c r="G60" s="25">
        <v>61</v>
      </c>
      <c r="H60" s="27">
        <v>5.3</v>
      </c>
      <c r="I60" s="21" t="str">
        <f t="shared" si="0"/>
        <v>Cumple</v>
      </c>
      <c r="J60" s="22" t="str">
        <f t="shared" si="1"/>
        <v>Sin bono</v>
      </c>
      <c r="K60" s="23" t="str">
        <f t="shared" si="2"/>
        <v>OK</v>
      </c>
      <c r="L60" s="24" t="str">
        <f t="shared" si="3"/>
        <v>Revisar</v>
      </c>
    </row>
    <row r="61" spans="1:12" ht="18" customHeight="1" x14ac:dyDescent="0.3">
      <c r="A61" s="18" t="s">
        <v>169</v>
      </c>
      <c r="B61" s="5" t="s">
        <v>170</v>
      </c>
      <c r="C61" s="18" t="s">
        <v>91</v>
      </c>
      <c r="D61" s="18" t="s">
        <v>105</v>
      </c>
      <c r="E61" s="6">
        <v>5600000</v>
      </c>
      <c r="F61" s="19">
        <v>0.56000000000000005</v>
      </c>
      <c r="G61" s="18">
        <v>88</v>
      </c>
      <c r="H61" s="20">
        <v>7</v>
      </c>
      <c r="I61" s="21" t="str">
        <f t="shared" si="0"/>
        <v>No cumple</v>
      </c>
      <c r="J61" s="22" t="str">
        <f t="shared" si="1"/>
        <v>Sin bono</v>
      </c>
      <c r="K61" s="23" t="str">
        <f t="shared" si="2"/>
        <v>ALERTA</v>
      </c>
      <c r="L61" s="24" t="str">
        <f t="shared" si="3"/>
        <v>Revisar</v>
      </c>
    </row>
    <row r="62" spans="1:12" ht="18" customHeight="1" x14ac:dyDescent="0.3">
      <c r="A62" s="25" t="s">
        <v>171</v>
      </c>
      <c r="B62" s="8" t="s">
        <v>172</v>
      </c>
      <c r="C62" s="25" t="s">
        <v>91</v>
      </c>
      <c r="D62" s="25" t="s">
        <v>60</v>
      </c>
      <c r="E62" s="9">
        <v>7900000</v>
      </c>
      <c r="F62" s="26">
        <v>0.63</v>
      </c>
      <c r="G62" s="25">
        <v>38</v>
      </c>
      <c r="H62" s="27">
        <v>19.3</v>
      </c>
      <c r="I62" s="21" t="str">
        <f t="shared" si="0"/>
        <v>No cumple</v>
      </c>
      <c r="J62" s="22" t="str">
        <f t="shared" si="1"/>
        <v>Sin bono</v>
      </c>
      <c r="K62" s="23" t="str">
        <f t="shared" si="2"/>
        <v>ALERTA</v>
      </c>
      <c r="L62" s="24" t="str">
        <f t="shared" si="3"/>
        <v>Revisar</v>
      </c>
    </row>
    <row r="63" spans="1:12" ht="18" customHeight="1" x14ac:dyDescent="0.3">
      <c r="A63" s="18" t="s">
        <v>173</v>
      </c>
      <c r="B63" s="5" t="s">
        <v>174</v>
      </c>
      <c r="C63" s="18" t="s">
        <v>63</v>
      </c>
      <c r="D63" s="18" t="s">
        <v>92</v>
      </c>
      <c r="E63" s="6">
        <v>3100000</v>
      </c>
      <c r="F63" s="19">
        <v>0.51</v>
      </c>
      <c r="G63" s="18">
        <v>63</v>
      </c>
      <c r="H63" s="20">
        <v>3.6</v>
      </c>
      <c r="I63" s="21" t="str">
        <f t="shared" si="0"/>
        <v>No cumple</v>
      </c>
      <c r="J63" s="22" t="str">
        <f t="shared" si="1"/>
        <v>Sin bono</v>
      </c>
      <c r="K63" s="23" t="str">
        <f t="shared" si="2"/>
        <v>ALERTA</v>
      </c>
      <c r="L63" s="24" t="str">
        <f t="shared" si="3"/>
        <v>Revisar</v>
      </c>
    </row>
    <row r="64" spans="1:12" ht="18" customHeight="1" x14ac:dyDescent="0.3">
      <c r="A64" s="25" t="s">
        <v>175</v>
      </c>
      <c r="B64" s="8" t="s">
        <v>176</v>
      </c>
      <c r="C64" s="25" t="s">
        <v>74</v>
      </c>
      <c r="D64" s="25" t="s">
        <v>68</v>
      </c>
      <c r="E64" s="9">
        <v>7200000</v>
      </c>
      <c r="F64" s="26">
        <v>0.85</v>
      </c>
      <c r="G64" s="25">
        <v>70</v>
      </c>
      <c r="H64" s="27">
        <v>8.6999999999999993</v>
      </c>
      <c r="I64" s="21" t="str">
        <f t="shared" si="0"/>
        <v>Cumple</v>
      </c>
      <c r="J64" s="22" t="str">
        <f t="shared" si="1"/>
        <v>BONO</v>
      </c>
      <c r="K64" s="23" t="str">
        <f t="shared" si="2"/>
        <v>OK</v>
      </c>
      <c r="L64" s="24" t="str">
        <f t="shared" si="3"/>
        <v>Bueno</v>
      </c>
    </row>
    <row r="65" spans="1:12" ht="18" customHeight="1" x14ac:dyDescent="0.3">
      <c r="A65" s="18" t="s">
        <v>177</v>
      </c>
      <c r="B65" s="5" t="s">
        <v>178</v>
      </c>
      <c r="C65" s="18" t="s">
        <v>63</v>
      </c>
      <c r="D65" s="18" t="s">
        <v>60</v>
      </c>
      <c r="E65" s="6">
        <v>6000000</v>
      </c>
      <c r="F65" s="19">
        <v>0.47</v>
      </c>
      <c r="G65" s="18">
        <v>85</v>
      </c>
      <c r="H65" s="20">
        <v>0</v>
      </c>
      <c r="I65" s="21" t="str">
        <f t="shared" si="0"/>
        <v>No cumple</v>
      </c>
      <c r="J65" s="22" t="str">
        <f t="shared" si="1"/>
        <v>Sin bono</v>
      </c>
      <c r="K65" s="23" t="str">
        <f t="shared" si="2"/>
        <v>ALERTA</v>
      </c>
      <c r="L65" s="24" t="str">
        <f t="shared" si="3"/>
        <v>Revisar</v>
      </c>
    </row>
    <row r="66" spans="1:12" ht="18" customHeight="1" x14ac:dyDescent="0.3">
      <c r="A66" s="25" t="s">
        <v>179</v>
      </c>
      <c r="B66" s="8" t="s">
        <v>180</v>
      </c>
      <c r="C66" s="25" t="s">
        <v>67</v>
      </c>
      <c r="D66" s="25" t="s">
        <v>92</v>
      </c>
      <c r="E66" s="9">
        <v>8300000</v>
      </c>
      <c r="F66" s="26">
        <v>0.49</v>
      </c>
      <c r="G66" s="25">
        <v>72</v>
      </c>
      <c r="H66" s="27">
        <v>12.5</v>
      </c>
      <c r="I66" s="21" t="str">
        <f t="shared" si="0"/>
        <v>No cumple</v>
      </c>
      <c r="J66" s="22" t="str">
        <f t="shared" si="1"/>
        <v>Sin bono</v>
      </c>
      <c r="K66" s="23" t="str">
        <f t="shared" si="2"/>
        <v>ALERTA</v>
      </c>
      <c r="L66" s="24" t="str">
        <f t="shared" si="3"/>
        <v>Revisar</v>
      </c>
    </row>
    <row r="67" spans="1:12" ht="18" customHeight="1" x14ac:dyDescent="0.3">
      <c r="A67" s="18" t="s">
        <v>181</v>
      </c>
      <c r="B67" s="5" t="s">
        <v>182</v>
      </c>
      <c r="C67" s="18" t="s">
        <v>59</v>
      </c>
      <c r="D67" s="18" t="s">
        <v>88</v>
      </c>
      <c r="E67" s="6">
        <v>11300000</v>
      </c>
      <c r="F67" s="19">
        <v>0.67</v>
      </c>
      <c r="G67" s="18">
        <v>81</v>
      </c>
      <c r="H67" s="20">
        <v>13.9</v>
      </c>
      <c r="I67" s="21" t="str">
        <f t="shared" si="0"/>
        <v>No cumple</v>
      </c>
      <c r="J67" s="22" t="str">
        <f t="shared" si="1"/>
        <v>Sin bono</v>
      </c>
      <c r="K67" s="23" t="str">
        <f t="shared" si="2"/>
        <v>OK</v>
      </c>
      <c r="L67" s="24" t="str">
        <f t="shared" si="3"/>
        <v>Revisar</v>
      </c>
    </row>
    <row r="68" spans="1:12" ht="18" customHeight="1" x14ac:dyDescent="0.3">
      <c r="A68" s="25" t="s">
        <v>183</v>
      </c>
      <c r="B68" s="8" t="s">
        <v>184</v>
      </c>
      <c r="C68" s="25" t="s">
        <v>67</v>
      </c>
      <c r="D68" s="25" t="s">
        <v>68</v>
      </c>
      <c r="E68" s="9">
        <v>11300000</v>
      </c>
      <c r="F68" s="26">
        <v>0.97</v>
      </c>
      <c r="G68" s="25">
        <v>52</v>
      </c>
      <c r="H68" s="27">
        <v>12.3</v>
      </c>
      <c r="I68" s="21" t="str">
        <f t="shared" si="0"/>
        <v>Cumple</v>
      </c>
      <c r="J68" s="22" t="str">
        <f t="shared" si="1"/>
        <v>Sin bono</v>
      </c>
      <c r="K68" s="23" t="str">
        <f t="shared" si="2"/>
        <v>OK</v>
      </c>
      <c r="L68" s="24" t="str">
        <f t="shared" si="3"/>
        <v>Revisar</v>
      </c>
    </row>
    <row r="69" spans="1:12" ht="18" customHeight="1" x14ac:dyDescent="0.3">
      <c r="A69" s="18" t="s">
        <v>185</v>
      </c>
      <c r="B69" s="5" t="s">
        <v>186</v>
      </c>
      <c r="C69" s="18" t="s">
        <v>91</v>
      </c>
      <c r="D69" s="18" t="s">
        <v>88</v>
      </c>
      <c r="E69" s="6">
        <v>6400000</v>
      </c>
      <c r="F69" s="19">
        <v>0.56999999999999995</v>
      </c>
      <c r="G69" s="18">
        <v>71</v>
      </c>
      <c r="H69" s="20">
        <v>9.3000000000000007</v>
      </c>
      <c r="I69" s="21" t="str">
        <f t="shared" si="0"/>
        <v>No cumple</v>
      </c>
      <c r="J69" s="22" t="str">
        <f t="shared" si="1"/>
        <v>Sin bono</v>
      </c>
      <c r="K69" s="23" t="str">
        <f t="shared" si="2"/>
        <v>ALERTA</v>
      </c>
      <c r="L69" s="24" t="str">
        <f t="shared" si="3"/>
        <v>Revisar</v>
      </c>
    </row>
    <row r="70" spans="1:12" ht="18" customHeight="1" x14ac:dyDescent="0.3">
      <c r="A70" s="25" t="s">
        <v>187</v>
      </c>
      <c r="B70" s="8" t="s">
        <v>188</v>
      </c>
      <c r="C70" s="25" t="s">
        <v>67</v>
      </c>
      <c r="D70" s="25" t="s">
        <v>105</v>
      </c>
      <c r="E70" s="9">
        <v>4900000</v>
      </c>
      <c r="F70" s="26">
        <v>0.81</v>
      </c>
      <c r="G70" s="25">
        <v>66</v>
      </c>
      <c r="H70" s="27">
        <v>10.3</v>
      </c>
      <c r="I70" s="21" t="str">
        <f t="shared" si="0"/>
        <v>Cumple</v>
      </c>
      <c r="J70" s="22" t="str">
        <f t="shared" si="1"/>
        <v>Sin bono</v>
      </c>
      <c r="K70" s="23" t="str">
        <f t="shared" si="2"/>
        <v>OK</v>
      </c>
      <c r="L70" s="24" t="str">
        <f t="shared" si="3"/>
        <v>Revisar</v>
      </c>
    </row>
    <row r="71" spans="1:12" ht="18" customHeight="1" x14ac:dyDescent="0.3">
      <c r="A71" s="18" t="s">
        <v>189</v>
      </c>
      <c r="B71" s="5" t="s">
        <v>190</v>
      </c>
      <c r="C71" s="18" t="s">
        <v>74</v>
      </c>
      <c r="D71" s="18" t="s">
        <v>60</v>
      </c>
      <c r="E71" s="6">
        <v>11400000</v>
      </c>
      <c r="F71" s="19">
        <v>0.62</v>
      </c>
      <c r="G71" s="18">
        <v>55</v>
      </c>
      <c r="H71" s="20">
        <v>2.9</v>
      </c>
      <c r="I71" s="21" t="str">
        <f t="shared" si="0"/>
        <v>No cumple</v>
      </c>
      <c r="J71" s="22" t="str">
        <f t="shared" si="1"/>
        <v>Sin bono</v>
      </c>
      <c r="K71" s="23" t="str">
        <f t="shared" si="2"/>
        <v>OK</v>
      </c>
      <c r="L71" s="24" t="str">
        <f t="shared" si="3"/>
        <v>Revisar</v>
      </c>
    </row>
    <row r="72" spans="1:12" ht="18" customHeight="1" x14ac:dyDescent="0.3">
      <c r="A72" s="25" t="s">
        <v>191</v>
      </c>
      <c r="B72" s="8" t="s">
        <v>192</v>
      </c>
      <c r="C72" s="25" t="s">
        <v>77</v>
      </c>
      <c r="D72" s="25" t="s">
        <v>78</v>
      </c>
      <c r="E72" s="9">
        <v>8600000</v>
      </c>
      <c r="F72" s="26">
        <v>0.68</v>
      </c>
      <c r="G72" s="25">
        <v>54</v>
      </c>
      <c r="H72" s="27">
        <v>14.4</v>
      </c>
      <c r="I72" s="21" t="str">
        <f t="shared" si="0"/>
        <v>No cumple</v>
      </c>
      <c r="J72" s="22" t="str">
        <f t="shared" si="1"/>
        <v>Sin bono</v>
      </c>
      <c r="K72" s="23" t="str">
        <f t="shared" si="2"/>
        <v>OK</v>
      </c>
      <c r="L72" s="24" t="str">
        <f t="shared" si="3"/>
        <v>Revisar</v>
      </c>
    </row>
    <row r="73" spans="1:12" ht="18" customHeight="1" x14ac:dyDescent="0.3">
      <c r="A73" s="18" t="s">
        <v>193</v>
      </c>
      <c r="B73" s="5" t="s">
        <v>194</v>
      </c>
      <c r="C73" s="18" t="s">
        <v>63</v>
      </c>
      <c r="D73" s="18" t="s">
        <v>60</v>
      </c>
      <c r="E73" s="6">
        <v>4600000</v>
      </c>
      <c r="F73" s="19">
        <v>0.81</v>
      </c>
      <c r="G73" s="18">
        <v>30</v>
      </c>
      <c r="H73" s="20">
        <v>17.899999999999999</v>
      </c>
      <c r="I73" s="21" t="str">
        <f t="shared" si="0"/>
        <v>Cumple</v>
      </c>
      <c r="J73" s="22" t="str">
        <f t="shared" si="1"/>
        <v>Sin bono</v>
      </c>
      <c r="K73" s="23" t="str">
        <f t="shared" si="2"/>
        <v>ALERTA</v>
      </c>
      <c r="L73" s="24" t="str">
        <f t="shared" si="3"/>
        <v>Revisar</v>
      </c>
    </row>
    <row r="74" spans="1:12" ht="18" customHeight="1" x14ac:dyDescent="0.3">
      <c r="A74" s="25" t="s">
        <v>195</v>
      </c>
      <c r="B74" s="8" t="s">
        <v>196</v>
      </c>
      <c r="C74" s="25" t="s">
        <v>63</v>
      </c>
      <c r="D74" s="25" t="s">
        <v>60</v>
      </c>
      <c r="E74" s="9">
        <v>5000000</v>
      </c>
      <c r="F74" s="26">
        <v>0.89</v>
      </c>
      <c r="G74" s="25">
        <v>96</v>
      </c>
      <c r="H74" s="27">
        <v>9.3000000000000007</v>
      </c>
      <c r="I74" s="21" t="str">
        <f t="shared" si="0"/>
        <v>Cumple</v>
      </c>
      <c r="J74" s="22" t="str">
        <f t="shared" si="1"/>
        <v>BONO</v>
      </c>
      <c r="K74" s="23" t="str">
        <f t="shared" si="2"/>
        <v>OK</v>
      </c>
      <c r="L74" s="24" t="str">
        <f t="shared" si="3"/>
        <v>Bueno</v>
      </c>
    </row>
    <row r="75" spans="1:12" ht="18" customHeight="1" x14ac:dyDescent="0.3">
      <c r="A75" s="18" t="s">
        <v>197</v>
      </c>
      <c r="B75" s="5" t="s">
        <v>198</v>
      </c>
      <c r="C75" s="18" t="s">
        <v>74</v>
      </c>
      <c r="D75" s="18" t="s">
        <v>105</v>
      </c>
      <c r="E75" s="6">
        <v>4500000</v>
      </c>
      <c r="F75" s="19">
        <v>0.89</v>
      </c>
      <c r="G75" s="18">
        <v>97</v>
      </c>
      <c r="H75" s="20">
        <v>19.8</v>
      </c>
      <c r="I75" s="21" t="str">
        <f t="shared" si="0"/>
        <v>Cumple</v>
      </c>
      <c r="J75" s="22" t="str">
        <f t="shared" si="1"/>
        <v>BONO</v>
      </c>
      <c r="K75" s="23" t="str">
        <f t="shared" si="2"/>
        <v>OK</v>
      </c>
      <c r="L75" s="24" t="str">
        <f t="shared" si="3"/>
        <v>Bueno</v>
      </c>
    </row>
    <row r="76" spans="1:12" ht="18" customHeight="1" x14ac:dyDescent="0.3">
      <c r="A76" s="25" t="s">
        <v>199</v>
      </c>
      <c r="B76" s="8" t="s">
        <v>200</v>
      </c>
      <c r="C76" s="25" t="s">
        <v>77</v>
      </c>
      <c r="D76" s="25" t="s">
        <v>68</v>
      </c>
      <c r="E76" s="9">
        <v>9800000</v>
      </c>
      <c r="F76" s="26">
        <v>0.7</v>
      </c>
      <c r="G76" s="25">
        <v>50</v>
      </c>
      <c r="H76" s="27">
        <v>14.9</v>
      </c>
      <c r="I76" s="21" t="str">
        <f t="shared" si="0"/>
        <v>No cumple</v>
      </c>
      <c r="J76" s="22" t="str">
        <f t="shared" si="1"/>
        <v>Sin bono</v>
      </c>
      <c r="K76" s="23" t="str">
        <f t="shared" si="2"/>
        <v>OK</v>
      </c>
      <c r="L76" s="24" t="str">
        <f t="shared" si="3"/>
        <v>Revisar</v>
      </c>
    </row>
    <row r="77" spans="1:12" ht="18" customHeight="1" x14ac:dyDescent="0.3">
      <c r="A77" s="18" t="s">
        <v>201</v>
      </c>
      <c r="B77" s="5" t="s">
        <v>202</v>
      </c>
      <c r="C77" s="18" t="s">
        <v>59</v>
      </c>
      <c r="D77" s="18" t="s">
        <v>60</v>
      </c>
      <c r="E77" s="6">
        <v>10900000</v>
      </c>
      <c r="F77" s="19">
        <v>0.6</v>
      </c>
      <c r="G77" s="18">
        <v>96</v>
      </c>
      <c r="H77" s="20">
        <v>9.6999999999999993</v>
      </c>
      <c r="I77" s="21" t="str">
        <f t="shared" ref="I77:I140" si="4">IF(F77&gt;=0.8,"Cumple","No cumple")</f>
        <v>No cumple</v>
      </c>
      <c r="J77" s="22" t="str">
        <f t="shared" ref="J77:J140" si="5">IF(AND(F77&gt;=0.8,G77&gt;=70),"BONO","Sin bono")</f>
        <v>Sin bono</v>
      </c>
      <c r="K77" s="23" t="str">
        <f t="shared" ref="K77:K140" si="6">IF(OR(F77&lt;0.6,G77&lt;50),"ALERTA","OK")</f>
        <v>OK</v>
      </c>
      <c r="L77" s="24" t="str">
        <f t="shared" ref="L77:L140" si="7">IF(AND(F77&gt;=0.9,G77&gt;=85),"Excelente",IF(AND(F77&gt;=0.8,G77&gt;=70),"Bueno","Revisar"))</f>
        <v>Revisar</v>
      </c>
    </row>
    <row r="78" spans="1:12" ht="18" customHeight="1" x14ac:dyDescent="0.3">
      <c r="A78" s="25" t="s">
        <v>203</v>
      </c>
      <c r="B78" s="8" t="s">
        <v>204</v>
      </c>
      <c r="C78" s="25" t="s">
        <v>77</v>
      </c>
      <c r="D78" s="25" t="s">
        <v>78</v>
      </c>
      <c r="E78" s="9">
        <v>11900000</v>
      </c>
      <c r="F78" s="26">
        <v>0.61</v>
      </c>
      <c r="G78" s="25">
        <v>64</v>
      </c>
      <c r="H78" s="27">
        <v>6.7</v>
      </c>
      <c r="I78" s="21" t="str">
        <f t="shared" si="4"/>
        <v>No cumple</v>
      </c>
      <c r="J78" s="22" t="str">
        <f t="shared" si="5"/>
        <v>Sin bono</v>
      </c>
      <c r="K78" s="23" t="str">
        <f t="shared" si="6"/>
        <v>OK</v>
      </c>
      <c r="L78" s="24" t="str">
        <f t="shared" si="7"/>
        <v>Revisar</v>
      </c>
    </row>
    <row r="79" spans="1:12" ht="18" customHeight="1" x14ac:dyDescent="0.3">
      <c r="A79" s="18" t="s">
        <v>205</v>
      </c>
      <c r="B79" s="5" t="s">
        <v>206</v>
      </c>
      <c r="C79" s="18" t="s">
        <v>67</v>
      </c>
      <c r="D79" s="18" t="s">
        <v>68</v>
      </c>
      <c r="E79" s="6">
        <v>11600000</v>
      </c>
      <c r="F79" s="19">
        <v>0.53</v>
      </c>
      <c r="G79" s="18">
        <v>57</v>
      </c>
      <c r="H79" s="20">
        <v>1.3</v>
      </c>
      <c r="I79" s="21" t="str">
        <f t="shared" si="4"/>
        <v>No cumple</v>
      </c>
      <c r="J79" s="22" t="str">
        <f t="shared" si="5"/>
        <v>Sin bono</v>
      </c>
      <c r="K79" s="23" t="str">
        <f t="shared" si="6"/>
        <v>ALERTA</v>
      </c>
      <c r="L79" s="24" t="str">
        <f t="shared" si="7"/>
        <v>Revisar</v>
      </c>
    </row>
    <row r="80" spans="1:12" ht="18" customHeight="1" x14ac:dyDescent="0.3">
      <c r="A80" s="25" t="s">
        <v>207</v>
      </c>
      <c r="B80" s="8" t="s">
        <v>208</v>
      </c>
      <c r="C80" s="25" t="s">
        <v>77</v>
      </c>
      <c r="D80" s="25" t="s">
        <v>68</v>
      </c>
      <c r="E80" s="9">
        <v>3500000</v>
      </c>
      <c r="F80" s="26">
        <v>0.56000000000000005</v>
      </c>
      <c r="G80" s="25">
        <v>83</v>
      </c>
      <c r="H80" s="27">
        <v>7.8</v>
      </c>
      <c r="I80" s="21" t="str">
        <f t="shared" si="4"/>
        <v>No cumple</v>
      </c>
      <c r="J80" s="22" t="str">
        <f t="shared" si="5"/>
        <v>Sin bono</v>
      </c>
      <c r="K80" s="23" t="str">
        <f t="shared" si="6"/>
        <v>ALERTA</v>
      </c>
      <c r="L80" s="24" t="str">
        <f t="shared" si="7"/>
        <v>Revisar</v>
      </c>
    </row>
    <row r="81" spans="1:12" ht="18" customHeight="1" x14ac:dyDescent="0.3">
      <c r="A81" s="18" t="s">
        <v>209</v>
      </c>
      <c r="B81" s="5" t="s">
        <v>210</v>
      </c>
      <c r="C81" s="18" t="s">
        <v>91</v>
      </c>
      <c r="D81" s="18" t="s">
        <v>68</v>
      </c>
      <c r="E81" s="6">
        <v>8900000</v>
      </c>
      <c r="F81" s="19">
        <v>0.45</v>
      </c>
      <c r="G81" s="18">
        <v>75</v>
      </c>
      <c r="H81" s="20">
        <v>6</v>
      </c>
      <c r="I81" s="21" t="str">
        <f t="shared" si="4"/>
        <v>No cumple</v>
      </c>
      <c r="J81" s="22" t="str">
        <f t="shared" si="5"/>
        <v>Sin bono</v>
      </c>
      <c r="K81" s="23" t="str">
        <f t="shared" si="6"/>
        <v>ALERTA</v>
      </c>
      <c r="L81" s="24" t="str">
        <f t="shared" si="7"/>
        <v>Revisar</v>
      </c>
    </row>
    <row r="82" spans="1:12" ht="18" customHeight="1" x14ac:dyDescent="0.3">
      <c r="A82" s="25" t="s">
        <v>211</v>
      </c>
      <c r="B82" s="8" t="s">
        <v>212</v>
      </c>
      <c r="C82" s="25" t="s">
        <v>63</v>
      </c>
      <c r="D82" s="25" t="s">
        <v>60</v>
      </c>
      <c r="E82" s="9">
        <v>9000000</v>
      </c>
      <c r="F82" s="26">
        <v>0.56999999999999995</v>
      </c>
      <c r="G82" s="25">
        <v>85</v>
      </c>
      <c r="H82" s="27">
        <v>9.6999999999999993</v>
      </c>
      <c r="I82" s="21" t="str">
        <f t="shared" si="4"/>
        <v>No cumple</v>
      </c>
      <c r="J82" s="22" t="str">
        <f t="shared" si="5"/>
        <v>Sin bono</v>
      </c>
      <c r="K82" s="23" t="str">
        <f t="shared" si="6"/>
        <v>ALERTA</v>
      </c>
      <c r="L82" s="24" t="str">
        <f t="shared" si="7"/>
        <v>Revisar</v>
      </c>
    </row>
    <row r="83" spans="1:12" ht="18" customHeight="1" x14ac:dyDescent="0.3">
      <c r="A83" s="18" t="s">
        <v>213</v>
      </c>
      <c r="B83" s="5" t="s">
        <v>214</v>
      </c>
      <c r="C83" s="18" t="s">
        <v>63</v>
      </c>
      <c r="D83" s="18" t="s">
        <v>114</v>
      </c>
      <c r="E83" s="6">
        <v>8700000</v>
      </c>
      <c r="F83" s="19">
        <v>0.96</v>
      </c>
      <c r="G83" s="18">
        <v>98</v>
      </c>
      <c r="H83" s="20">
        <v>0.5</v>
      </c>
      <c r="I83" s="21" t="str">
        <f t="shared" si="4"/>
        <v>Cumple</v>
      </c>
      <c r="J83" s="22" t="str">
        <f t="shared" si="5"/>
        <v>BONO</v>
      </c>
      <c r="K83" s="23" t="str">
        <f t="shared" si="6"/>
        <v>OK</v>
      </c>
      <c r="L83" s="24" t="str">
        <f t="shared" si="7"/>
        <v>Excelente</v>
      </c>
    </row>
    <row r="84" spans="1:12" ht="18" customHeight="1" x14ac:dyDescent="0.3">
      <c r="A84" s="25" t="s">
        <v>215</v>
      </c>
      <c r="B84" s="8" t="s">
        <v>216</v>
      </c>
      <c r="C84" s="25" t="s">
        <v>91</v>
      </c>
      <c r="D84" s="25" t="s">
        <v>78</v>
      </c>
      <c r="E84" s="9">
        <v>11000000</v>
      </c>
      <c r="F84" s="26">
        <v>0.69</v>
      </c>
      <c r="G84" s="25">
        <v>89</v>
      </c>
      <c r="H84" s="27">
        <v>3.6</v>
      </c>
      <c r="I84" s="21" t="str">
        <f t="shared" si="4"/>
        <v>No cumple</v>
      </c>
      <c r="J84" s="22" t="str">
        <f t="shared" si="5"/>
        <v>Sin bono</v>
      </c>
      <c r="K84" s="23" t="str">
        <f t="shared" si="6"/>
        <v>OK</v>
      </c>
      <c r="L84" s="24" t="str">
        <f t="shared" si="7"/>
        <v>Revisar</v>
      </c>
    </row>
    <row r="85" spans="1:12" ht="18" customHeight="1" x14ac:dyDescent="0.3">
      <c r="A85" s="18" t="s">
        <v>217</v>
      </c>
      <c r="B85" s="5" t="s">
        <v>218</v>
      </c>
      <c r="C85" s="18" t="s">
        <v>81</v>
      </c>
      <c r="D85" s="18" t="s">
        <v>60</v>
      </c>
      <c r="E85" s="6">
        <v>8600000</v>
      </c>
      <c r="F85" s="19">
        <v>0.63</v>
      </c>
      <c r="G85" s="18">
        <v>78</v>
      </c>
      <c r="H85" s="20">
        <v>5.6</v>
      </c>
      <c r="I85" s="21" t="str">
        <f t="shared" si="4"/>
        <v>No cumple</v>
      </c>
      <c r="J85" s="22" t="str">
        <f t="shared" si="5"/>
        <v>Sin bono</v>
      </c>
      <c r="K85" s="23" t="str">
        <f t="shared" si="6"/>
        <v>OK</v>
      </c>
      <c r="L85" s="24" t="str">
        <f t="shared" si="7"/>
        <v>Revisar</v>
      </c>
    </row>
    <row r="86" spans="1:12" ht="18" customHeight="1" x14ac:dyDescent="0.3">
      <c r="A86" s="25" t="s">
        <v>219</v>
      </c>
      <c r="B86" s="8" t="s">
        <v>220</v>
      </c>
      <c r="C86" s="25" t="s">
        <v>74</v>
      </c>
      <c r="D86" s="25" t="s">
        <v>105</v>
      </c>
      <c r="E86" s="9">
        <v>3000000</v>
      </c>
      <c r="F86" s="26">
        <v>0.86</v>
      </c>
      <c r="G86" s="25">
        <v>36</v>
      </c>
      <c r="H86" s="27">
        <v>20</v>
      </c>
      <c r="I86" s="21" t="str">
        <f t="shared" si="4"/>
        <v>Cumple</v>
      </c>
      <c r="J86" s="22" t="str">
        <f t="shared" si="5"/>
        <v>Sin bono</v>
      </c>
      <c r="K86" s="23" t="str">
        <f t="shared" si="6"/>
        <v>ALERTA</v>
      </c>
      <c r="L86" s="24" t="str">
        <f t="shared" si="7"/>
        <v>Revisar</v>
      </c>
    </row>
    <row r="87" spans="1:12" ht="18" customHeight="1" x14ac:dyDescent="0.3">
      <c r="A87" s="18" t="s">
        <v>221</v>
      </c>
      <c r="B87" s="5" t="s">
        <v>222</v>
      </c>
      <c r="C87" s="18" t="s">
        <v>74</v>
      </c>
      <c r="D87" s="18" t="s">
        <v>64</v>
      </c>
      <c r="E87" s="6">
        <v>3100000</v>
      </c>
      <c r="F87" s="19">
        <v>0.97</v>
      </c>
      <c r="G87" s="18">
        <v>55</v>
      </c>
      <c r="H87" s="20">
        <v>16.8</v>
      </c>
      <c r="I87" s="21" t="str">
        <f t="shared" si="4"/>
        <v>Cumple</v>
      </c>
      <c r="J87" s="22" t="str">
        <f t="shared" si="5"/>
        <v>Sin bono</v>
      </c>
      <c r="K87" s="23" t="str">
        <f t="shared" si="6"/>
        <v>OK</v>
      </c>
      <c r="L87" s="24" t="str">
        <f t="shared" si="7"/>
        <v>Revisar</v>
      </c>
    </row>
    <row r="88" spans="1:12" ht="18" customHeight="1" x14ac:dyDescent="0.3">
      <c r="A88" s="25" t="s">
        <v>223</v>
      </c>
      <c r="B88" s="8" t="s">
        <v>224</v>
      </c>
      <c r="C88" s="25" t="s">
        <v>67</v>
      </c>
      <c r="D88" s="25" t="s">
        <v>114</v>
      </c>
      <c r="E88" s="9">
        <v>8800000</v>
      </c>
      <c r="F88" s="26">
        <v>0.82</v>
      </c>
      <c r="G88" s="25">
        <v>57</v>
      </c>
      <c r="H88" s="27">
        <v>9.3000000000000007</v>
      </c>
      <c r="I88" s="21" t="str">
        <f t="shared" si="4"/>
        <v>Cumple</v>
      </c>
      <c r="J88" s="22" t="str">
        <f t="shared" si="5"/>
        <v>Sin bono</v>
      </c>
      <c r="K88" s="23" t="str">
        <f t="shared" si="6"/>
        <v>OK</v>
      </c>
      <c r="L88" s="24" t="str">
        <f t="shared" si="7"/>
        <v>Revisar</v>
      </c>
    </row>
    <row r="89" spans="1:12" ht="18" customHeight="1" x14ac:dyDescent="0.3">
      <c r="A89" s="18" t="s">
        <v>225</v>
      </c>
      <c r="B89" s="5" t="s">
        <v>226</v>
      </c>
      <c r="C89" s="18" t="s">
        <v>81</v>
      </c>
      <c r="D89" s="18" t="s">
        <v>114</v>
      </c>
      <c r="E89" s="6">
        <v>10500000</v>
      </c>
      <c r="F89" s="19">
        <v>0.78</v>
      </c>
      <c r="G89" s="18">
        <v>44</v>
      </c>
      <c r="H89" s="20">
        <v>15.6</v>
      </c>
      <c r="I89" s="21" t="str">
        <f t="shared" si="4"/>
        <v>No cumple</v>
      </c>
      <c r="J89" s="22" t="str">
        <f t="shared" si="5"/>
        <v>Sin bono</v>
      </c>
      <c r="K89" s="23" t="str">
        <f t="shared" si="6"/>
        <v>ALERTA</v>
      </c>
      <c r="L89" s="24" t="str">
        <f t="shared" si="7"/>
        <v>Revisar</v>
      </c>
    </row>
    <row r="90" spans="1:12" ht="18" customHeight="1" x14ac:dyDescent="0.3">
      <c r="A90" s="25" t="s">
        <v>227</v>
      </c>
      <c r="B90" s="8" t="s">
        <v>228</v>
      </c>
      <c r="C90" s="25" t="s">
        <v>74</v>
      </c>
      <c r="D90" s="25" t="s">
        <v>64</v>
      </c>
      <c r="E90" s="9">
        <v>6700000</v>
      </c>
      <c r="F90" s="26">
        <v>0.77</v>
      </c>
      <c r="G90" s="25">
        <v>78</v>
      </c>
      <c r="H90" s="27">
        <v>7.9</v>
      </c>
      <c r="I90" s="21" t="str">
        <f t="shared" si="4"/>
        <v>No cumple</v>
      </c>
      <c r="J90" s="22" t="str">
        <f t="shared" si="5"/>
        <v>Sin bono</v>
      </c>
      <c r="K90" s="23" t="str">
        <f t="shared" si="6"/>
        <v>OK</v>
      </c>
      <c r="L90" s="24" t="str">
        <f t="shared" si="7"/>
        <v>Revisar</v>
      </c>
    </row>
    <row r="91" spans="1:12" ht="18" customHeight="1" x14ac:dyDescent="0.3">
      <c r="A91" s="18" t="s">
        <v>229</v>
      </c>
      <c r="B91" s="5" t="s">
        <v>230</v>
      </c>
      <c r="C91" s="18" t="s">
        <v>67</v>
      </c>
      <c r="D91" s="18" t="s">
        <v>78</v>
      </c>
      <c r="E91" s="6">
        <v>11700000</v>
      </c>
      <c r="F91" s="19">
        <v>0.87</v>
      </c>
      <c r="G91" s="18">
        <v>45</v>
      </c>
      <c r="H91" s="20">
        <v>15.9</v>
      </c>
      <c r="I91" s="21" t="str">
        <f t="shared" si="4"/>
        <v>Cumple</v>
      </c>
      <c r="J91" s="22" t="str">
        <f t="shared" si="5"/>
        <v>Sin bono</v>
      </c>
      <c r="K91" s="23" t="str">
        <f t="shared" si="6"/>
        <v>ALERTA</v>
      </c>
      <c r="L91" s="24" t="str">
        <f t="shared" si="7"/>
        <v>Revisar</v>
      </c>
    </row>
    <row r="92" spans="1:12" ht="18" customHeight="1" x14ac:dyDescent="0.3">
      <c r="A92" s="25" t="s">
        <v>231</v>
      </c>
      <c r="B92" s="8" t="s">
        <v>232</v>
      </c>
      <c r="C92" s="25" t="s">
        <v>91</v>
      </c>
      <c r="D92" s="25" t="s">
        <v>92</v>
      </c>
      <c r="E92" s="9">
        <v>9600000</v>
      </c>
      <c r="F92" s="26">
        <v>0.69</v>
      </c>
      <c r="G92" s="25">
        <v>77</v>
      </c>
      <c r="H92" s="27">
        <v>1.4</v>
      </c>
      <c r="I92" s="21" t="str">
        <f t="shared" si="4"/>
        <v>No cumple</v>
      </c>
      <c r="J92" s="22" t="str">
        <f t="shared" si="5"/>
        <v>Sin bono</v>
      </c>
      <c r="K92" s="23" t="str">
        <f t="shared" si="6"/>
        <v>OK</v>
      </c>
      <c r="L92" s="24" t="str">
        <f t="shared" si="7"/>
        <v>Revisar</v>
      </c>
    </row>
    <row r="93" spans="1:12" ht="18" customHeight="1" x14ac:dyDescent="0.3">
      <c r="A93" s="18" t="s">
        <v>233</v>
      </c>
      <c r="B93" s="5" t="s">
        <v>234</v>
      </c>
      <c r="C93" s="18" t="s">
        <v>77</v>
      </c>
      <c r="D93" s="18" t="s">
        <v>78</v>
      </c>
      <c r="E93" s="6">
        <v>8300000</v>
      </c>
      <c r="F93" s="19">
        <v>0.98</v>
      </c>
      <c r="G93" s="18">
        <v>88</v>
      </c>
      <c r="H93" s="20">
        <v>14.1</v>
      </c>
      <c r="I93" s="21" t="str">
        <f t="shared" si="4"/>
        <v>Cumple</v>
      </c>
      <c r="J93" s="22" t="str">
        <f t="shared" si="5"/>
        <v>BONO</v>
      </c>
      <c r="K93" s="23" t="str">
        <f t="shared" si="6"/>
        <v>OK</v>
      </c>
      <c r="L93" s="24" t="str">
        <f t="shared" si="7"/>
        <v>Excelente</v>
      </c>
    </row>
    <row r="94" spans="1:12" ht="18" customHeight="1" x14ac:dyDescent="0.3">
      <c r="A94" s="25" t="s">
        <v>235</v>
      </c>
      <c r="B94" s="8" t="s">
        <v>236</v>
      </c>
      <c r="C94" s="25" t="s">
        <v>59</v>
      </c>
      <c r="D94" s="25" t="s">
        <v>105</v>
      </c>
      <c r="E94" s="9">
        <v>8700000</v>
      </c>
      <c r="F94" s="26">
        <v>0.69</v>
      </c>
      <c r="G94" s="25">
        <v>64</v>
      </c>
      <c r="H94" s="27">
        <v>6.4</v>
      </c>
      <c r="I94" s="21" t="str">
        <f t="shared" si="4"/>
        <v>No cumple</v>
      </c>
      <c r="J94" s="22" t="str">
        <f t="shared" si="5"/>
        <v>Sin bono</v>
      </c>
      <c r="K94" s="23" t="str">
        <f t="shared" si="6"/>
        <v>OK</v>
      </c>
      <c r="L94" s="24" t="str">
        <f t="shared" si="7"/>
        <v>Revisar</v>
      </c>
    </row>
    <row r="95" spans="1:12" ht="18" customHeight="1" x14ac:dyDescent="0.3">
      <c r="A95" s="18" t="s">
        <v>237</v>
      </c>
      <c r="B95" s="5" t="s">
        <v>238</v>
      </c>
      <c r="C95" s="18" t="s">
        <v>74</v>
      </c>
      <c r="D95" s="18" t="s">
        <v>88</v>
      </c>
      <c r="E95" s="6">
        <v>8500000</v>
      </c>
      <c r="F95" s="19">
        <v>0.57999999999999996</v>
      </c>
      <c r="G95" s="18">
        <v>89</v>
      </c>
      <c r="H95" s="20">
        <v>11.4</v>
      </c>
      <c r="I95" s="21" t="str">
        <f t="shared" si="4"/>
        <v>No cumple</v>
      </c>
      <c r="J95" s="22" t="str">
        <f t="shared" si="5"/>
        <v>Sin bono</v>
      </c>
      <c r="K95" s="23" t="str">
        <f t="shared" si="6"/>
        <v>ALERTA</v>
      </c>
      <c r="L95" s="24" t="str">
        <f t="shared" si="7"/>
        <v>Revisar</v>
      </c>
    </row>
    <row r="96" spans="1:12" ht="18" customHeight="1" x14ac:dyDescent="0.3">
      <c r="A96" s="25" t="s">
        <v>239</v>
      </c>
      <c r="B96" s="8" t="s">
        <v>240</v>
      </c>
      <c r="C96" s="25" t="s">
        <v>81</v>
      </c>
      <c r="D96" s="25" t="s">
        <v>114</v>
      </c>
      <c r="E96" s="9">
        <v>9000000</v>
      </c>
      <c r="F96" s="26">
        <v>0.56999999999999995</v>
      </c>
      <c r="G96" s="25">
        <v>63</v>
      </c>
      <c r="H96" s="27">
        <v>6.8</v>
      </c>
      <c r="I96" s="21" t="str">
        <f t="shared" si="4"/>
        <v>No cumple</v>
      </c>
      <c r="J96" s="22" t="str">
        <f t="shared" si="5"/>
        <v>Sin bono</v>
      </c>
      <c r="K96" s="23" t="str">
        <f t="shared" si="6"/>
        <v>ALERTA</v>
      </c>
      <c r="L96" s="24" t="str">
        <f t="shared" si="7"/>
        <v>Revisar</v>
      </c>
    </row>
    <row r="97" spans="1:12" ht="18" customHeight="1" x14ac:dyDescent="0.3">
      <c r="A97" s="18" t="s">
        <v>241</v>
      </c>
      <c r="B97" s="5" t="s">
        <v>242</v>
      </c>
      <c r="C97" s="18" t="s">
        <v>59</v>
      </c>
      <c r="D97" s="18" t="s">
        <v>64</v>
      </c>
      <c r="E97" s="6">
        <v>9400000</v>
      </c>
      <c r="F97" s="19">
        <v>0.97</v>
      </c>
      <c r="G97" s="18">
        <v>40</v>
      </c>
      <c r="H97" s="20">
        <v>4.8</v>
      </c>
      <c r="I97" s="21" t="str">
        <f t="shared" si="4"/>
        <v>Cumple</v>
      </c>
      <c r="J97" s="22" t="str">
        <f t="shared" si="5"/>
        <v>Sin bono</v>
      </c>
      <c r="K97" s="23" t="str">
        <f t="shared" si="6"/>
        <v>ALERTA</v>
      </c>
      <c r="L97" s="24" t="str">
        <f t="shared" si="7"/>
        <v>Revisar</v>
      </c>
    </row>
    <row r="98" spans="1:12" ht="18" customHeight="1" x14ac:dyDescent="0.3">
      <c r="A98" s="25" t="s">
        <v>243</v>
      </c>
      <c r="B98" s="8" t="s">
        <v>244</v>
      </c>
      <c r="C98" s="25" t="s">
        <v>67</v>
      </c>
      <c r="D98" s="25" t="s">
        <v>105</v>
      </c>
      <c r="E98" s="9">
        <v>11000000</v>
      </c>
      <c r="F98" s="26">
        <v>0.84</v>
      </c>
      <c r="G98" s="25">
        <v>87</v>
      </c>
      <c r="H98" s="27">
        <v>15.9</v>
      </c>
      <c r="I98" s="21" t="str">
        <f t="shared" si="4"/>
        <v>Cumple</v>
      </c>
      <c r="J98" s="22" t="str">
        <f t="shared" si="5"/>
        <v>BONO</v>
      </c>
      <c r="K98" s="23" t="str">
        <f t="shared" si="6"/>
        <v>OK</v>
      </c>
      <c r="L98" s="24" t="str">
        <f t="shared" si="7"/>
        <v>Bueno</v>
      </c>
    </row>
    <row r="99" spans="1:12" ht="18" customHeight="1" x14ac:dyDescent="0.3">
      <c r="A99" s="18" t="s">
        <v>245</v>
      </c>
      <c r="B99" s="5" t="s">
        <v>246</v>
      </c>
      <c r="C99" s="18" t="s">
        <v>67</v>
      </c>
      <c r="D99" s="18" t="s">
        <v>68</v>
      </c>
      <c r="E99" s="6">
        <v>11600000</v>
      </c>
      <c r="F99" s="19">
        <v>0.57999999999999996</v>
      </c>
      <c r="G99" s="18">
        <v>77</v>
      </c>
      <c r="H99" s="20">
        <v>9.5</v>
      </c>
      <c r="I99" s="21" t="str">
        <f t="shared" si="4"/>
        <v>No cumple</v>
      </c>
      <c r="J99" s="22" t="str">
        <f t="shared" si="5"/>
        <v>Sin bono</v>
      </c>
      <c r="K99" s="23" t="str">
        <f t="shared" si="6"/>
        <v>ALERTA</v>
      </c>
      <c r="L99" s="24" t="str">
        <f t="shared" si="7"/>
        <v>Revisar</v>
      </c>
    </row>
    <row r="100" spans="1:12" ht="18" customHeight="1" x14ac:dyDescent="0.3">
      <c r="A100" s="25" t="s">
        <v>247</v>
      </c>
      <c r="B100" s="8" t="s">
        <v>248</v>
      </c>
      <c r="C100" s="25" t="s">
        <v>63</v>
      </c>
      <c r="D100" s="25" t="s">
        <v>92</v>
      </c>
      <c r="E100" s="9">
        <v>7300000</v>
      </c>
      <c r="F100" s="26">
        <v>0.84</v>
      </c>
      <c r="G100" s="25">
        <v>64</v>
      </c>
      <c r="H100" s="27">
        <v>6.1</v>
      </c>
      <c r="I100" s="21" t="str">
        <f t="shared" si="4"/>
        <v>Cumple</v>
      </c>
      <c r="J100" s="22" t="str">
        <f t="shared" si="5"/>
        <v>Sin bono</v>
      </c>
      <c r="K100" s="23" t="str">
        <f t="shared" si="6"/>
        <v>OK</v>
      </c>
      <c r="L100" s="24" t="str">
        <f t="shared" si="7"/>
        <v>Revisar</v>
      </c>
    </row>
    <row r="101" spans="1:12" ht="18" customHeight="1" x14ac:dyDescent="0.3">
      <c r="A101" s="18" t="s">
        <v>249</v>
      </c>
      <c r="B101" s="5" t="s">
        <v>250</v>
      </c>
      <c r="C101" s="18" t="s">
        <v>67</v>
      </c>
      <c r="D101" s="18" t="s">
        <v>92</v>
      </c>
      <c r="E101" s="6">
        <v>4300000</v>
      </c>
      <c r="F101" s="19">
        <v>0.86</v>
      </c>
      <c r="G101" s="18">
        <v>53</v>
      </c>
      <c r="H101" s="20">
        <v>3.8</v>
      </c>
      <c r="I101" s="21" t="str">
        <f t="shared" si="4"/>
        <v>Cumple</v>
      </c>
      <c r="J101" s="22" t="str">
        <f t="shared" si="5"/>
        <v>Sin bono</v>
      </c>
      <c r="K101" s="23" t="str">
        <f t="shared" si="6"/>
        <v>OK</v>
      </c>
      <c r="L101" s="24" t="str">
        <f t="shared" si="7"/>
        <v>Revisar</v>
      </c>
    </row>
    <row r="102" spans="1:12" ht="18" customHeight="1" x14ac:dyDescent="0.3">
      <c r="A102" s="25" t="s">
        <v>251</v>
      </c>
      <c r="B102" s="8" t="s">
        <v>252</v>
      </c>
      <c r="C102" s="25" t="s">
        <v>59</v>
      </c>
      <c r="D102" s="25" t="s">
        <v>78</v>
      </c>
      <c r="E102" s="9">
        <v>5200000</v>
      </c>
      <c r="F102" s="26">
        <v>0.61</v>
      </c>
      <c r="G102" s="25">
        <v>76</v>
      </c>
      <c r="H102" s="27">
        <v>3.6</v>
      </c>
      <c r="I102" s="21" t="str">
        <f t="shared" si="4"/>
        <v>No cumple</v>
      </c>
      <c r="J102" s="22" t="str">
        <f t="shared" si="5"/>
        <v>Sin bono</v>
      </c>
      <c r="K102" s="23" t="str">
        <f t="shared" si="6"/>
        <v>OK</v>
      </c>
      <c r="L102" s="24" t="str">
        <f t="shared" si="7"/>
        <v>Revisar</v>
      </c>
    </row>
    <row r="103" spans="1:12" ht="18" customHeight="1" x14ac:dyDescent="0.3">
      <c r="A103" s="18" t="s">
        <v>253</v>
      </c>
      <c r="B103" s="5" t="s">
        <v>254</v>
      </c>
      <c r="C103" s="18" t="s">
        <v>71</v>
      </c>
      <c r="D103" s="18" t="s">
        <v>88</v>
      </c>
      <c r="E103" s="6">
        <v>3300000</v>
      </c>
      <c r="F103" s="19">
        <v>0.99</v>
      </c>
      <c r="G103" s="18">
        <v>100</v>
      </c>
      <c r="H103" s="20">
        <v>5.8</v>
      </c>
      <c r="I103" s="21" t="str">
        <f t="shared" si="4"/>
        <v>Cumple</v>
      </c>
      <c r="J103" s="22" t="str">
        <f t="shared" si="5"/>
        <v>BONO</v>
      </c>
      <c r="K103" s="23" t="str">
        <f t="shared" si="6"/>
        <v>OK</v>
      </c>
      <c r="L103" s="24" t="str">
        <f t="shared" si="7"/>
        <v>Excelente</v>
      </c>
    </row>
    <row r="104" spans="1:12" ht="18" customHeight="1" x14ac:dyDescent="0.3">
      <c r="A104" s="25" t="s">
        <v>255</v>
      </c>
      <c r="B104" s="8" t="s">
        <v>256</v>
      </c>
      <c r="C104" s="25" t="s">
        <v>77</v>
      </c>
      <c r="D104" s="25" t="s">
        <v>78</v>
      </c>
      <c r="E104" s="9">
        <v>2900000</v>
      </c>
      <c r="F104" s="26">
        <v>0.77</v>
      </c>
      <c r="G104" s="25">
        <v>90</v>
      </c>
      <c r="H104" s="27">
        <v>9.6</v>
      </c>
      <c r="I104" s="21" t="str">
        <f t="shared" si="4"/>
        <v>No cumple</v>
      </c>
      <c r="J104" s="22" t="str">
        <f t="shared" si="5"/>
        <v>Sin bono</v>
      </c>
      <c r="K104" s="23" t="str">
        <f t="shared" si="6"/>
        <v>OK</v>
      </c>
      <c r="L104" s="24" t="str">
        <f t="shared" si="7"/>
        <v>Revisar</v>
      </c>
    </row>
    <row r="105" spans="1:12" ht="18" customHeight="1" x14ac:dyDescent="0.3">
      <c r="A105" s="18" t="s">
        <v>257</v>
      </c>
      <c r="B105" s="5" t="s">
        <v>258</v>
      </c>
      <c r="C105" s="18" t="s">
        <v>91</v>
      </c>
      <c r="D105" s="18" t="s">
        <v>88</v>
      </c>
      <c r="E105" s="6">
        <v>8900000</v>
      </c>
      <c r="F105" s="19">
        <v>0.51</v>
      </c>
      <c r="G105" s="18">
        <v>38</v>
      </c>
      <c r="H105" s="20">
        <v>8</v>
      </c>
      <c r="I105" s="21" t="str">
        <f t="shared" si="4"/>
        <v>No cumple</v>
      </c>
      <c r="J105" s="22" t="str">
        <f t="shared" si="5"/>
        <v>Sin bono</v>
      </c>
      <c r="K105" s="23" t="str">
        <f t="shared" si="6"/>
        <v>ALERTA</v>
      </c>
      <c r="L105" s="24" t="str">
        <f t="shared" si="7"/>
        <v>Revisar</v>
      </c>
    </row>
    <row r="106" spans="1:12" ht="18" customHeight="1" x14ac:dyDescent="0.3">
      <c r="A106" s="25" t="s">
        <v>259</v>
      </c>
      <c r="B106" s="8" t="s">
        <v>260</v>
      </c>
      <c r="C106" s="25" t="s">
        <v>91</v>
      </c>
      <c r="D106" s="25" t="s">
        <v>114</v>
      </c>
      <c r="E106" s="9">
        <v>4700000</v>
      </c>
      <c r="F106" s="26">
        <v>0.9</v>
      </c>
      <c r="G106" s="25">
        <v>68</v>
      </c>
      <c r="H106" s="27">
        <v>1.7</v>
      </c>
      <c r="I106" s="21" t="str">
        <f t="shared" si="4"/>
        <v>Cumple</v>
      </c>
      <c r="J106" s="22" t="str">
        <f t="shared" si="5"/>
        <v>Sin bono</v>
      </c>
      <c r="K106" s="23" t="str">
        <f t="shared" si="6"/>
        <v>OK</v>
      </c>
      <c r="L106" s="24" t="str">
        <f t="shared" si="7"/>
        <v>Revisar</v>
      </c>
    </row>
    <row r="107" spans="1:12" ht="18" customHeight="1" x14ac:dyDescent="0.3">
      <c r="A107" s="18" t="s">
        <v>261</v>
      </c>
      <c r="B107" s="5" t="s">
        <v>262</v>
      </c>
      <c r="C107" s="18" t="s">
        <v>63</v>
      </c>
      <c r="D107" s="18" t="s">
        <v>60</v>
      </c>
      <c r="E107" s="6">
        <v>9400000</v>
      </c>
      <c r="F107" s="19">
        <v>0.66</v>
      </c>
      <c r="G107" s="18">
        <v>86</v>
      </c>
      <c r="H107" s="20">
        <v>5.9</v>
      </c>
      <c r="I107" s="21" t="str">
        <f t="shared" si="4"/>
        <v>No cumple</v>
      </c>
      <c r="J107" s="22" t="str">
        <f t="shared" si="5"/>
        <v>Sin bono</v>
      </c>
      <c r="K107" s="23" t="str">
        <f t="shared" si="6"/>
        <v>OK</v>
      </c>
      <c r="L107" s="24" t="str">
        <f t="shared" si="7"/>
        <v>Revisar</v>
      </c>
    </row>
    <row r="108" spans="1:12" ht="18" customHeight="1" x14ac:dyDescent="0.3">
      <c r="A108" s="25" t="s">
        <v>263</v>
      </c>
      <c r="B108" s="8" t="s">
        <v>264</v>
      </c>
      <c r="C108" s="25" t="s">
        <v>59</v>
      </c>
      <c r="D108" s="25" t="s">
        <v>64</v>
      </c>
      <c r="E108" s="9">
        <v>10600000</v>
      </c>
      <c r="F108" s="26">
        <v>0.98</v>
      </c>
      <c r="G108" s="25">
        <v>42</v>
      </c>
      <c r="H108" s="27">
        <v>19</v>
      </c>
      <c r="I108" s="21" t="str">
        <f t="shared" si="4"/>
        <v>Cumple</v>
      </c>
      <c r="J108" s="22" t="str">
        <f t="shared" si="5"/>
        <v>Sin bono</v>
      </c>
      <c r="K108" s="23" t="str">
        <f t="shared" si="6"/>
        <v>ALERTA</v>
      </c>
      <c r="L108" s="24" t="str">
        <f t="shared" si="7"/>
        <v>Revisar</v>
      </c>
    </row>
    <row r="109" spans="1:12" ht="18" customHeight="1" x14ac:dyDescent="0.3">
      <c r="A109" s="18" t="s">
        <v>265</v>
      </c>
      <c r="B109" s="5" t="s">
        <v>266</v>
      </c>
      <c r="C109" s="18" t="s">
        <v>67</v>
      </c>
      <c r="D109" s="18" t="s">
        <v>88</v>
      </c>
      <c r="E109" s="6">
        <v>11200000</v>
      </c>
      <c r="F109" s="19">
        <v>0.49</v>
      </c>
      <c r="G109" s="18">
        <v>60</v>
      </c>
      <c r="H109" s="20">
        <v>3.5</v>
      </c>
      <c r="I109" s="21" t="str">
        <f t="shared" si="4"/>
        <v>No cumple</v>
      </c>
      <c r="J109" s="22" t="str">
        <f t="shared" si="5"/>
        <v>Sin bono</v>
      </c>
      <c r="K109" s="23" t="str">
        <f t="shared" si="6"/>
        <v>ALERTA</v>
      </c>
      <c r="L109" s="24" t="str">
        <f t="shared" si="7"/>
        <v>Revisar</v>
      </c>
    </row>
    <row r="110" spans="1:12" ht="18" customHeight="1" x14ac:dyDescent="0.3">
      <c r="A110" s="25" t="s">
        <v>267</v>
      </c>
      <c r="B110" s="8" t="s">
        <v>268</v>
      </c>
      <c r="C110" s="25" t="s">
        <v>91</v>
      </c>
      <c r="D110" s="25" t="s">
        <v>68</v>
      </c>
      <c r="E110" s="9">
        <v>8500000</v>
      </c>
      <c r="F110" s="26">
        <v>0.83</v>
      </c>
      <c r="G110" s="25">
        <v>90</v>
      </c>
      <c r="H110" s="27">
        <v>5.8</v>
      </c>
      <c r="I110" s="21" t="str">
        <f t="shared" si="4"/>
        <v>Cumple</v>
      </c>
      <c r="J110" s="22" t="str">
        <f t="shared" si="5"/>
        <v>BONO</v>
      </c>
      <c r="K110" s="23" t="str">
        <f t="shared" si="6"/>
        <v>OK</v>
      </c>
      <c r="L110" s="24" t="str">
        <f t="shared" si="7"/>
        <v>Bueno</v>
      </c>
    </row>
    <row r="111" spans="1:12" ht="18" customHeight="1" x14ac:dyDescent="0.3">
      <c r="A111" s="18" t="s">
        <v>269</v>
      </c>
      <c r="B111" s="5" t="s">
        <v>270</v>
      </c>
      <c r="C111" s="18" t="s">
        <v>59</v>
      </c>
      <c r="D111" s="18" t="s">
        <v>105</v>
      </c>
      <c r="E111" s="6">
        <v>3700000</v>
      </c>
      <c r="F111" s="19">
        <v>0.83</v>
      </c>
      <c r="G111" s="18">
        <v>63</v>
      </c>
      <c r="H111" s="20">
        <v>15.8</v>
      </c>
      <c r="I111" s="21" t="str">
        <f t="shared" si="4"/>
        <v>Cumple</v>
      </c>
      <c r="J111" s="22" t="str">
        <f t="shared" si="5"/>
        <v>Sin bono</v>
      </c>
      <c r="K111" s="23" t="str">
        <f t="shared" si="6"/>
        <v>OK</v>
      </c>
      <c r="L111" s="24" t="str">
        <f t="shared" si="7"/>
        <v>Revisar</v>
      </c>
    </row>
    <row r="112" spans="1:12" ht="18" customHeight="1" x14ac:dyDescent="0.3">
      <c r="A112" s="25" t="s">
        <v>271</v>
      </c>
      <c r="B112" s="8" t="s">
        <v>272</v>
      </c>
      <c r="C112" s="25" t="s">
        <v>67</v>
      </c>
      <c r="D112" s="25" t="s">
        <v>68</v>
      </c>
      <c r="E112" s="9">
        <v>4200000</v>
      </c>
      <c r="F112" s="26">
        <v>0.75</v>
      </c>
      <c r="G112" s="25">
        <v>49</v>
      </c>
      <c r="H112" s="27">
        <v>18.2</v>
      </c>
      <c r="I112" s="21" t="str">
        <f t="shared" si="4"/>
        <v>No cumple</v>
      </c>
      <c r="J112" s="22" t="str">
        <f t="shared" si="5"/>
        <v>Sin bono</v>
      </c>
      <c r="K112" s="23" t="str">
        <f t="shared" si="6"/>
        <v>ALERTA</v>
      </c>
      <c r="L112" s="24" t="str">
        <f t="shared" si="7"/>
        <v>Revisar</v>
      </c>
    </row>
    <row r="113" spans="1:12" ht="18" customHeight="1" x14ac:dyDescent="0.3">
      <c r="A113" s="18" t="s">
        <v>273</v>
      </c>
      <c r="B113" s="5" t="s">
        <v>274</v>
      </c>
      <c r="C113" s="18" t="s">
        <v>91</v>
      </c>
      <c r="D113" s="18" t="s">
        <v>114</v>
      </c>
      <c r="E113" s="6">
        <v>6700000</v>
      </c>
      <c r="F113" s="19">
        <v>0.78</v>
      </c>
      <c r="G113" s="18">
        <v>66</v>
      </c>
      <c r="H113" s="20">
        <v>8.8000000000000007</v>
      </c>
      <c r="I113" s="21" t="str">
        <f t="shared" si="4"/>
        <v>No cumple</v>
      </c>
      <c r="J113" s="22" t="str">
        <f t="shared" si="5"/>
        <v>Sin bono</v>
      </c>
      <c r="K113" s="23" t="str">
        <f t="shared" si="6"/>
        <v>OK</v>
      </c>
      <c r="L113" s="24" t="str">
        <f t="shared" si="7"/>
        <v>Revisar</v>
      </c>
    </row>
    <row r="114" spans="1:12" ht="18" customHeight="1" x14ac:dyDescent="0.3">
      <c r="A114" s="25" t="s">
        <v>275</v>
      </c>
      <c r="B114" s="8" t="s">
        <v>276</v>
      </c>
      <c r="C114" s="25" t="s">
        <v>59</v>
      </c>
      <c r="D114" s="25" t="s">
        <v>68</v>
      </c>
      <c r="E114" s="9">
        <v>6200000</v>
      </c>
      <c r="F114" s="26">
        <v>0.73</v>
      </c>
      <c r="G114" s="25">
        <v>93</v>
      </c>
      <c r="H114" s="27">
        <v>8.8000000000000007</v>
      </c>
      <c r="I114" s="21" t="str">
        <f t="shared" si="4"/>
        <v>No cumple</v>
      </c>
      <c r="J114" s="22" t="str">
        <f t="shared" si="5"/>
        <v>Sin bono</v>
      </c>
      <c r="K114" s="23" t="str">
        <f t="shared" si="6"/>
        <v>OK</v>
      </c>
      <c r="L114" s="24" t="str">
        <f t="shared" si="7"/>
        <v>Revisar</v>
      </c>
    </row>
    <row r="115" spans="1:12" ht="18" customHeight="1" x14ac:dyDescent="0.3">
      <c r="A115" s="18" t="s">
        <v>277</v>
      </c>
      <c r="B115" s="5" t="s">
        <v>278</v>
      </c>
      <c r="C115" s="18" t="s">
        <v>63</v>
      </c>
      <c r="D115" s="18" t="s">
        <v>92</v>
      </c>
      <c r="E115" s="6">
        <v>10500000</v>
      </c>
      <c r="F115" s="19">
        <v>0.59</v>
      </c>
      <c r="G115" s="18">
        <v>41</v>
      </c>
      <c r="H115" s="20">
        <v>4.5999999999999996</v>
      </c>
      <c r="I115" s="21" t="str">
        <f t="shared" si="4"/>
        <v>No cumple</v>
      </c>
      <c r="J115" s="22" t="str">
        <f t="shared" si="5"/>
        <v>Sin bono</v>
      </c>
      <c r="K115" s="23" t="str">
        <f t="shared" si="6"/>
        <v>ALERTA</v>
      </c>
      <c r="L115" s="24" t="str">
        <f t="shared" si="7"/>
        <v>Revisar</v>
      </c>
    </row>
    <row r="116" spans="1:12" ht="18" customHeight="1" x14ac:dyDescent="0.3">
      <c r="A116" s="25" t="s">
        <v>279</v>
      </c>
      <c r="B116" s="8" t="s">
        <v>280</v>
      </c>
      <c r="C116" s="25" t="s">
        <v>91</v>
      </c>
      <c r="D116" s="25" t="s">
        <v>88</v>
      </c>
      <c r="E116" s="9">
        <v>10100000</v>
      </c>
      <c r="F116" s="26">
        <v>0.47</v>
      </c>
      <c r="G116" s="25">
        <v>52</v>
      </c>
      <c r="H116" s="27">
        <v>9.4</v>
      </c>
      <c r="I116" s="21" t="str">
        <f t="shared" si="4"/>
        <v>No cumple</v>
      </c>
      <c r="J116" s="22" t="str">
        <f t="shared" si="5"/>
        <v>Sin bono</v>
      </c>
      <c r="K116" s="23" t="str">
        <f t="shared" si="6"/>
        <v>ALERTA</v>
      </c>
      <c r="L116" s="24" t="str">
        <f t="shared" si="7"/>
        <v>Revisar</v>
      </c>
    </row>
    <row r="117" spans="1:12" ht="18" customHeight="1" x14ac:dyDescent="0.3">
      <c r="A117" s="18" t="s">
        <v>281</v>
      </c>
      <c r="B117" s="5" t="s">
        <v>282</v>
      </c>
      <c r="C117" s="18" t="s">
        <v>59</v>
      </c>
      <c r="D117" s="18" t="s">
        <v>114</v>
      </c>
      <c r="E117" s="6">
        <v>10200000</v>
      </c>
      <c r="F117" s="19">
        <v>0.69</v>
      </c>
      <c r="G117" s="18">
        <v>92</v>
      </c>
      <c r="H117" s="20">
        <v>19.399999999999999</v>
      </c>
      <c r="I117" s="21" t="str">
        <f t="shared" si="4"/>
        <v>No cumple</v>
      </c>
      <c r="J117" s="22" t="str">
        <f t="shared" si="5"/>
        <v>Sin bono</v>
      </c>
      <c r="K117" s="23" t="str">
        <f t="shared" si="6"/>
        <v>OK</v>
      </c>
      <c r="L117" s="24" t="str">
        <f t="shared" si="7"/>
        <v>Revisar</v>
      </c>
    </row>
    <row r="118" spans="1:12" ht="18" customHeight="1" x14ac:dyDescent="0.3">
      <c r="A118" s="25" t="s">
        <v>283</v>
      </c>
      <c r="B118" s="8" t="s">
        <v>284</v>
      </c>
      <c r="C118" s="25" t="s">
        <v>63</v>
      </c>
      <c r="D118" s="25" t="s">
        <v>92</v>
      </c>
      <c r="E118" s="9">
        <v>6900000</v>
      </c>
      <c r="F118" s="26">
        <v>0.82</v>
      </c>
      <c r="G118" s="25">
        <v>50</v>
      </c>
      <c r="H118" s="27">
        <v>6.6</v>
      </c>
      <c r="I118" s="21" t="str">
        <f t="shared" si="4"/>
        <v>Cumple</v>
      </c>
      <c r="J118" s="22" t="str">
        <f t="shared" si="5"/>
        <v>Sin bono</v>
      </c>
      <c r="K118" s="23" t="str">
        <f t="shared" si="6"/>
        <v>OK</v>
      </c>
      <c r="L118" s="24" t="str">
        <f t="shared" si="7"/>
        <v>Revisar</v>
      </c>
    </row>
    <row r="119" spans="1:12" ht="18" customHeight="1" x14ac:dyDescent="0.3">
      <c r="A119" s="18" t="s">
        <v>285</v>
      </c>
      <c r="B119" s="5" t="s">
        <v>286</v>
      </c>
      <c r="C119" s="18" t="s">
        <v>63</v>
      </c>
      <c r="D119" s="18" t="s">
        <v>64</v>
      </c>
      <c r="E119" s="6">
        <v>8600000</v>
      </c>
      <c r="F119" s="19">
        <v>0.5</v>
      </c>
      <c r="G119" s="18">
        <v>62</v>
      </c>
      <c r="H119" s="20">
        <v>6.5</v>
      </c>
      <c r="I119" s="21" t="str">
        <f t="shared" si="4"/>
        <v>No cumple</v>
      </c>
      <c r="J119" s="22" t="str">
        <f t="shared" si="5"/>
        <v>Sin bono</v>
      </c>
      <c r="K119" s="23" t="str">
        <f t="shared" si="6"/>
        <v>ALERTA</v>
      </c>
      <c r="L119" s="24" t="str">
        <f t="shared" si="7"/>
        <v>Revisar</v>
      </c>
    </row>
    <row r="120" spans="1:12" ht="18" customHeight="1" x14ac:dyDescent="0.3">
      <c r="A120" s="25" t="s">
        <v>287</v>
      </c>
      <c r="B120" s="8" t="s">
        <v>288</v>
      </c>
      <c r="C120" s="25" t="s">
        <v>91</v>
      </c>
      <c r="D120" s="25" t="s">
        <v>105</v>
      </c>
      <c r="E120" s="9">
        <v>8000000</v>
      </c>
      <c r="F120" s="26">
        <v>0.48</v>
      </c>
      <c r="G120" s="25">
        <v>96</v>
      </c>
      <c r="H120" s="27">
        <v>7.2</v>
      </c>
      <c r="I120" s="21" t="str">
        <f t="shared" si="4"/>
        <v>No cumple</v>
      </c>
      <c r="J120" s="22" t="str">
        <f t="shared" si="5"/>
        <v>Sin bono</v>
      </c>
      <c r="K120" s="23" t="str">
        <f t="shared" si="6"/>
        <v>ALERTA</v>
      </c>
      <c r="L120" s="24" t="str">
        <f t="shared" si="7"/>
        <v>Revisar</v>
      </c>
    </row>
    <row r="121" spans="1:12" ht="18" customHeight="1" x14ac:dyDescent="0.3">
      <c r="A121" s="18" t="s">
        <v>289</v>
      </c>
      <c r="B121" s="5" t="s">
        <v>290</v>
      </c>
      <c r="C121" s="18" t="s">
        <v>77</v>
      </c>
      <c r="D121" s="18" t="s">
        <v>64</v>
      </c>
      <c r="E121" s="6">
        <v>5400000</v>
      </c>
      <c r="F121" s="19">
        <v>0.6</v>
      </c>
      <c r="G121" s="18">
        <v>46</v>
      </c>
      <c r="H121" s="20">
        <v>18.600000000000001</v>
      </c>
      <c r="I121" s="21" t="str">
        <f t="shared" si="4"/>
        <v>No cumple</v>
      </c>
      <c r="J121" s="22" t="str">
        <f t="shared" si="5"/>
        <v>Sin bono</v>
      </c>
      <c r="K121" s="23" t="str">
        <f t="shared" si="6"/>
        <v>ALERTA</v>
      </c>
      <c r="L121" s="24" t="str">
        <f t="shared" si="7"/>
        <v>Revisar</v>
      </c>
    </row>
    <row r="122" spans="1:12" ht="18" customHeight="1" x14ac:dyDescent="0.3">
      <c r="A122" s="25" t="s">
        <v>291</v>
      </c>
      <c r="B122" s="8" t="s">
        <v>292</v>
      </c>
      <c r="C122" s="25" t="s">
        <v>77</v>
      </c>
      <c r="D122" s="25" t="s">
        <v>78</v>
      </c>
      <c r="E122" s="9">
        <v>3100000</v>
      </c>
      <c r="F122" s="26">
        <v>0.99</v>
      </c>
      <c r="G122" s="25">
        <v>60</v>
      </c>
      <c r="H122" s="27">
        <v>14.2</v>
      </c>
      <c r="I122" s="21" t="str">
        <f t="shared" si="4"/>
        <v>Cumple</v>
      </c>
      <c r="J122" s="22" t="str">
        <f t="shared" si="5"/>
        <v>Sin bono</v>
      </c>
      <c r="K122" s="23" t="str">
        <f t="shared" si="6"/>
        <v>OK</v>
      </c>
      <c r="L122" s="24" t="str">
        <f t="shared" si="7"/>
        <v>Revisar</v>
      </c>
    </row>
    <row r="123" spans="1:12" ht="18" customHeight="1" x14ac:dyDescent="0.3">
      <c r="A123" s="18" t="s">
        <v>293</v>
      </c>
      <c r="B123" s="5" t="s">
        <v>294</v>
      </c>
      <c r="C123" s="18" t="s">
        <v>91</v>
      </c>
      <c r="D123" s="18" t="s">
        <v>68</v>
      </c>
      <c r="E123" s="6">
        <v>3900000</v>
      </c>
      <c r="F123" s="19">
        <v>0.56999999999999995</v>
      </c>
      <c r="G123" s="18">
        <v>44</v>
      </c>
      <c r="H123" s="20">
        <v>9.1999999999999993</v>
      </c>
      <c r="I123" s="21" t="str">
        <f t="shared" si="4"/>
        <v>No cumple</v>
      </c>
      <c r="J123" s="22" t="str">
        <f t="shared" si="5"/>
        <v>Sin bono</v>
      </c>
      <c r="K123" s="23" t="str">
        <f t="shared" si="6"/>
        <v>ALERTA</v>
      </c>
      <c r="L123" s="24" t="str">
        <f t="shared" si="7"/>
        <v>Revisar</v>
      </c>
    </row>
    <row r="124" spans="1:12" ht="18" customHeight="1" x14ac:dyDescent="0.3">
      <c r="A124" s="25" t="s">
        <v>295</v>
      </c>
      <c r="B124" s="8" t="s">
        <v>296</v>
      </c>
      <c r="C124" s="25" t="s">
        <v>71</v>
      </c>
      <c r="D124" s="25" t="s">
        <v>105</v>
      </c>
      <c r="E124" s="9">
        <v>11900000</v>
      </c>
      <c r="F124" s="26">
        <v>0.61</v>
      </c>
      <c r="G124" s="25">
        <v>64</v>
      </c>
      <c r="H124" s="27">
        <v>8.3000000000000007</v>
      </c>
      <c r="I124" s="21" t="str">
        <f t="shared" si="4"/>
        <v>No cumple</v>
      </c>
      <c r="J124" s="22" t="str">
        <f t="shared" si="5"/>
        <v>Sin bono</v>
      </c>
      <c r="K124" s="23" t="str">
        <f t="shared" si="6"/>
        <v>OK</v>
      </c>
      <c r="L124" s="24" t="str">
        <f t="shared" si="7"/>
        <v>Revisar</v>
      </c>
    </row>
    <row r="125" spans="1:12" ht="18" customHeight="1" x14ac:dyDescent="0.3">
      <c r="A125" s="18" t="s">
        <v>297</v>
      </c>
      <c r="B125" s="5" t="s">
        <v>298</v>
      </c>
      <c r="C125" s="18" t="s">
        <v>67</v>
      </c>
      <c r="D125" s="18" t="s">
        <v>105</v>
      </c>
      <c r="E125" s="6">
        <v>9800000</v>
      </c>
      <c r="F125" s="19">
        <v>0.53</v>
      </c>
      <c r="G125" s="18">
        <v>54</v>
      </c>
      <c r="H125" s="20">
        <v>18.399999999999999</v>
      </c>
      <c r="I125" s="21" t="str">
        <f t="shared" si="4"/>
        <v>No cumple</v>
      </c>
      <c r="J125" s="22" t="str">
        <f t="shared" si="5"/>
        <v>Sin bono</v>
      </c>
      <c r="K125" s="23" t="str">
        <f t="shared" si="6"/>
        <v>ALERTA</v>
      </c>
      <c r="L125" s="24" t="str">
        <f t="shared" si="7"/>
        <v>Revisar</v>
      </c>
    </row>
    <row r="126" spans="1:12" ht="18" customHeight="1" x14ac:dyDescent="0.3">
      <c r="A126" s="25" t="s">
        <v>299</v>
      </c>
      <c r="B126" s="8" t="s">
        <v>300</v>
      </c>
      <c r="C126" s="25" t="s">
        <v>71</v>
      </c>
      <c r="D126" s="25" t="s">
        <v>78</v>
      </c>
      <c r="E126" s="9">
        <v>6300000</v>
      </c>
      <c r="F126" s="26">
        <v>0.87</v>
      </c>
      <c r="G126" s="25">
        <v>83</v>
      </c>
      <c r="H126" s="27">
        <v>6.8</v>
      </c>
      <c r="I126" s="21" t="str">
        <f t="shared" si="4"/>
        <v>Cumple</v>
      </c>
      <c r="J126" s="22" t="str">
        <f t="shared" si="5"/>
        <v>BONO</v>
      </c>
      <c r="K126" s="23" t="str">
        <f t="shared" si="6"/>
        <v>OK</v>
      </c>
      <c r="L126" s="24" t="str">
        <f t="shared" si="7"/>
        <v>Bueno</v>
      </c>
    </row>
    <row r="127" spans="1:12" ht="18" customHeight="1" x14ac:dyDescent="0.3">
      <c r="A127" s="18" t="s">
        <v>301</v>
      </c>
      <c r="B127" s="5" t="s">
        <v>302</v>
      </c>
      <c r="C127" s="18" t="s">
        <v>91</v>
      </c>
      <c r="D127" s="18" t="s">
        <v>88</v>
      </c>
      <c r="E127" s="6">
        <v>12000000</v>
      </c>
      <c r="F127" s="19">
        <v>0.61</v>
      </c>
      <c r="G127" s="18">
        <v>92</v>
      </c>
      <c r="H127" s="20">
        <v>17.3</v>
      </c>
      <c r="I127" s="21" t="str">
        <f t="shared" si="4"/>
        <v>No cumple</v>
      </c>
      <c r="J127" s="22" t="str">
        <f t="shared" si="5"/>
        <v>Sin bono</v>
      </c>
      <c r="K127" s="23" t="str">
        <f t="shared" si="6"/>
        <v>OK</v>
      </c>
      <c r="L127" s="24" t="str">
        <f t="shared" si="7"/>
        <v>Revisar</v>
      </c>
    </row>
    <row r="128" spans="1:12" ht="18" customHeight="1" x14ac:dyDescent="0.3">
      <c r="A128" s="25" t="s">
        <v>303</v>
      </c>
      <c r="B128" s="8" t="s">
        <v>304</v>
      </c>
      <c r="C128" s="25" t="s">
        <v>77</v>
      </c>
      <c r="D128" s="25" t="s">
        <v>92</v>
      </c>
      <c r="E128" s="9">
        <v>7000000</v>
      </c>
      <c r="F128" s="26">
        <v>0.75</v>
      </c>
      <c r="G128" s="25">
        <v>99</v>
      </c>
      <c r="H128" s="27">
        <v>7.5</v>
      </c>
      <c r="I128" s="21" t="str">
        <f t="shared" si="4"/>
        <v>No cumple</v>
      </c>
      <c r="J128" s="22" t="str">
        <f t="shared" si="5"/>
        <v>Sin bono</v>
      </c>
      <c r="K128" s="23" t="str">
        <f t="shared" si="6"/>
        <v>OK</v>
      </c>
      <c r="L128" s="24" t="str">
        <f t="shared" si="7"/>
        <v>Revisar</v>
      </c>
    </row>
    <row r="129" spans="1:12" ht="18" customHeight="1" x14ac:dyDescent="0.3">
      <c r="A129" s="18" t="s">
        <v>305</v>
      </c>
      <c r="B129" s="5" t="s">
        <v>306</v>
      </c>
      <c r="C129" s="18" t="s">
        <v>67</v>
      </c>
      <c r="D129" s="18" t="s">
        <v>60</v>
      </c>
      <c r="E129" s="6">
        <v>10100000</v>
      </c>
      <c r="F129" s="19">
        <v>0.66</v>
      </c>
      <c r="G129" s="18">
        <v>82</v>
      </c>
      <c r="H129" s="20">
        <v>0.9</v>
      </c>
      <c r="I129" s="21" t="str">
        <f t="shared" si="4"/>
        <v>No cumple</v>
      </c>
      <c r="J129" s="22" t="str">
        <f t="shared" si="5"/>
        <v>Sin bono</v>
      </c>
      <c r="K129" s="23" t="str">
        <f t="shared" si="6"/>
        <v>OK</v>
      </c>
      <c r="L129" s="24" t="str">
        <f t="shared" si="7"/>
        <v>Revisar</v>
      </c>
    </row>
    <row r="130" spans="1:12" ht="18" customHeight="1" x14ac:dyDescent="0.3">
      <c r="A130" s="25" t="s">
        <v>307</v>
      </c>
      <c r="B130" s="8" t="s">
        <v>308</v>
      </c>
      <c r="C130" s="25" t="s">
        <v>63</v>
      </c>
      <c r="D130" s="25" t="s">
        <v>68</v>
      </c>
      <c r="E130" s="9">
        <v>11200000</v>
      </c>
      <c r="F130" s="26">
        <v>0.89</v>
      </c>
      <c r="G130" s="25">
        <v>49</v>
      </c>
      <c r="H130" s="27">
        <v>9.9</v>
      </c>
      <c r="I130" s="21" t="str">
        <f t="shared" si="4"/>
        <v>Cumple</v>
      </c>
      <c r="J130" s="22" t="str">
        <f t="shared" si="5"/>
        <v>Sin bono</v>
      </c>
      <c r="K130" s="23" t="str">
        <f t="shared" si="6"/>
        <v>ALERTA</v>
      </c>
      <c r="L130" s="24" t="str">
        <f t="shared" si="7"/>
        <v>Revisar</v>
      </c>
    </row>
    <row r="131" spans="1:12" ht="18" customHeight="1" x14ac:dyDescent="0.3">
      <c r="A131" s="18" t="s">
        <v>309</v>
      </c>
      <c r="B131" s="5" t="s">
        <v>310</v>
      </c>
      <c r="C131" s="18" t="s">
        <v>81</v>
      </c>
      <c r="D131" s="18" t="s">
        <v>78</v>
      </c>
      <c r="E131" s="6">
        <v>8400000</v>
      </c>
      <c r="F131" s="19">
        <v>0.5</v>
      </c>
      <c r="G131" s="18">
        <v>88</v>
      </c>
      <c r="H131" s="20">
        <v>0.3</v>
      </c>
      <c r="I131" s="21" t="str">
        <f t="shared" si="4"/>
        <v>No cumple</v>
      </c>
      <c r="J131" s="22" t="str">
        <f t="shared" si="5"/>
        <v>Sin bono</v>
      </c>
      <c r="K131" s="23" t="str">
        <f t="shared" si="6"/>
        <v>ALERTA</v>
      </c>
      <c r="L131" s="24" t="str">
        <f t="shared" si="7"/>
        <v>Revisar</v>
      </c>
    </row>
    <row r="132" spans="1:12" ht="18" customHeight="1" x14ac:dyDescent="0.3">
      <c r="A132" s="25" t="s">
        <v>311</v>
      </c>
      <c r="B132" s="8" t="s">
        <v>312</v>
      </c>
      <c r="C132" s="25" t="s">
        <v>71</v>
      </c>
      <c r="D132" s="25" t="s">
        <v>78</v>
      </c>
      <c r="E132" s="9">
        <v>8800000</v>
      </c>
      <c r="F132" s="26">
        <v>0.88</v>
      </c>
      <c r="G132" s="25">
        <v>63</v>
      </c>
      <c r="H132" s="27">
        <v>6.8</v>
      </c>
      <c r="I132" s="21" t="str">
        <f t="shared" si="4"/>
        <v>Cumple</v>
      </c>
      <c r="J132" s="22" t="str">
        <f t="shared" si="5"/>
        <v>Sin bono</v>
      </c>
      <c r="K132" s="23" t="str">
        <f t="shared" si="6"/>
        <v>OK</v>
      </c>
      <c r="L132" s="24" t="str">
        <f t="shared" si="7"/>
        <v>Revisar</v>
      </c>
    </row>
    <row r="133" spans="1:12" ht="18" customHeight="1" x14ac:dyDescent="0.3">
      <c r="A133" s="18" t="s">
        <v>313</v>
      </c>
      <c r="B133" s="5" t="s">
        <v>314</v>
      </c>
      <c r="C133" s="18" t="s">
        <v>74</v>
      </c>
      <c r="D133" s="18" t="s">
        <v>92</v>
      </c>
      <c r="E133" s="6">
        <v>11400000</v>
      </c>
      <c r="F133" s="19">
        <v>0.92</v>
      </c>
      <c r="G133" s="18">
        <v>78</v>
      </c>
      <c r="H133" s="20">
        <v>19.100000000000001</v>
      </c>
      <c r="I133" s="21" t="str">
        <f t="shared" si="4"/>
        <v>Cumple</v>
      </c>
      <c r="J133" s="22" t="str">
        <f t="shared" si="5"/>
        <v>BONO</v>
      </c>
      <c r="K133" s="23" t="str">
        <f t="shared" si="6"/>
        <v>OK</v>
      </c>
      <c r="L133" s="24" t="str">
        <f t="shared" si="7"/>
        <v>Bueno</v>
      </c>
    </row>
    <row r="134" spans="1:12" ht="18" customHeight="1" x14ac:dyDescent="0.3">
      <c r="A134" s="25" t="s">
        <v>315</v>
      </c>
      <c r="B134" s="8" t="s">
        <v>316</v>
      </c>
      <c r="C134" s="25" t="s">
        <v>91</v>
      </c>
      <c r="D134" s="25" t="s">
        <v>78</v>
      </c>
      <c r="E134" s="9">
        <v>5800000</v>
      </c>
      <c r="F134" s="26">
        <v>0.8</v>
      </c>
      <c r="G134" s="25">
        <v>66</v>
      </c>
      <c r="H134" s="27">
        <v>19.899999999999999</v>
      </c>
      <c r="I134" s="21" t="str">
        <f t="shared" si="4"/>
        <v>Cumple</v>
      </c>
      <c r="J134" s="22" t="str">
        <f t="shared" si="5"/>
        <v>Sin bono</v>
      </c>
      <c r="K134" s="23" t="str">
        <f t="shared" si="6"/>
        <v>OK</v>
      </c>
      <c r="L134" s="24" t="str">
        <f t="shared" si="7"/>
        <v>Revisar</v>
      </c>
    </row>
    <row r="135" spans="1:12" ht="18" customHeight="1" x14ac:dyDescent="0.3">
      <c r="A135" s="18" t="s">
        <v>317</v>
      </c>
      <c r="B135" s="5" t="s">
        <v>318</v>
      </c>
      <c r="C135" s="18" t="s">
        <v>74</v>
      </c>
      <c r="D135" s="18" t="s">
        <v>78</v>
      </c>
      <c r="E135" s="6">
        <v>8400000</v>
      </c>
      <c r="F135" s="19">
        <v>0.54</v>
      </c>
      <c r="G135" s="18">
        <v>68</v>
      </c>
      <c r="H135" s="20">
        <v>18.100000000000001</v>
      </c>
      <c r="I135" s="21" t="str">
        <f t="shared" si="4"/>
        <v>No cumple</v>
      </c>
      <c r="J135" s="22" t="str">
        <f t="shared" si="5"/>
        <v>Sin bono</v>
      </c>
      <c r="K135" s="23" t="str">
        <f t="shared" si="6"/>
        <v>ALERTA</v>
      </c>
      <c r="L135" s="24" t="str">
        <f t="shared" si="7"/>
        <v>Revisar</v>
      </c>
    </row>
    <row r="136" spans="1:12" ht="18" customHeight="1" x14ac:dyDescent="0.3">
      <c r="A136" s="25" t="s">
        <v>319</v>
      </c>
      <c r="B136" s="8" t="s">
        <v>320</v>
      </c>
      <c r="C136" s="25" t="s">
        <v>91</v>
      </c>
      <c r="D136" s="25" t="s">
        <v>88</v>
      </c>
      <c r="E136" s="9">
        <v>7300000</v>
      </c>
      <c r="F136" s="26">
        <v>0.66</v>
      </c>
      <c r="G136" s="25">
        <v>48</v>
      </c>
      <c r="H136" s="27">
        <v>4.9000000000000004</v>
      </c>
      <c r="I136" s="21" t="str">
        <f t="shared" si="4"/>
        <v>No cumple</v>
      </c>
      <c r="J136" s="22" t="str">
        <f t="shared" si="5"/>
        <v>Sin bono</v>
      </c>
      <c r="K136" s="23" t="str">
        <f t="shared" si="6"/>
        <v>ALERTA</v>
      </c>
      <c r="L136" s="24" t="str">
        <f t="shared" si="7"/>
        <v>Revisar</v>
      </c>
    </row>
    <row r="137" spans="1:12" ht="18" customHeight="1" x14ac:dyDescent="0.3">
      <c r="A137" s="18" t="s">
        <v>321</v>
      </c>
      <c r="B137" s="5" t="s">
        <v>322</v>
      </c>
      <c r="C137" s="18" t="s">
        <v>71</v>
      </c>
      <c r="D137" s="18" t="s">
        <v>114</v>
      </c>
      <c r="E137" s="6">
        <v>5000000</v>
      </c>
      <c r="F137" s="19">
        <v>0.49</v>
      </c>
      <c r="G137" s="18">
        <v>78</v>
      </c>
      <c r="H137" s="20">
        <v>12.4</v>
      </c>
      <c r="I137" s="21" t="str">
        <f t="shared" si="4"/>
        <v>No cumple</v>
      </c>
      <c r="J137" s="22" t="str">
        <f t="shared" si="5"/>
        <v>Sin bono</v>
      </c>
      <c r="K137" s="23" t="str">
        <f t="shared" si="6"/>
        <v>ALERTA</v>
      </c>
      <c r="L137" s="24" t="str">
        <f t="shared" si="7"/>
        <v>Revisar</v>
      </c>
    </row>
    <row r="138" spans="1:12" ht="18" customHeight="1" x14ac:dyDescent="0.3">
      <c r="A138" s="25" t="s">
        <v>323</v>
      </c>
      <c r="B138" s="8" t="s">
        <v>324</v>
      </c>
      <c r="C138" s="25" t="s">
        <v>71</v>
      </c>
      <c r="D138" s="25" t="s">
        <v>60</v>
      </c>
      <c r="E138" s="9">
        <v>8700000</v>
      </c>
      <c r="F138" s="26">
        <v>0.8</v>
      </c>
      <c r="G138" s="25">
        <v>88</v>
      </c>
      <c r="H138" s="27">
        <v>5.0999999999999996</v>
      </c>
      <c r="I138" s="21" t="str">
        <f t="shared" si="4"/>
        <v>Cumple</v>
      </c>
      <c r="J138" s="22" t="str">
        <f t="shared" si="5"/>
        <v>BONO</v>
      </c>
      <c r="K138" s="23" t="str">
        <f t="shared" si="6"/>
        <v>OK</v>
      </c>
      <c r="L138" s="24" t="str">
        <f t="shared" si="7"/>
        <v>Bueno</v>
      </c>
    </row>
    <row r="139" spans="1:12" ht="18" customHeight="1" x14ac:dyDescent="0.3">
      <c r="A139" s="18" t="s">
        <v>325</v>
      </c>
      <c r="B139" s="5" t="s">
        <v>326</v>
      </c>
      <c r="C139" s="18" t="s">
        <v>77</v>
      </c>
      <c r="D139" s="18" t="s">
        <v>88</v>
      </c>
      <c r="E139" s="6">
        <v>11400000</v>
      </c>
      <c r="F139" s="19">
        <v>0.75</v>
      </c>
      <c r="G139" s="18">
        <v>39</v>
      </c>
      <c r="H139" s="20">
        <v>8.8000000000000007</v>
      </c>
      <c r="I139" s="21" t="str">
        <f t="shared" si="4"/>
        <v>No cumple</v>
      </c>
      <c r="J139" s="22" t="str">
        <f t="shared" si="5"/>
        <v>Sin bono</v>
      </c>
      <c r="K139" s="23" t="str">
        <f t="shared" si="6"/>
        <v>ALERTA</v>
      </c>
      <c r="L139" s="24" t="str">
        <f t="shared" si="7"/>
        <v>Revisar</v>
      </c>
    </row>
    <row r="140" spans="1:12" ht="18" customHeight="1" x14ac:dyDescent="0.3">
      <c r="A140" s="25" t="s">
        <v>327</v>
      </c>
      <c r="B140" s="8" t="s">
        <v>328</v>
      </c>
      <c r="C140" s="25" t="s">
        <v>59</v>
      </c>
      <c r="D140" s="25" t="s">
        <v>68</v>
      </c>
      <c r="E140" s="9">
        <v>11600000</v>
      </c>
      <c r="F140" s="26">
        <v>0.59</v>
      </c>
      <c r="G140" s="25">
        <v>68</v>
      </c>
      <c r="H140" s="27">
        <v>4</v>
      </c>
      <c r="I140" s="21" t="str">
        <f t="shared" si="4"/>
        <v>No cumple</v>
      </c>
      <c r="J140" s="22" t="str">
        <f t="shared" si="5"/>
        <v>Sin bono</v>
      </c>
      <c r="K140" s="23" t="str">
        <f t="shared" si="6"/>
        <v>ALERTA</v>
      </c>
      <c r="L140" s="24" t="str">
        <f t="shared" si="7"/>
        <v>Revisar</v>
      </c>
    </row>
    <row r="141" spans="1:12" ht="18" customHeight="1" x14ac:dyDescent="0.3">
      <c r="A141" s="18" t="s">
        <v>329</v>
      </c>
      <c r="B141" s="5" t="s">
        <v>330</v>
      </c>
      <c r="C141" s="18" t="s">
        <v>67</v>
      </c>
      <c r="D141" s="18" t="s">
        <v>68</v>
      </c>
      <c r="E141" s="6">
        <v>10100000</v>
      </c>
      <c r="F141" s="19">
        <v>0.65</v>
      </c>
      <c r="G141" s="18">
        <v>67</v>
      </c>
      <c r="H141" s="20">
        <v>19.899999999999999</v>
      </c>
      <c r="I141" s="21" t="str">
        <f t="shared" ref="I141:I204" si="8">IF(F141&gt;=0.8,"Cumple","No cumple")</f>
        <v>No cumple</v>
      </c>
      <c r="J141" s="22" t="str">
        <f t="shared" ref="J141:J204" si="9">IF(AND(F141&gt;=0.8,G141&gt;=70),"BONO","Sin bono")</f>
        <v>Sin bono</v>
      </c>
      <c r="K141" s="23" t="str">
        <f t="shared" ref="K141:K204" si="10">IF(OR(F141&lt;0.6,G141&lt;50),"ALERTA","OK")</f>
        <v>OK</v>
      </c>
      <c r="L141" s="24" t="str">
        <f t="shared" ref="L141:L204" si="11">IF(AND(F141&gt;=0.9,G141&gt;=85),"Excelente",IF(AND(F141&gt;=0.8,G141&gt;=70),"Bueno","Revisar"))</f>
        <v>Revisar</v>
      </c>
    </row>
    <row r="142" spans="1:12" ht="18" customHeight="1" x14ac:dyDescent="0.3">
      <c r="A142" s="25" t="s">
        <v>331</v>
      </c>
      <c r="B142" s="8" t="s">
        <v>332</v>
      </c>
      <c r="C142" s="25" t="s">
        <v>63</v>
      </c>
      <c r="D142" s="25" t="s">
        <v>88</v>
      </c>
      <c r="E142" s="9">
        <v>2900000</v>
      </c>
      <c r="F142" s="26">
        <v>0.76</v>
      </c>
      <c r="G142" s="25">
        <v>36</v>
      </c>
      <c r="H142" s="27">
        <v>18.2</v>
      </c>
      <c r="I142" s="21" t="str">
        <f t="shared" si="8"/>
        <v>No cumple</v>
      </c>
      <c r="J142" s="22" t="str">
        <f t="shared" si="9"/>
        <v>Sin bono</v>
      </c>
      <c r="K142" s="23" t="str">
        <f t="shared" si="10"/>
        <v>ALERTA</v>
      </c>
      <c r="L142" s="24" t="str">
        <f t="shared" si="11"/>
        <v>Revisar</v>
      </c>
    </row>
    <row r="143" spans="1:12" ht="18" customHeight="1" x14ac:dyDescent="0.3">
      <c r="A143" s="18" t="s">
        <v>333</v>
      </c>
      <c r="B143" s="5" t="s">
        <v>334</v>
      </c>
      <c r="C143" s="18" t="s">
        <v>59</v>
      </c>
      <c r="D143" s="18" t="s">
        <v>60</v>
      </c>
      <c r="E143" s="6">
        <v>10500000</v>
      </c>
      <c r="F143" s="19">
        <v>0.89</v>
      </c>
      <c r="G143" s="18">
        <v>58</v>
      </c>
      <c r="H143" s="20">
        <v>12.7</v>
      </c>
      <c r="I143" s="21" t="str">
        <f t="shared" si="8"/>
        <v>Cumple</v>
      </c>
      <c r="J143" s="22" t="str">
        <f t="shared" si="9"/>
        <v>Sin bono</v>
      </c>
      <c r="K143" s="23" t="str">
        <f t="shared" si="10"/>
        <v>OK</v>
      </c>
      <c r="L143" s="24" t="str">
        <f t="shared" si="11"/>
        <v>Revisar</v>
      </c>
    </row>
    <row r="144" spans="1:12" ht="18" customHeight="1" x14ac:dyDescent="0.3">
      <c r="A144" s="25" t="s">
        <v>335</v>
      </c>
      <c r="B144" s="8" t="s">
        <v>336</v>
      </c>
      <c r="C144" s="25" t="s">
        <v>71</v>
      </c>
      <c r="D144" s="25" t="s">
        <v>78</v>
      </c>
      <c r="E144" s="9">
        <v>10800000</v>
      </c>
      <c r="F144" s="26">
        <v>0.81</v>
      </c>
      <c r="G144" s="25">
        <v>69</v>
      </c>
      <c r="H144" s="27">
        <v>15.8</v>
      </c>
      <c r="I144" s="21" t="str">
        <f t="shared" si="8"/>
        <v>Cumple</v>
      </c>
      <c r="J144" s="22" t="str">
        <f t="shared" si="9"/>
        <v>Sin bono</v>
      </c>
      <c r="K144" s="23" t="str">
        <f t="shared" si="10"/>
        <v>OK</v>
      </c>
      <c r="L144" s="24" t="str">
        <f t="shared" si="11"/>
        <v>Revisar</v>
      </c>
    </row>
    <row r="145" spans="1:12" ht="18" customHeight="1" x14ac:dyDescent="0.3">
      <c r="A145" s="18" t="s">
        <v>337</v>
      </c>
      <c r="B145" s="5" t="s">
        <v>338</v>
      </c>
      <c r="C145" s="18" t="s">
        <v>81</v>
      </c>
      <c r="D145" s="18" t="s">
        <v>114</v>
      </c>
      <c r="E145" s="6">
        <v>3900000</v>
      </c>
      <c r="F145" s="19">
        <v>0.95</v>
      </c>
      <c r="G145" s="18">
        <v>71</v>
      </c>
      <c r="H145" s="20">
        <v>14.9</v>
      </c>
      <c r="I145" s="21" t="str">
        <f t="shared" si="8"/>
        <v>Cumple</v>
      </c>
      <c r="J145" s="22" t="str">
        <f t="shared" si="9"/>
        <v>BONO</v>
      </c>
      <c r="K145" s="23" t="str">
        <f t="shared" si="10"/>
        <v>OK</v>
      </c>
      <c r="L145" s="24" t="str">
        <f t="shared" si="11"/>
        <v>Bueno</v>
      </c>
    </row>
    <row r="146" spans="1:12" ht="18" customHeight="1" x14ac:dyDescent="0.3">
      <c r="A146" s="25" t="s">
        <v>339</v>
      </c>
      <c r="B146" s="8" t="s">
        <v>340</v>
      </c>
      <c r="C146" s="25" t="s">
        <v>71</v>
      </c>
      <c r="D146" s="25" t="s">
        <v>92</v>
      </c>
      <c r="E146" s="9">
        <v>9500000</v>
      </c>
      <c r="F146" s="26">
        <v>0.73</v>
      </c>
      <c r="G146" s="25">
        <v>64</v>
      </c>
      <c r="H146" s="27">
        <v>16.600000000000001</v>
      </c>
      <c r="I146" s="21" t="str">
        <f t="shared" si="8"/>
        <v>No cumple</v>
      </c>
      <c r="J146" s="22" t="str">
        <f t="shared" si="9"/>
        <v>Sin bono</v>
      </c>
      <c r="K146" s="23" t="str">
        <f t="shared" si="10"/>
        <v>OK</v>
      </c>
      <c r="L146" s="24" t="str">
        <f t="shared" si="11"/>
        <v>Revisar</v>
      </c>
    </row>
    <row r="147" spans="1:12" ht="18" customHeight="1" x14ac:dyDescent="0.3">
      <c r="A147" s="18" t="s">
        <v>341</v>
      </c>
      <c r="B147" s="5" t="s">
        <v>342</v>
      </c>
      <c r="C147" s="18" t="s">
        <v>59</v>
      </c>
      <c r="D147" s="18" t="s">
        <v>92</v>
      </c>
      <c r="E147" s="6">
        <v>4200000</v>
      </c>
      <c r="F147" s="19">
        <v>0.71</v>
      </c>
      <c r="G147" s="18">
        <v>39</v>
      </c>
      <c r="H147" s="20">
        <v>2.8</v>
      </c>
      <c r="I147" s="21" t="str">
        <f t="shared" si="8"/>
        <v>No cumple</v>
      </c>
      <c r="J147" s="22" t="str">
        <f t="shared" si="9"/>
        <v>Sin bono</v>
      </c>
      <c r="K147" s="23" t="str">
        <f t="shared" si="10"/>
        <v>ALERTA</v>
      </c>
      <c r="L147" s="24" t="str">
        <f t="shared" si="11"/>
        <v>Revisar</v>
      </c>
    </row>
    <row r="148" spans="1:12" ht="18" customHeight="1" x14ac:dyDescent="0.3">
      <c r="A148" s="25" t="s">
        <v>343</v>
      </c>
      <c r="B148" s="8" t="s">
        <v>344</v>
      </c>
      <c r="C148" s="25" t="s">
        <v>63</v>
      </c>
      <c r="D148" s="25" t="s">
        <v>92</v>
      </c>
      <c r="E148" s="9">
        <v>3900000</v>
      </c>
      <c r="F148" s="26">
        <v>0.88</v>
      </c>
      <c r="G148" s="25">
        <v>31</v>
      </c>
      <c r="H148" s="27">
        <v>5.3</v>
      </c>
      <c r="I148" s="21" t="str">
        <f t="shared" si="8"/>
        <v>Cumple</v>
      </c>
      <c r="J148" s="22" t="str">
        <f t="shared" si="9"/>
        <v>Sin bono</v>
      </c>
      <c r="K148" s="23" t="str">
        <f t="shared" si="10"/>
        <v>ALERTA</v>
      </c>
      <c r="L148" s="24" t="str">
        <f t="shared" si="11"/>
        <v>Revisar</v>
      </c>
    </row>
    <row r="149" spans="1:12" ht="18" customHeight="1" x14ac:dyDescent="0.3">
      <c r="A149" s="18" t="s">
        <v>345</v>
      </c>
      <c r="B149" s="5" t="s">
        <v>346</v>
      </c>
      <c r="C149" s="18" t="s">
        <v>81</v>
      </c>
      <c r="D149" s="18" t="s">
        <v>88</v>
      </c>
      <c r="E149" s="6">
        <v>10200000</v>
      </c>
      <c r="F149" s="19">
        <v>0.66</v>
      </c>
      <c r="G149" s="18">
        <v>77</v>
      </c>
      <c r="H149" s="20">
        <v>2.2000000000000002</v>
      </c>
      <c r="I149" s="21" t="str">
        <f t="shared" si="8"/>
        <v>No cumple</v>
      </c>
      <c r="J149" s="22" t="str">
        <f t="shared" si="9"/>
        <v>Sin bono</v>
      </c>
      <c r="K149" s="23" t="str">
        <f t="shared" si="10"/>
        <v>OK</v>
      </c>
      <c r="L149" s="24" t="str">
        <f t="shared" si="11"/>
        <v>Revisar</v>
      </c>
    </row>
    <row r="150" spans="1:12" ht="18" customHeight="1" x14ac:dyDescent="0.3">
      <c r="A150" s="25" t="s">
        <v>347</v>
      </c>
      <c r="B150" s="8" t="s">
        <v>348</v>
      </c>
      <c r="C150" s="25" t="s">
        <v>91</v>
      </c>
      <c r="D150" s="25" t="s">
        <v>92</v>
      </c>
      <c r="E150" s="9">
        <v>10600000</v>
      </c>
      <c r="F150" s="26">
        <v>0.56999999999999995</v>
      </c>
      <c r="G150" s="25">
        <v>38</v>
      </c>
      <c r="H150" s="27">
        <v>12.7</v>
      </c>
      <c r="I150" s="21" t="str">
        <f t="shared" si="8"/>
        <v>No cumple</v>
      </c>
      <c r="J150" s="22" t="str">
        <f t="shared" si="9"/>
        <v>Sin bono</v>
      </c>
      <c r="K150" s="23" t="str">
        <f t="shared" si="10"/>
        <v>ALERTA</v>
      </c>
      <c r="L150" s="24" t="str">
        <f t="shared" si="11"/>
        <v>Revisar</v>
      </c>
    </row>
    <row r="151" spans="1:12" ht="18" customHeight="1" x14ac:dyDescent="0.3">
      <c r="A151" s="18" t="s">
        <v>349</v>
      </c>
      <c r="B151" s="5" t="s">
        <v>350</v>
      </c>
      <c r="C151" s="18" t="s">
        <v>59</v>
      </c>
      <c r="D151" s="18" t="s">
        <v>68</v>
      </c>
      <c r="E151" s="6">
        <v>4200000</v>
      </c>
      <c r="F151" s="19">
        <v>0.53</v>
      </c>
      <c r="G151" s="18">
        <v>34</v>
      </c>
      <c r="H151" s="20">
        <v>6.1</v>
      </c>
      <c r="I151" s="21" t="str">
        <f t="shared" si="8"/>
        <v>No cumple</v>
      </c>
      <c r="J151" s="22" t="str">
        <f t="shared" si="9"/>
        <v>Sin bono</v>
      </c>
      <c r="K151" s="23" t="str">
        <f t="shared" si="10"/>
        <v>ALERTA</v>
      </c>
      <c r="L151" s="24" t="str">
        <f t="shared" si="11"/>
        <v>Revisar</v>
      </c>
    </row>
    <row r="152" spans="1:12" ht="18" customHeight="1" x14ac:dyDescent="0.3">
      <c r="A152" s="25" t="s">
        <v>351</v>
      </c>
      <c r="B152" s="8" t="s">
        <v>352</v>
      </c>
      <c r="C152" s="25" t="s">
        <v>74</v>
      </c>
      <c r="D152" s="25" t="s">
        <v>60</v>
      </c>
      <c r="E152" s="9">
        <v>9600000</v>
      </c>
      <c r="F152" s="26">
        <v>0.52</v>
      </c>
      <c r="G152" s="25">
        <v>88</v>
      </c>
      <c r="H152" s="27">
        <v>7.4</v>
      </c>
      <c r="I152" s="21" t="str">
        <f t="shared" si="8"/>
        <v>No cumple</v>
      </c>
      <c r="J152" s="22" t="str">
        <f t="shared" si="9"/>
        <v>Sin bono</v>
      </c>
      <c r="K152" s="23" t="str">
        <f t="shared" si="10"/>
        <v>ALERTA</v>
      </c>
      <c r="L152" s="24" t="str">
        <f t="shared" si="11"/>
        <v>Revisar</v>
      </c>
    </row>
    <row r="153" spans="1:12" ht="18" customHeight="1" x14ac:dyDescent="0.3">
      <c r="A153" s="18" t="s">
        <v>353</v>
      </c>
      <c r="B153" s="5" t="s">
        <v>354</v>
      </c>
      <c r="C153" s="18" t="s">
        <v>71</v>
      </c>
      <c r="D153" s="18" t="s">
        <v>68</v>
      </c>
      <c r="E153" s="6">
        <v>11100000</v>
      </c>
      <c r="F153" s="19">
        <v>0.5</v>
      </c>
      <c r="G153" s="18">
        <v>92</v>
      </c>
      <c r="H153" s="20">
        <v>12.3</v>
      </c>
      <c r="I153" s="21" t="str">
        <f t="shared" si="8"/>
        <v>No cumple</v>
      </c>
      <c r="J153" s="22" t="str">
        <f t="shared" si="9"/>
        <v>Sin bono</v>
      </c>
      <c r="K153" s="23" t="str">
        <f t="shared" si="10"/>
        <v>ALERTA</v>
      </c>
      <c r="L153" s="24" t="str">
        <f t="shared" si="11"/>
        <v>Revisar</v>
      </c>
    </row>
    <row r="154" spans="1:12" ht="18" customHeight="1" x14ac:dyDescent="0.3">
      <c r="A154" s="25" t="s">
        <v>355</v>
      </c>
      <c r="B154" s="8" t="s">
        <v>356</v>
      </c>
      <c r="C154" s="25" t="s">
        <v>81</v>
      </c>
      <c r="D154" s="25" t="s">
        <v>60</v>
      </c>
      <c r="E154" s="9">
        <v>8400000</v>
      </c>
      <c r="F154" s="26">
        <v>0.69</v>
      </c>
      <c r="G154" s="25">
        <v>60</v>
      </c>
      <c r="H154" s="27">
        <v>17.100000000000001</v>
      </c>
      <c r="I154" s="21" t="str">
        <f t="shared" si="8"/>
        <v>No cumple</v>
      </c>
      <c r="J154" s="22" t="str">
        <f t="shared" si="9"/>
        <v>Sin bono</v>
      </c>
      <c r="K154" s="23" t="str">
        <f t="shared" si="10"/>
        <v>OK</v>
      </c>
      <c r="L154" s="24" t="str">
        <f t="shared" si="11"/>
        <v>Revisar</v>
      </c>
    </row>
    <row r="155" spans="1:12" ht="18" customHeight="1" x14ac:dyDescent="0.3">
      <c r="A155" s="18" t="s">
        <v>357</v>
      </c>
      <c r="B155" s="5" t="s">
        <v>358</v>
      </c>
      <c r="C155" s="18" t="s">
        <v>81</v>
      </c>
      <c r="D155" s="18" t="s">
        <v>92</v>
      </c>
      <c r="E155" s="6">
        <v>3500000</v>
      </c>
      <c r="F155" s="19">
        <v>0.67</v>
      </c>
      <c r="G155" s="18">
        <v>54</v>
      </c>
      <c r="H155" s="20">
        <v>19.399999999999999</v>
      </c>
      <c r="I155" s="21" t="str">
        <f t="shared" si="8"/>
        <v>No cumple</v>
      </c>
      <c r="J155" s="22" t="str">
        <f t="shared" si="9"/>
        <v>Sin bono</v>
      </c>
      <c r="K155" s="23" t="str">
        <f t="shared" si="10"/>
        <v>OK</v>
      </c>
      <c r="L155" s="24" t="str">
        <f t="shared" si="11"/>
        <v>Revisar</v>
      </c>
    </row>
    <row r="156" spans="1:12" ht="18" customHeight="1" x14ac:dyDescent="0.3">
      <c r="A156" s="25" t="s">
        <v>359</v>
      </c>
      <c r="B156" s="8" t="s">
        <v>360</v>
      </c>
      <c r="C156" s="25" t="s">
        <v>67</v>
      </c>
      <c r="D156" s="25" t="s">
        <v>64</v>
      </c>
      <c r="E156" s="9">
        <v>3400000</v>
      </c>
      <c r="F156" s="26">
        <v>0.88</v>
      </c>
      <c r="G156" s="25">
        <v>61</v>
      </c>
      <c r="H156" s="27">
        <v>19.8</v>
      </c>
      <c r="I156" s="21" t="str">
        <f t="shared" si="8"/>
        <v>Cumple</v>
      </c>
      <c r="J156" s="22" t="str">
        <f t="shared" si="9"/>
        <v>Sin bono</v>
      </c>
      <c r="K156" s="23" t="str">
        <f t="shared" si="10"/>
        <v>OK</v>
      </c>
      <c r="L156" s="24" t="str">
        <f t="shared" si="11"/>
        <v>Revisar</v>
      </c>
    </row>
    <row r="157" spans="1:12" ht="18" customHeight="1" x14ac:dyDescent="0.3">
      <c r="A157" s="18" t="s">
        <v>361</v>
      </c>
      <c r="B157" s="5" t="s">
        <v>362</v>
      </c>
      <c r="C157" s="18" t="s">
        <v>74</v>
      </c>
      <c r="D157" s="18" t="s">
        <v>60</v>
      </c>
      <c r="E157" s="6">
        <v>10300000</v>
      </c>
      <c r="F157" s="19">
        <v>0.56999999999999995</v>
      </c>
      <c r="G157" s="18">
        <v>59</v>
      </c>
      <c r="H157" s="20">
        <v>6.6</v>
      </c>
      <c r="I157" s="21" t="str">
        <f t="shared" si="8"/>
        <v>No cumple</v>
      </c>
      <c r="J157" s="22" t="str">
        <f t="shared" si="9"/>
        <v>Sin bono</v>
      </c>
      <c r="K157" s="23" t="str">
        <f t="shared" si="10"/>
        <v>ALERTA</v>
      </c>
      <c r="L157" s="24" t="str">
        <f t="shared" si="11"/>
        <v>Revisar</v>
      </c>
    </row>
    <row r="158" spans="1:12" ht="18" customHeight="1" x14ac:dyDescent="0.3">
      <c r="A158" s="25" t="s">
        <v>363</v>
      </c>
      <c r="B158" s="8" t="s">
        <v>364</v>
      </c>
      <c r="C158" s="25" t="s">
        <v>91</v>
      </c>
      <c r="D158" s="25" t="s">
        <v>88</v>
      </c>
      <c r="E158" s="9">
        <v>4600000</v>
      </c>
      <c r="F158" s="26">
        <v>0.99</v>
      </c>
      <c r="G158" s="25">
        <v>99</v>
      </c>
      <c r="H158" s="27">
        <v>5</v>
      </c>
      <c r="I158" s="21" t="str">
        <f t="shared" si="8"/>
        <v>Cumple</v>
      </c>
      <c r="J158" s="22" t="str">
        <f t="shared" si="9"/>
        <v>BONO</v>
      </c>
      <c r="K158" s="23" t="str">
        <f t="shared" si="10"/>
        <v>OK</v>
      </c>
      <c r="L158" s="24" t="str">
        <f t="shared" si="11"/>
        <v>Excelente</v>
      </c>
    </row>
    <row r="159" spans="1:12" ht="18" customHeight="1" x14ac:dyDescent="0.3">
      <c r="A159" s="18" t="s">
        <v>365</v>
      </c>
      <c r="B159" s="5" t="s">
        <v>366</v>
      </c>
      <c r="C159" s="18" t="s">
        <v>91</v>
      </c>
      <c r="D159" s="18" t="s">
        <v>114</v>
      </c>
      <c r="E159" s="6">
        <v>2900000</v>
      </c>
      <c r="F159" s="19">
        <v>0.65</v>
      </c>
      <c r="G159" s="18">
        <v>60</v>
      </c>
      <c r="H159" s="20">
        <v>11.8</v>
      </c>
      <c r="I159" s="21" t="str">
        <f t="shared" si="8"/>
        <v>No cumple</v>
      </c>
      <c r="J159" s="22" t="str">
        <f t="shared" si="9"/>
        <v>Sin bono</v>
      </c>
      <c r="K159" s="23" t="str">
        <f t="shared" si="10"/>
        <v>OK</v>
      </c>
      <c r="L159" s="24" t="str">
        <f t="shared" si="11"/>
        <v>Revisar</v>
      </c>
    </row>
    <row r="160" spans="1:12" ht="18" customHeight="1" x14ac:dyDescent="0.3">
      <c r="A160" s="25" t="s">
        <v>367</v>
      </c>
      <c r="B160" s="8" t="s">
        <v>368</v>
      </c>
      <c r="C160" s="25" t="s">
        <v>74</v>
      </c>
      <c r="D160" s="25" t="s">
        <v>78</v>
      </c>
      <c r="E160" s="9">
        <v>8800000</v>
      </c>
      <c r="F160" s="26">
        <v>0.7</v>
      </c>
      <c r="G160" s="25">
        <v>76</v>
      </c>
      <c r="H160" s="27">
        <v>10.3</v>
      </c>
      <c r="I160" s="21" t="str">
        <f t="shared" si="8"/>
        <v>No cumple</v>
      </c>
      <c r="J160" s="22" t="str">
        <f t="shared" si="9"/>
        <v>Sin bono</v>
      </c>
      <c r="K160" s="23" t="str">
        <f t="shared" si="10"/>
        <v>OK</v>
      </c>
      <c r="L160" s="24" t="str">
        <f t="shared" si="11"/>
        <v>Revisar</v>
      </c>
    </row>
    <row r="161" spans="1:12" ht="18" customHeight="1" x14ac:dyDescent="0.3">
      <c r="A161" s="18" t="s">
        <v>369</v>
      </c>
      <c r="B161" s="5" t="s">
        <v>370</v>
      </c>
      <c r="C161" s="18" t="s">
        <v>67</v>
      </c>
      <c r="D161" s="18" t="s">
        <v>64</v>
      </c>
      <c r="E161" s="6">
        <v>11200000</v>
      </c>
      <c r="F161" s="19">
        <v>0.74</v>
      </c>
      <c r="G161" s="18">
        <v>88</v>
      </c>
      <c r="H161" s="20">
        <v>12.9</v>
      </c>
      <c r="I161" s="21" t="str">
        <f t="shared" si="8"/>
        <v>No cumple</v>
      </c>
      <c r="J161" s="22" t="str">
        <f t="shared" si="9"/>
        <v>Sin bono</v>
      </c>
      <c r="K161" s="23" t="str">
        <f t="shared" si="10"/>
        <v>OK</v>
      </c>
      <c r="L161" s="24" t="str">
        <f t="shared" si="11"/>
        <v>Revisar</v>
      </c>
    </row>
    <row r="162" spans="1:12" ht="18" customHeight="1" x14ac:dyDescent="0.3">
      <c r="A162" s="25" t="s">
        <v>371</v>
      </c>
      <c r="B162" s="8" t="s">
        <v>372</v>
      </c>
      <c r="C162" s="25" t="s">
        <v>77</v>
      </c>
      <c r="D162" s="25" t="s">
        <v>68</v>
      </c>
      <c r="E162" s="9">
        <v>8200000</v>
      </c>
      <c r="F162" s="26">
        <v>0.83</v>
      </c>
      <c r="G162" s="25">
        <v>92</v>
      </c>
      <c r="H162" s="27">
        <v>14.2</v>
      </c>
      <c r="I162" s="21" t="str">
        <f t="shared" si="8"/>
        <v>Cumple</v>
      </c>
      <c r="J162" s="22" t="str">
        <f t="shared" si="9"/>
        <v>BONO</v>
      </c>
      <c r="K162" s="23" t="str">
        <f t="shared" si="10"/>
        <v>OK</v>
      </c>
      <c r="L162" s="24" t="str">
        <f t="shared" si="11"/>
        <v>Bueno</v>
      </c>
    </row>
    <row r="163" spans="1:12" ht="18" customHeight="1" x14ac:dyDescent="0.3">
      <c r="A163" s="18" t="s">
        <v>373</v>
      </c>
      <c r="B163" s="5" t="s">
        <v>374</v>
      </c>
      <c r="C163" s="18" t="s">
        <v>74</v>
      </c>
      <c r="D163" s="18" t="s">
        <v>92</v>
      </c>
      <c r="E163" s="6">
        <v>10500000</v>
      </c>
      <c r="F163" s="19">
        <v>0.53</v>
      </c>
      <c r="G163" s="18">
        <v>46</v>
      </c>
      <c r="H163" s="20">
        <v>5.5</v>
      </c>
      <c r="I163" s="21" t="str">
        <f t="shared" si="8"/>
        <v>No cumple</v>
      </c>
      <c r="J163" s="22" t="str">
        <f t="shared" si="9"/>
        <v>Sin bono</v>
      </c>
      <c r="K163" s="23" t="str">
        <f t="shared" si="10"/>
        <v>ALERTA</v>
      </c>
      <c r="L163" s="24" t="str">
        <f t="shared" si="11"/>
        <v>Revisar</v>
      </c>
    </row>
    <row r="164" spans="1:12" ht="18" customHeight="1" x14ac:dyDescent="0.3">
      <c r="A164" s="25" t="s">
        <v>375</v>
      </c>
      <c r="B164" s="8" t="s">
        <v>376</v>
      </c>
      <c r="C164" s="25" t="s">
        <v>81</v>
      </c>
      <c r="D164" s="25" t="s">
        <v>68</v>
      </c>
      <c r="E164" s="9">
        <v>10400000</v>
      </c>
      <c r="F164" s="26">
        <v>0.74</v>
      </c>
      <c r="G164" s="25">
        <v>88</v>
      </c>
      <c r="H164" s="27">
        <v>10.1</v>
      </c>
      <c r="I164" s="21" t="str">
        <f t="shared" si="8"/>
        <v>No cumple</v>
      </c>
      <c r="J164" s="22" t="str">
        <f t="shared" si="9"/>
        <v>Sin bono</v>
      </c>
      <c r="K164" s="23" t="str">
        <f t="shared" si="10"/>
        <v>OK</v>
      </c>
      <c r="L164" s="24" t="str">
        <f t="shared" si="11"/>
        <v>Revisar</v>
      </c>
    </row>
    <row r="165" spans="1:12" ht="18" customHeight="1" x14ac:dyDescent="0.3">
      <c r="A165" s="18" t="s">
        <v>377</v>
      </c>
      <c r="B165" s="5" t="s">
        <v>378</v>
      </c>
      <c r="C165" s="18" t="s">
        <v>74</v>
      </c>
      <c r="D165" s="18" t="s">
        <v>60</v>
      </c>
      <c r="E165" s="6">
        <v>8300000</v>
      </c>
      <c r="F165" s="19">
        <v>0.7</v>
      </c>
      <c r="G165" s="18">
        <v>59</v>
      </c>
      <c r="H165" s="20">
        <v>8.3000000000000007</v>
      </c>
      <c r="I165" s="21" t="str">
        <f t="shared" si="8"/>
        <v>No cumple</v>
      </c>
      <c r="J165" s="22" t="str">
        <f t="shared" si="9"/>
        <v>Sin bono</v>
      </c>
      <c r="K165" s="23" t="str">
        <f t="shared" si="10"/>
        <v>OK</v>
      </c>
      <c r="L165" s="24" t="str">
        <f t="shared" si="11"/>
        <v>Revisar</v>
      </c>
    </row>
    <row r="166" spans="1:12" ht="18" customHeight="1" x14ac:dyDescent="0.3">
      <c r="A166" s="25" t="s">
        <v>379</v>
      </c>
      <c r="B166" s="8" t="s">
        <v>380</v>
      </c>
      <c r="C166" s="25" t="s">
        <v>63</v>
      </c>
      <c r="D166" s="25" t="s">
        <v>78</v>
      </c>
      <c r="E166" s="9">
        <v>6800000</v>
      </c>
      <c r="F166" s="26">
        <v>0.68</v>
      </c>
      <c r="G166" s="25">
        <v>62</v>
      </c>
      <c r="H166" s="27">
        <v>7.5</v>
      </c>
      <c r="I166" s="21" t="str">
        <f t="shared" si="8"/>
        <v>No cumple</v>
      </c>
      <c r="J166" s="22" t="str">
        <f t="shared" si="9"/>
        <v>Sin bono</v>
      </c>
      <c r="K166" s="23" t="str">
        <f t="shared" si="10"/>
        <v>OK</v>
      </c>
      <c r="L166" s="24" t="str">
        <f t="shared" si="11"/>
        <v>Revisar</v>
      </c>
    </row>
    <row r="167" spans="1:12" ht="18" customHeight="1" x14ac:dyDescent="0.3">
      <c r="A167" s="18" t="s">
        <v>381</v>
      </c>
      <c r="B167" s="5" t="s">
        <v>382</v>
      </c>
      <c r="C167" s="18" t="s">
        <v>77</v>
      </c>
      <c r="D167" s="18" t="s">
        <v>78</v>
      </c>
      <c r="E167" s="6">
        <v>3900000</v>
      </c>
      <c r="F167" s="19">
        <v>0.91</v>
      </c>
      <c r="G167" s="18">
        <v>41</v>
      </c>
      <c r="H167" s="20">
        <v>8.6</v>
      </c>
      <c r="I167" s="21" t="str">
        <f t="shared" si="8"/>
        <v>Cumple</v>
      </c>
      <c r="J167" s="22" t="str">
        <f t="shared" si="9"/>
        <v>Sin bono</v>
      </c>
      <c r="K167" s="23" t="str">
        <f t="shared" si="10"/>
        <v>ALERTA</v>
      </c>
      <c r="L167" s="24" t="str">
        <f t="shared" si="11"/>
        <v>Revisar</v>
      </c>
    </row>
    <row r="168" spans="1:12" ht="18" customHeight="1" x14ac:dyDescent="0.3">
      <c r="A168" s="25" t="s">
        <v>383</v>
      </c>
      <c r="B168" s="8" t="s">
        <v>384</v>
      </c>
      <c r="C168" s="25" t="s">
        <v>71</v>
      </c>
      <c r="D168" s="25" t="s">
        <v>64</v>
      </c>
      <c r="E168" s="9">
        <v>10300000</v>
      </c>
      <c r="F168" s="26">
        <v>0.98</v>
      </c>
      <c r="G168" s="25">
        <v>72</v>
      </c>
      <c r="H168" s="27">
        <v>13.4</v>
      </c>
      <c r="I168" s="21" t="str">
        <f t="shared" si="8"/>
        <v>Cumple</v>
      </c>
      <c r="J168" s="22" t="str">
        <f t="shared" si="9"/>
        <v>BONO</v>
      </c>
      <c r="K168" s="23" t="str">
        <f t="shared" si="10"/>
        <v>OK</v>
      </c>
      <c r="L168" s="24" t="str">
        <f t="shared" si="11"/>
        <v>Bueno</v>
      </c>
    </row>
    <row r="169" spans="1:12" ht="18" customHeight="1" x14ac:dyDescent="0.3">
      <c r="A169" s="18" t="s">
        <v>385</v>
      </c>
      <c r="B169" s="5" t="s">
        <v>386</v>
      </c>
      <c r="C169" s="18" t="s">
        <v>63</v>
      </c>
      <c r="D169" s="18" t="s">
        <v>64</v>
      </c>
      <c r="E169" s="6">
        <v>6400000</v>
      </c>
      <c r="F169" s="19">
        <v>0.78</v>
      </c>
      <c r="G169" s="18">
        <v>75</v>
      </c>
      <c r="H169" s="20">
        <v>2.1</v>
      </c>
      <c r="I169" s="21" t="str">
        <f t="shared" si="8"/>
        <v>No cumple</v>
      </c>
      <c r="J169" s="22" t="str">
        <f t="shared" si="9"/>
        <v>Sin bono</v>
      </c>
      <c r="K169" s="23" t="str">
        <f t="shared" si="10"/>
        <v>OK</v>
      </c>
      <c r="L169" s="24" t="str">
        <f t="shared" si="11"/>
        <v>Revisar</v>
      </c>
    </row>
    <row r="170" spans="1:12" ht="18" customHeight="1" x14ac:dyDescent="0.3">
      <c r="A170" s="25" t="s">
        <v>387</v>
      </c>
      <c r="B170" s="8" t="s">
        <v>388</v>
      </c>
      <c r="C170" s="25" t="s">
        <v>71</v>
      </c>
      <c r="D170" s="25" t="s">
        <v>105</v>
      </c>
      <c r="E170" s="9">
        <v>5600000</v>
      </c>
      <c r="F170" s="26">
        <v>0.92</v>
      </c>
      <c r="G170" s="25">
        <v>74</v>
      </c>
      <c r="H170" s="27">
        <v>16.899999999999999</v>
      </c>
      <c r="I170" s="21" t="str">
        <f t="shared" si="8"/>
        <v>Cumple</v>
      </c>
      <c r="J170" s="22" t="str">
        <f t="shared" si="9"/>
        <v>BONO</v>
      </c>
      <c r="K170" s="23" t="str">
        <f t="shared" si="10"/>
        <v>OK</v>
      </c>
      <c r="L170" s="24" t="str">
        <f t="shared" si="11"/>
        <v>Bueno</v>
      </c>
    </row>
    <row r="171" spans="1:12" ht="18" customHeight="1" x14ac:dyDescent="0.3">
      <c r="A171" s="18" t="s">
        <v>389</v>
      </c>
      <c r="B171" s="5" t="s">
        <v>390</v>
      </c>
      <c r="C171" s="18" t="s">
        <v>59</v>
      </c>
      <c r="D171" s="18" t="s">
        <v>60</v>
      </c>
      <c r="E171" s="6">
        <v>8200000</v>
      </c>
      <c r="F171" s="19">
        <v>0.91</v>
      </c>
      <c r="G171" s="18">
        <v>33</v>
      </c>
      <c r="H171" s="20">
        <v>12.2</v>
      </c>
      <c r="I171" s="21" t="str">
        <f t="shared" si="8"/>
        <v>Cumple</v>
      </c>
      <c r="J171" s="22" t="str">
        <f t="shared" si="9"/>
        <v>Sin bono</v>
      </c>
      <c r="K171" s="23" t="str">
        <f t="shared" si="10"/>
        <v>ALERTA</v>
      </c>
      <c r="L171" s="24" t="str">
        <f t="shared" si="11"/>
        <v>Revisar</v>
      </c>
    </row>
    <row r="172" spans="1:12" ht="18" customHeight="1" x14ac:dyDescent="0.3">
      <c r="A172" s="25" t="s">
        <v>391</v>
      </c>
      <c r="B172" s="8" t="s">
        <v>392</v>
      </c>
      <c r="C172" s="25" t="s">
        <v>71</v>
      </c>
      <c r="D172" s="25" t="s">
        <v>88</v>
      </c>
      <c r="E172" s="9">
        <v>11700000</v>
      </c>
      <c r="F172" s="26">
        <v>0.87</v>
      </c>
      <c r="G172" s="25">
        <v>73</v>
      </c>
      <c r="H172" s="27">
        <v>7</v>
      </c>
      <c r="I172" s="21" t="str">
        <f t="shared" si="8"/>
        <v>Cumple</v>
      </c>
      <c r="J172" s="22" t="str">
        <f t="shared" si="9"/>
        <v>BONO</v>
      </c>
      <c r="K172" s="23" t="str">
        <f t="shared" si="10"/>
        <v>OK</v>
      </c>
      <c r="L172" s="24" t="str">
        <f t="shared" si="11"/>
        <v>Bueno</v>
      </c>
    </row>
    <row r="173" spans="1:12" ht="18" customHeight="1" x14ac:dyDescent="0.3">
      <c r="A173" s="18" t="s">
        <v>393</v>
      </c>
      <c r="B173" s="5" t="s">
        <v>394</v>
      </c>
      <c r="C173" s="18" t="s">
        <v>71</v>
      </c>
      <c r="D173" s="18" t="s">
        <v>68</v>
      </c>
      <c r="E173" s="6">
        <v>3600000</v>
      </c>
      <c r="F173" s="19">
        <v>0.53</v>
      </c>
      <c r="G173" s="18">
        <v>33</v>
      </c>
      <c r="H173" s="20">
        <v>1.8</v>
      </c>
      <c r="I173" s="21" t="str">
        <f t="shared" si="8"/>
        <v>No cumple</v>
      </c>
      <c r="J173" s="22" t="str">
        <f t="shared" si="9"/>
        <v>Sin bono</v>
      </c>
      <c r="K173" s="23" t="str">
        <f t="shared" si="10"/>
        <v>ALERTA</v>
      </c>
      <c r="L173" s="24" t="str">
        <f t="shared" si="11"/>
        <v>Revisar</v>
      </c>
    </row>
    <row r="174" spans="1:12" ht="18" customHeight="1" x14ac:dyDescent="0.3">
      <c r="A174" s="25" t="s">
        <v>395</v>
      </c>
      <c r="B174" s="8" t="s">
        <v>396</v>
      </c>
      <c r="C174" s="25" t="s">
        <v>63</v>
      </c>
      <c r="D174" s="25" t="s">
        <v>68</v>
      </c>
      <c r="E174" s="9">
        <v>8600000</v>
      </c>
      <c r="F174" s="26">
        <v>0.64</v>
      </c>
      <c r="G174" s="25">
        <v>77</v>
      </c>
      <c r="H174" s="27">
        <v>6.2</v>
      </c>
      <c r="I174" s="21" t="str">
        <f t="shared" si="8"/>
        <v>No cumple</v>
      </c>
      <c r="J174" s="22" t="str">
        <f t="shared" si="9"/>
        <v>Sin bono</v>
      </c>
      <c r="K174" s="23" t="str">
        <f t="shared" si="10"/>
        <v>OK</v>
      </c>
      <c r="L174" s="24" t="str">
        <f t="shared" si="11"/>
        <v>Revisar</v>
      </c>
    </row>
    <row r="175" spans="1:12" ht="18" customHeight="1" x14ac:dyDescent="0.3">
      <c r="A175" s="18" t="s">
        <v>397</v>
      </c>
      <c r="B175" s="5" t="s">
        <v>398</v>
      </c>
      <c r="C175" s="18" t="s">
        <v>74</v>
      </c>
      <c r="D175" s="18" t="s">
        <v>64</v>
      </c>
      <c r="E175" s="6">
        <v>4700000</v>
      </c>
      <c r="F175" s="19">
        <v>0.54</v>
      </c>
      <c r="G175" s="18">
        <v>36</v>
      </c>
      <c r="H175" s="20">
        <v>13.5</v>
      </c>
      <c r="I175" s="21" t="str">
        <f t="shared" si="8"/>
        <v>No cumple</v>
      </c>
      <c r="J175" s="22" t="str">
        <f t="shared" si="9"/>
        <v>Sin bono</v>
      </c>
      <c r="K175" s="23" t="str">
        <f t="shared" si="10"/>
        <v>ALERTA</v>
      </c>
      <c r="L175" s="24" t="str">
        <f t="shared" si="11"/>
        <v>Revisar</v>
      </c>
    </row>
    <row r="176" spans="1:12" ht="18" customHeight="1" x14ac:dyDescent="0.3">
      <c r="A176" s="25" t="s">
        <v>399</v>
      </c>
      <c r="B176" s="8" t="s">
        <v>400</v>
      </c>
      <c r="C176" s="25" t="s">
        <v>63</v>
      </c>
      <c r="D176" s="25" t="s">
        <v>105</v>
      </c>
      <c r="E176" s="9">
        <v>10500000</v>
      </c>
      <c r="F176" s="26">
        <v>0.69</v>
      </c>
      <c r="G176" s="25">
        <v>64</v>
      </c>
      <c r="H176" s="27">
        <v>4.3</v>
      </c>
      <c r="I176" s="21" t="str">
        <f t="shared" si="8"/>
        <v>No cumple</v>
      </c>
      <c r="J176" s="22" t="str">
        <f t="shared" si="9"/>
        <v>Sin bono</v>
      </c>
      <c r="K176" s="23" t="str">
        <f t="shared" si="10"/>
        <v>OK</v>
      </c>
      <c r="L176" s="24" t="str">
        <f t="shared" si="11"/>
        <v>Revisar</v>
      </c>
    </row>
    <row r="177" spans="1:12" ht="18" customHeight="1" x14ac:dyDescent="0.3">
      <c r="A177" s="18" t="s">
        <v>401</v>
      </c>
      <c r="B177" s="5" t="s">
        <v>402</v>
      </c>
      <c r="C177" s="18" t="s">
        <v>74</v>
      </c>
      <c r="D177" s="18" t="s">
        <v>88</v>
      </c>
      <c r="E177" s="6">
        <v>11400000</v>
      </c>
      <c r="F177" s="19">
        <v>0.82</v>
      </c>
      <c r="G177" s="18">
        <v>92</v>
      </c>
      <c r="H177" s="20">
        <v>10.5</v>
      </c>
      <c r="I177" s="21" t="str">
        <f t="shared" si="8"/>
        <v>Cumple</v>
      </c>
      <c r="J177" s="22" t="str">
        <f t="shared" si="9"/>
        <v>BONO</v>
      </c>
      <c r="K177" s="23" t="str">
        <f t="shared" si="10"/>
        <v>OK</v>
      </c>
      <c r="L177" s="24" t="str">
        <f t="shared" si="11"/>
        <v>Bueno</v>
      </c>
    </row>
    <row r="178" spans="1:12" ht="18" customHeight="1" x14ac:dyDescent="0.3">
      <c r="A178" s="25" t="s">
        <v>403</v>
      </c>
      <c r="B178" s="8" t="s">
        <v>404</v>
      </c>
      <c r="C178" s="25" t="s">
        <v>67</v>
      </c>
      <c r="D178" s="25" t="s">
        <v>68</v>
      </c>
      <c r="E178" s="9">
        <v>10400000</v>
      </c>
      <c r="F178" s="26">
        <v>0.48</v>
      </c>
      <c r="G178" s="25">
        <v>56</v>
      </c>
      <c r="H178" s="27">
        <v>6</v>
      </c>
      <c r="I178" s="21" t="str">
        <f t="shared" si="8"/>
        <v>No cumple</v>
      </c>
      <c r="J178" s="22" t="str">
        <f t="shared" si="9"/>
        <v>Sin bono</v>
      </c>
      <c r="K178" s="23" t="str">
        <f t="shared" si="10"/>
        <v>ALERTA</v>
      </c>
      <c r="L178" s="24" t="str">
        <f t="shared" si="11"/>
        <v>Revisar</v>
      </c>
    </row>
    <row r="179" spans="1:12" ht="18" customHeight="1" x14ac:dyDescent="0.3">
      <c r="A179" s="18" t="s">
        <v>405</v>
      </c>
      <c r="B179" s="5" t="s">
        <v>406</v>
      </c>
      <c r="C179" s="18" t="s">
        <v>71</v>
      </c>
      <c r="D179" s="18" t="s">
        <v>88</v>
      </c>
      <c r="E179" s="6">
        <v>6500000</v>
      </c>
      <c r="F179" s="19">
        <v>0.63</v>
      </c>
      <c r="G179" s="18">
        <v>30</v>
      </c>
      <c r="H179" s="20">
        <v>9.9</v>
      </c>
      <c r="I179" s="21" t="str">
        <f t="shared" si="8"/>
        <v>No cumple</v>
      </c>
      <c r="J179" s="22" t="str">
        <f t="shared" si="9"/>
        <v>Sin bono</v>
      </c>
      <c r="K179" s="23" t="str">
        <f t="shared" si="10"/>
        <v>ALERTA</v>
      </c>
      <c r="L179" s="24" t="str">
        <f t="shared" si="11"/>
        <v>Revisar</v>
      </c>
    </row>
    <row r="180" spans="1:12" ht="18" customHeight="1" x14ac:dyDescent="0.3">
      <c r="A180" s="25" t="s">
        <v>407</v>
      </c>
      <c r="B180" s="8" t="s">
        <v>408</v>
      </c>
      <c r="C180" s="25" t="s">
        <v>67</v>
      </c>
      <c r="D180" s="25" t="s">
        <v>92</v>
      </c>
      <c r="E180" s="9">
        <v>3700000</v>
      </c>
      <c r="F180" s="26">
        <v>0.67</v>
      </c>
      <c r="G180" s="25">
        <v>35</v>
      </c>
      <c r="H180" s="27">
        <v>8.6999999999999993</v>
      </c>
      <c r="I180" s="21" t="str">
        <f t="shared" si="8"/>
        <v>No cumple</v>
      </c>
      <c r="J180" s="22" t="str">
        <f t="shared" si="9"/>
        <v>Sin bono</v>
      </c>
      <c r="K180" s="23" t="str">
        <f t="shared" si="10"/>
        <v>ALERTA</v>
      </c>
      <c r="L180" s="24" t="str">
        <f t="shared" si="11"/>
        <v>Revisar</v>
      </c>
    </row>
    <row r="181" spans="1:12" ht="18" customHeight="1" x14ac:dyDescent="0.3">
      <c r="A181" s="18" t="s">
        <v>409</v>
      </c>
      <c r="B181" s="5" t="s">
        <v>410</v>
      </c>
      <c r="C181" s="18" t="s">
        <v>81</v>
      </c>
      <c r="D181" s="18" t="s">
        <v>68</v>
      </c>
      <c r="E181" s="6">
        <v>10100000</v>
      </c>
      <c r="F181" s="19">
        <v>0.67</v>
      </c>
      <c r="G181" s="18">
        <v>83</v>
      </c>
      <c r="H181" s="20">
        <v>5.8</v>
      </c>
      <c r="I181" s="21" t="str">
        <f t="shared" si="8"/>
        <v>No cumple</v>
      </c>
      <c r="J181" s="22" t="str">
        <f t="shared" si="9"/>
        <v>Sin bono</v>
      </c>
      <c r="K181" s="23" t="str">
        <f t="shared" si="10"/>
        <v>OK</v>
      </c>
      <c r="L181" s="24" t="str">
        <f t="shared" si="11"/>
        <v>Revisar</v>
      </c>
    </row>
    <row r="182" spans="1:12" ht="18" customHeight="1" x14ac:dyDescent="0.3">
      <c r="A182" s="25" t="s">
        <v>411</v>
      </c>
      <c r="B182" s="8" t="s">
        <v>412</v>
      </c>
      <c r="C182" s="25" t="s">
        <v>81</v>
      </c>
      <c r="D182" s="25" t="s">
        <v>114</v>
      </c>
      <c r="E182" s="9">
        <v>10700000</v>
      </c>
      <c r="F182" s="26">
        <v>0.7</v>
      </c>
      <c r="G182" s="25">
        <v>76</v>
      </c>
      <c r="H182" s="27">
        <v>1.8</v>
      </c>
      <c r="I182" s="21" t="str">
        <f t="shared" si="8"/>
        <v>No cumple</v>
      </c>
      <c r="J182" s="22" t="str">
        <f t="shared" si="9"/>
        <v>Sin bono</v>
      </c>
      <c r="K182" s="23" t="str">
        <f t="shared" si="10"/>
        <v>OK</v>
      </c>
      <c r="L182" s="24" t="str">
        <f t="shared" si="11"/>
        <v>Revisar</v>
      </c>
    </row>
    <row r="183" spans="1:12" ht="18" customHeight="1" x14ac:dyDescent="0.3">
      <c r="A183" s="18" t="s">
        <v>413</v>
      </c>
      <c r="B183" s="5" t="s">
        <v>414</v>
      </c>
      <c r="C183" s="18" t="s">
        <v>63</v>
      </c>
      <c r="D183" s="18" t="s">
        <v>68</v>
      </c>
      <c r="E183" s="6">
        <v>9500000</v>
      </c>
      <c r="F183" s="19">
        <v>0.49</v>
      </c>
      <c r="G183" s="18">
        <v>69</v>
      </c>
      <c r="H183" s="20">
        <v>14.9</v>
      </c>
      <c r="I183" s="21" t="str">
        <f t="shared" si="8"/>
        <v>No cumple</v>
      </c>
      <c r="J183" s="22" t="str">
        <f t="shared" si="9"/>
        <v>Sin bono</v>
      </c>
      <c r="K183" s="23" t="str">
        <f t="shared" si="10"/>
        <v>ALERTA</v>
      </c>
      <c r="L183" s="24" t="str">
        <f t="shared" si="11"/>
        <v>Revisar</v>
      </c>
    </row>
    <row r="184" spans="1:12" ht="18" customHeight="1" x14ac:dyDescent="0.3">
      <c r="A184" s="25" t="s">
        <v>415</v>
      </c>
      <c r="B184" s="8" t="s">
        <v>416</v>
      </c>
      <c r="C184" s="25" t="s">
        <v>71</v>
      </c>
      <c r="D184" s="25" t="s">
        <v>78</v>
      </c>
      <c r="E184" s="9">
        <v>9300000</v>
      </c>
      <c r="F184" s="26">
        <v>0.8</v>
      </c>
      <c r="G184" s="25">
        <v>97</v>
      </c>
      <c r="H184" s="27">
        <v>10.199999999999999</v>
      </c>
      <c r="I184" s="21" t="str">
        <f t="shared" si="8"/>
        <v>Cumple</v>
      </c>
      <c r="J184" s="22" t="str">
        <f t="shared" si="9"/>
        <v>BONO</v>
      </c>
      <c r="K184" s="23" t="str">
        <f t="shared" si="10"/>
        <v>OK</v>
      </c>
      <c r="L184" s="24" t="str">
        <f t="shared" si="11"/>
        <v>Bueno</v>
      </c>
    </row>
    <row r="185" spans="1:12" ht="18" customHeight="1" x14ac:dyDescent="0.3">
      <c r="A185" s="18" t="s">
        <v>417</v>
      </c>
      <c r="B185" s="5" t="s">
        <v>418</v>
      </c>
      <c r="C185" s="18" t="s">
        <v>71</v>
      </c>
      <c r="D185" s="18" t="s">
        <v>60</v>
      </c>
      <c r="E185" s="6">
        <v>4100000</v>
      </c>
      <c r="F185" s="19">
        <v>0.53</v>
      </c>
      <c r="G185" s="18">
        <v>55</v>
      </c>
      <c r="H185" s="20">
        <v>3.5</v>
      </c>
      <c r="I185" s="21" t="str">
        <f t="shared" si="8"/>
        <v>No cumple</v>
      </c>
      <c r="J185" s="22" t="str">
        <f t="shared" si="9"/>
        <v>Sin bono</v>
      </c>
      <c r="K185" s="23" t="str">
        <f t="shared" si="10"/>
        <v>ALERTA</v>
      </c>
      <c r="L185" s="24" t="str">
        <f t="shared" si="11"/>
        <v>Revisar</v>
      </c>
    </row>
    <row r="186" spans="1:12" ht="18" customHeight="1" x14ac:dyDescent="0.3">
      <c r="A186" s="25" t="s">
        <v>419</v>
      </c>
      <c r="B186" s="8" t="s">
        <v>420</v>
      </c>
      <c r="C186" s="25" t="s">
        <v>74</v>
      </c>
      <c r="D186" s="25" t="s">
        <v>114</v>
      </c>
      <c r="E186" s="9">
        <v>10800000</v>
      </c>
      <c r="F186" s="26">
        <v>0.72</v>
      </c>
      <c r="G186" s="25">
        <v>87</v>
      </c>
      <c r="H186" s="27">
        <v>13.6</v>
      </c>
      <c r="I186" s="21" t="str">
        <f t="shared" si="8"/>
        <v>No cumple</v>
      </c>
      <c r="J186" s="22" t="str">
        <f t="shared" si="9"/>
        <v>Sin bono</v>
      </c>
      <c r="K186" s="23" t="str">
        <f t="shared" si="10"/>
        <v>OK</v>
      </c>
      <c r="L186" s="24" t="str">
        <f t="shared" si="11"/>
        <v>Revisar</v>
      </c>
    </row>
    <row r="187" spans="1:12" ht="18" customHeight="1" x14ac:dyDescent="0.3">
      <c r="A187" s="18" t="s">
        <v>421</v>
      </c>
      <c r="B187" s="5" t="s">
        <v>422</v>
      </c>
      <c r="C187" s="18" t="s">
        <v>81</v>
      </c>
      <c r="D187" s="18" t="s">
        <v>92</v>
      </c>
      <c r="E187" s="6">
        <v>4700000</v>
      </c>
      <c r="F187" s="19">
        <v>0.69</v>
      </c>
      <c r="G187" s="18">
        <v>90</v>
      </c>
      <c r="H187" s="20">
        <v>8.8000000000000007</v>
      </c>
      <c r="I187" s="21" t="str">
        <f t="shared" si="8"/>
        <v>No cumple</v>
      </c>
      <c r="J187" s="22" t="str">
        <f t="shared" si="9"/>
        <v>Sin bono</v>
      </c>
      <c r="K187" s="23" t="str">
        <f t="shared" si="10"/>
        <v>OK</v>
      </c>
      <c r="L187" s="24" t="str">
        <f t="shared" si="11"/>
        <v>Revisar</v>
      </c>
    </row>
    <row r="188" spans="1:12" ht="18" customHeight="1" x14ac:dyDescent="0.3">
      <c r="A188" s="25" t="s">
        <v>423</v>
      </c>
      <c r="B188" s="8" t="s">
        <v>424</v>
      </c>
      <c r="C188" s="25" t="s">
        <v>59</v>
      </c>
      <c r="D188" s="25" t="s">
        <v>64</v>
      </c>
      <c r="E188" s="9">
        <v>7300000</v>
      </c>
      <c r="F188" s="26">
        <v>0.73</v>
      </c>
      <c r="G188" s="25">
        <v>69</v>
      </c>
      <c r="H188" s="27">
        <v>9.1999999999999993</v>
      </c>
      <c r="I188" s="21" t="str">
        <f t="shared" si="8"/>
        <v>No cumple</v>
      </c>
      <c r="J188" s="22" t="str">
        <f t="shared" si="9"/>
        <v>Sin bono</v>
      </c>
      <c r="K188" s="23" t="str">
        <f t="shared" si="10"/>
        <v>OK</v>
      </c>
      <c r="L188" s="24" t="str">
        <f t="shared" si="11"/>
        <v>Revisar</v>
      </c>
    </row>
    <row r="189" spans="1:12" ht="18" customHeight="1" x14ac:dyDescent="0.3">
      <c r="A189" s="18" t="s">
        <v>425</v>
      </c>
      <c r="B189" s="5" t="s">
        <v>426</v>
      </c>
      <c r="C189" s="18" t="s">
        <v>81</v>
      </c>
      <c r="D189" s="18" t="s">
        <v>88</v>
      </c>
      <c r="E189" s="6">
        <v>3700000</v>
      </c>
      <c r="F189" s="19">
        <v>0.8</v>
      </c>
      <c r="G189" s="18">
        <v>41</v>
      </c>
      <c r="H189" s="20">
        <v>12.3</v>
      </c>
      <c r="I189" s="21" t="str">
        <f t="shared" si="8"/>
        <v>Cumple</v>
      </c>
      <c r="J189" s="22" t="str">
        <f t="shared" si="9"/>
        <v>Sin bono</v>
      </c>
      <c r="K189" s="23" t="str">
        <f t="shared" si="10"/>
        <v>ALERTA</v>
      </c>
      <c r="L189" s="24" t="str">
        <f t="shared" si="11"/>
        <v>Revisar</v>
      </c>
    </row>
    <row r="190" spans="1:12" ht="18" customHeight="1" x14ac:dyDescent="0.3">
      <c r="A190" s="25" t="s">
        <v>427</v>
      </c>
      <c r="B190" s="8" t="s">
        <v>428</v>
      </c>
      <c r="C190" s="25" t="s">
        <v>77</v>
      </c>
      <c r="D190" s="25" t="s">
        <v>64</v>
      </c>
      <c r="E190" s="9">
        <v>8500000</v>
      </c>
      <c r="F190" s="26">
        <v>0.95</v>
      </c>
      <c r="G190" s="25">
        <v>54</v>
      </c>
      <c r="H190" s="27">
        <v>6.4</v>
      </c>
      <c r="I190" s="21" t="str">
        <f t="shared" si="8"/>
        <v>Cumple</v>
      </c>
      <c r="J190" s="22" t="str">
        <f t="shared" si="9"/>
        <v>Sin bono</v>
      </c>
      <c r="K190" s="23" t="str">
        <f t="shared" si="10"/>
        <v>OK</v>
      </c>
      <c r="L190" s="24" t="str">
        <f t="shared" si="11"/>
        <v>Revisar</v>
      </c>
    </row>
    <row r="191" spans="1:12" ht="18" customHeight="1" x14ac:dyDescent="0.3">
      <c r="A191" s="18" t="s">
        <v>429</v>
      </c>
      <c r="B191" s="5" t="s">
        <v>430</v>
      </c>
      <c r="C191" s="18" t="s">
        <v>71</v>
      </c>
      <c r="D191" s="18" t="s">
        <v>64</v>
      </c>
      <c r="E191" s="6">
        <v>8500000</v>
      </c>
      <c r="F191" s="19">
        <v>0.51</v>
      </c>
      <c r="G191" s="18">
        <v>73</v>
      </c>
      <c r="H191" s="20">
        <v>19.600000000000001</v>
      </c>
      <c r="I191" s="21" t="str">
        <f t="shared" si="8"/>
        <v>No cumple</v>
      </c>
      <c r="J191" s="22" t="str">
        <f t="shared" si="9"/>
        <v>Sin bono</v>
      </c>
      <c r="K191" s="23" t="str">
        <f t="shared" si="10"/>
        <v>ALERTA</v>
      </c>
      <c r="L191" s="24" t="str">
        <f t="shared" si="11"/>
        <v>Revisar</v>
      </c>
    </row>
    <row r="192" spans="1:12" ht="18" customHeight="1" x14ac:dyDescent="0.3">
      <c r="A192" s="25" t="s">
        <v>431</v>
      </c>
      <c r="B192" s="8" t="s">
        <v>432</v>
      </c>
      <c r="C192" s="25" t="s">
        <v>71</v>
      </c>
      <c r="D192" s="25" t="s">
        <v>64</v>
      </c>
      <c r="E192" s="9">
        <v>5900000</v>
      </c>
      <c r="F192" s="26">
        <v>0.84</v>
      </c>
      <c r="G192" s="25">
        <v>86</v>
      </c>
      <c r="H192" s="27">
        <v>10.5</v>
      </c>
      <c r="I192" s="21" t="str">
        <f t="shared" si="8"/>
        <v>Cumple</v>
      </c>
      <c r="J192" s="22" t="str">
        <f t="shared" si="9"/>
        <v>BONO</v>
      </c>
      <c r="K192" s="23" t="str">
        <f t="shared" si="10"/>
        <v>OK</v>
      </c>
      <c r="L192" s="24" t="str">
        <f t="shared" si="11"/>
        <v>Bueno</v>
      </c>
    </row>
    <row r="193" spans="1:12" ht="18" customHeight="1" x14ac:dyDescent="0.3">
      <c r="A193" s="18" t="s">
        <v>433</v>
      </c>
      <c r="B193" s="5" t="s">
        <v>434</v>
      </c>
      <c r="C193" s="18" t="s">
        <v>81</v>
      </c>
      <c r="D193" s="18" t="s">
        <v>92</v>
      </c>
      <c r="E193" s="6">
        <v>6400000</v>
      </c>
      <c r="F193" s="19">
        <v>0.66</v>
      </c>
      <c r="G193" s="18">
        <v>73</v>
      </c>
      <c r="H193" s="20">
        <v>13.6</v>
      </c>
      <c r="I193" s="21" t="str">
        <f t="shared" si="8"/>
        <v>No cumple</v>
      </c>
      <c r="J193" s="22" t="str">
        <f t="shared" si="9"/>
        <v>Sin bono</v>
      </c>
      <c r="K193" s="23" t="str">
        <f t="shared" si="10"/>
        <v>OK</v>
      </c>
      <c r="L193" s="24" t="str">
        <f t="shared" si="11"/>
        <v>Revisar</v>
      </c>
    </row>
    <row r="194" spans="1:12" ht="18" customHeight="1" x14ac:dyDescent="0.3">
      <c r="A194" s="25" t="s">
        <v>435</v>
      </c>
      <c r="B194" s="8" t="s">
        <v>436</v>
      </c>
      <c r="C194" s="25" t="s">
        <v>81</v>
      </c>
      <c r="D194" s="25" t="s">
        <v>78</v>
      </c>
      <c r="E194" s="9">
        <v>7000000</v>
      </c>
      <c r="F194" s="26">
        <v>0.5</v>
      </c>
      <c r="G194" s="25">
        <v>79</v>
      </c>
      <c r="H194" s="27">
        <v>5.7</v>
      </c>
      <c r="I194" s="21" t="str">
        <f t="shared" si="8"/>
        <v>No cumple</v>
      </c>
      <c r="J194" s="22" t="str">
        <f t="shared" si="9"/>
        <v>Sin bono</v>
      </c>
      <c r="K194" s="23" t="str">
        <f t="shared" si="10"/>
        <v>ALERTA</v>
      </c>
      <c r="L194" s="24" t="str">
        <f t="shared" si="11"/>
        <v>Revisar</v>
      </c>
    </row>
    <row r="195" spans="1:12" ht="18" customHeight="1" x14ac:dyDescent="0.3">
      <c r="A195" s="18" t="s">
        <v>437</v>
      </c>
      <c r="B195" s="5" t="s">
        <v>438</v>
      </c>
      <c r="C195" s="18" t="s">
        <v>71</v>
      </c>
      <c r="D195" s="18" t="s">
        <v>92</v>
      </c>
      <c r="E195" s="6">
        <v>3800000</v>
      </c>
      <c r="F195" s="19">
        <v>0.77</v>
      </c>
      <c r="G195" s="18">
        <v>48</v>
      </c>
      <c r="H195" s="20">
        <v>18.3</v>
      </c>
      <c r="I195" s="21" t="str">
        <f t="shared" si="8"/>
        <v>No cumple</v>
      </c>
      <c r="J195" s="22" t="str">
        <f t="shared" si="9"/>
        <v>Sin bono</v>
      </c>
      <c r="K195" s="23" t="str">
        <f t="shared" si="10"/>
        <v>ALERTA</v>
      </c>
      <c r="L195" s="24" t="str">
        <f t="shared" si="11"/>
        <v>Revisar</v>
      </c>
    </row>
    <row r="196" spans="1:12" ht="18" customHeight="1" x14ac:dyDescent="0.3">
      <c r="A196" s="25" t="s">
        <v>439</v>
      </c>
      <c r="B196" s="8" t="s">
        <v>440</v>
      </c>
      <c r="C196" s="25" t="s">
        <v>63</v>
      </c>
      <c r="D196" s="25" t="s">
        <v>114</v>
      </c>
      <c r="E196" s="9">
        <v>10400000</v>
      </c>
      <c r="F196" s="26">
        <v>0.84</v>
      </c>
      <c r="G196" s="25">
        <v>40</v>
      </c>
      <c r="H196" s="27">
        <v>6.2</v>
      </c>
      <c r="I196" s="21" t="str">
        <f t="shared" si="8"/>
        <v>Cumple</v>
      </c>
      <c r="J196" s="22" t="str">
        <f t="shared" si="9"/>
        <v>Sin bono</v>
      </c>
      <c r="K196" s="23" t="str">
        <f t="shared" si="10"/>
        <v>ALERTA</v>
      </c>
      <c r="L196" s="24" t="str">
        <f t="shared" si="11"/>
        <v>Revisar</v>
      </c>
    </row>
    <row r="197" spans="1:12" ht="18" customHeight="1" x14ac:dyDescent="0.3">
      <c r="A197" s="18" t="s">
        <v>441</v>
      </c>
      <c r="B197" s="5" t="s">
        <v>442</v>
      </c>
      <c r="C197" s="18" t="s">
        <v>81</v>
      </c>
      <c r="D197" s="18" t="s">
        <v>114</v>
      </c>
      <c r="E197" s="6">
        <v>11300000</v>
      </c>
      <c r="F197" s="19">
        <v>0.84</v>
      </c>
      <c r="G197" s="18">
        <v>97</v>
      </c>
      <c r="H197" s="20">
        <v>1.9</v>
      </c>
      <c r="I197" s="21" t="str">
        <f t="shared" si="8"/>
        <v>Cumple</v>
      </c>
      <c r="J197" s="22" t="str">
        <f t="shared" si="9"/>
        <v>BONO</v>
      </c>
      <c r="K197" s="23" t="str">
        <f t="shared" si="10"/>
        <v>OK</v>
      </c>
      <c r="L197" s="24" t="str">
        <f t="shared" si="11"/>
        <v>Bueno</v>
      </c>
    </row>
    <row r="198" spans="1:12" ht="18" customHeight="1" x14ac:dyDescent="0.3">
      <c r="A198" s="25" t="s">
        <v>443</v>
      </c>
      <c r="B198" s="8" t="s">
        <v>444</v>
      </c>
      <c r="C198" s="25" t="s">
        <v>81</v>
      </c>
      <c r="D198" s="25" t="s">
        <v>64</v>
      </c>
      <c r="E198" s="9">
        <v>7400000</v>
      </c>
      <c r="F198" s="26">
        <v>0.62</v>
      </c>
      <c r="G198" s="25">
        <v>57</v>
      </c>
      <c r="H198" s="27">
        <v>6.8</v>
      </c>
      <c r="I198" s="21" t="str">
        <f t="shared" si="8"/>
        <v>No cumple</v>
      </c>
      <c r="J198" s="22" t="str">
        <f t="shared" si="9"/>
        <v>Sin bono</v>
      </c>
      <c r="K198" s="23" t="str">
        <f t="shared" si="10"/>
        <v>OK</v>
      </c>
      <c r="L198" s="24" t="str">
        <f t="shared" si="11"/>
        <v>Revisar</v>
      </c>
    </row>
    <row r="199" spans="1:12" ht="18" customHeight="1" x14ac:dyDescent="0.3">
      <c r="A199" s="18" t="s">
        <v>445</v>
      </c>
      <c r="B199" s="5" t="s">
        <v>446</v>
      </c>
      <c r="C199" s="18" t="s">
        <v>67</v>
      </c>
      <c r="D199" s="18" t="s">
        <v>114</v>
      </c>
      <c r="E199" s="6">
        <v>4700000</v>
      </c>
      <c r="F199" s="19">
        <v>0.49</v>
      </c>
      <c r="G199" s="18">
        <v>42</v>
      </c>
      <c r="H199" s="20">
        <v>10.199999999999999</v>
      </c>
      <c r="I199" s="21" t="str">
        <f t="shared" si="8"/>
        <v>No cumple</v>
      </c>
      <c r="J199" s="22" t="str">
        <f t="shared" si="9"/>
        <v>Sin bono</v>
      </c>
      <c r="K199" s="23" t="str">
        <f t="shared" si="10"/>
        <v>ALERTA</v>
      </c>
      <c r="L199" s="24" t="str">
        <f t="shared" si="11"/>
        <v>Revisar</v>
      </c>
    </row>
    <row r="200" spans="1:12" ht="18" customHeight="1" x14ac:dyDescent="0.3">
      <c r="A200" s="25" t="s">
        <v>447</v>
      </c>
      <c r="B200" s="8" t="s">
        <v>448</v>
      </c>
      <c r="C200" s="25" t="s">
        <v>91</v>
      </c>
      <c r="D200" s="25" t="s">
        <v>92</v>
      </c>
      <c r="E200" s="9">
        <v>10700000</v>
      </c>
      <c r="F200" s="26">
        <v>0.52</v>
      </c>
      <c r="G200" s="25">
        <v>78</v>
      </c>
      <c r="H200" s="27">
        <v>3.1</v>
      </c>
      <c r="I200" s="21" t="str">
        <f t="shared" si="8"/>
        <v>No cumple</v>
      </c>
      <c r="J200" s="22" t="str">
        <f t="shared" si="9"/>
        <v>Sin bono</v>
      </c>
      <c r="K200" s="23" t="str">
        <f t="shared" si="10"/>
        <v>ALERTA</v>
      </c>
      <c r="L200" s="24" t="str">
        <f t="shared" si="11"/>
        <v>Revisar</v>
      </c>
    </row>
    <row r="201" spans="1:12" ht="18" customHeight="1" x14ac:dyDescent="0.3">
      <c r="A201" s="18" t="s">
        <v>449</v>
      </c>
      <c r="B201" s="5" t="s">
        <v>450</v>
      </c>
      <c r="C201" s="18" t="s">
        <v>71</v>
      </c>
      <c r="D201" s="18" t="s">
        <v>105</v>
      </c>
      <c r="E201" s="6">
        <v>3300000</v>
      </c>
      <c r="F201" s="19">
        <v>0.68</v>
      </c>
      <c r="G201" s="18">
        <v>60</v>
      </c>
      <c r="H201" s="20">
        <v>19.399999999999999</v>
      </c>
      <c r="I201" s="21" t="str">
        <f t="shared" si="8"/>
        <v>No cumple</v>
      </c>
      <c r="J201" s="22" t="str">
        <f t="shared" si="9"/>
        <v>Sin bono</v>
      </c>
      <c r="K201" s="23" t="str">
        <f t="shared" si="10"/>
        <v>OK</v>
      </c>
      <c r="L201" s="24" t="str">
        <f t="shared" si="11"/>
        <v>Revisar</v>
      </c>
    </row>
    <row r="202" spans="1:12" ht="18" customHeight="1" x14ac:dyDescent="0.3">
      <c r="A202" s="25" t="s">
        <v>451</v>
      </c>
      <c r="B202" s="8" t="s">
        <v>452</v>
      </c>
      <c r="C202" s="25" t="s">
        <v>77</v>
      </c>
      <c r="D202" s="25" t="s">
        <v>60</v>
      </c>
      <c r="E202" s="9">
        <v>9600000</v>
      </c>
      <c r="F202" s="26">
        <v>0.57999999999999996</v>
      </c>
      <c r="G202" s="25">
        <v>90</v>
      </c>
      <c r="H202" s="27">
        <v>18.100000000000001</v>
      </c>
      <c r="I202" s="21" t="str">
        <f t="shared" si="8"/>
        <v>No cumple</v>
      </c>
      <c r="J202" s="22" t="str">
        <f t="shared" si="9"/>
        <v>Sin bono</v>
      </c>
      <c r="K202" s="23" t="str">
        <f t="shared" si="10"/>
        <v>ALERTA</v>
      </c>
      <c r="L202" s="24" t="str">
        <f t="shared" si="11"/>
        <v>Revisar</v>
      </c>
    </row>
    <row r="203" spans="1:12" ht="18" customHeight="1" x14ac:dyDescent="0.3">
      <c r="A203" s="18" t="s">
        <v>453</v>
      </c>
      <c r="B203" s="5" t="s">
        <v>454</v>
      </c>
      <c r="C203" s="18" t="s">
        <v>77</v>
      </c>
      <c r="D203" s="18" t="s">
        <v>105</v>
      </c>
      <c r="E203" s="6">
        <v>6400000</v>
      </c>
      <c r="F203" s="19">
        <v>0.88</v>
      </c>
      <c r="G203" s="18">
        <v>94</v>
      </c>
      <c r="H203" s="20">
        <v>10.5</v>
      </c>
      <c r="I203" s="21" t="str">
        <f t="shared" si="8"/>
        <v>Cumple</v>
      </c>
      <c r="J203" s="22" t="str">
        <f t="shared" si="9"/>
        <v>BONO</v>
      </c>
      <c r="K203" s="23" t="str">
        <f t="shared" si="10"/>
        <v>OK</v>
      </c>
      <c r="L203" s="24" t="str">
        <f t="shared" si="11"/>
        <v>Bueno</v>
      </c>
    </row>
    <row r="204" spans="1:12" ht="18" customHeight="1" x14ac:dyDescent="0.3">
      <c r="A204" s="25" t="s">
        <v>455</v>
      </c>
      <c r="B204" s="8" t="s">
        <v>456</v>
      </c>
      <c r="C204" s="25" t="s">
        <v>67</v>
      </c>
      <c r="D204" s="25" t="s">
        <v>114</v>
      </c>
      <c r="E204" s="9">
        <v>6000000</v>
      </c>
      <c r="F204" s="26">
        <v>0.48</v>
      </c>
      <c r="G204" s="25">
        <v>91</v>
      </c>
      <c r="H204" s="27">
        <v>17.5</v>
      </c>
      <c r="I204" s="21" t="str">
        <f t="shared" si="8"/>
        <v>No cumple</v>
      </c>
      <c r="J204" s="22" t="str">
        <f t="shared" si="9"/>
        <v>Sin bono</v>
      </c>
      <c r="K204" s="23" t="str">
        <f t="shared" si="10"/>
        <v>ALERTA</v>
      </c>
      <c r="L204" s="24" t="str">
        <f t="shared" si="11"/>
        <v>Revisar</v>
      </c>
    </row>
    <row r="205" spans="1:12" ht="18" customHeight="1" x14ac:dyDescent="0.3">
      <c r="A205" s="18" t="s">
        <v>457</v>
      </c>
      <c r="B205" s="5" t="s">
        <v>458</v>
      </c>
      <c r="C205" s="18" t="s">
        <v>74</v>
      </c>
      <c r="D205" s="18" t="s">
        <v>78</v>
      </c>
      <c r="E205" s="6">
        <v>6400000</v>
      </c>
      <c r="F205" s="19">
        <v>0.5</v>
      </c>
      <c r="G205" s="18">
        <v>50</v>
      </c>
      <c r="H205" s="20">
        <v>5.5</v>
      </c>
      <c r="I205" s="21" t="str">
        <f t="shared" ref="I205:I268" si="12">IF(F205&gt;=0.8,"Cumple","No cumple")</f>
        <v>No cumple</v>
      </c>
      <c r="J205" s="22" t="str">
        <f t="shared" ref="J205:J268" si="13">IF(AND(F205&gt;=0.8,G205&gt;=70),"BONO","Sin bono")</f>
        <v>Sin bono</v>
      </c>
      <c r="K205" s="23" t="str">
        <f t="shared" ref="K205:K268" si="14">IF(OR(F205&lt;0.6,G205&lt;50),"ALERTA","OK")</f>
        <v>ALERTA</v>
      </c>
      <c r="L205" s="24" t="str">
        <f t="shared" ref="L205:L268" si="15">IF(AND(F205&gt;=0.9,G205&gt;=85),"Excelente",IF(AND(F205&gt;=0.8,G205&gt;=70),"Bueno","Revisar"))</f>
        <v>Revisar</v>
      </c>
    </row>
    <row r="206" spans="1:12" ht="18" customHeight="1" x14ac:dyDescent="0.3">
      <c r="A206" s="25" t="s">
        <v>459</v>
      </c>
      <c r="B206" s="8" t="s">
        <v>460</v>
      </c>
      <c r="C206" s="25" t="s">
        <v>63</v>
      </c>
      <c r="D206" s="25" t="s">
        <v>78</v>
      </c>
      <c r="E206" s="9">
        <v>5600000</v>
      </c>
      <c r="F206" s="26">
        <v>0.9</v>
      </c>
      <c r="G206" s="25">
        <v>74</v>
      </c>
      <c r="H206" s="27">
        <v>18.600000000000001</v>
      </c>
      <c r="I206" s="21" t="str">
        <f t="shared" si="12"/>
        <v>Cumple</v>
      </c>
      <c r="J206" s="22" t="str">
        <f t="shared" si="13"/>
        <v>BONO</v>
      </c>
      <c r="K206" s="23" t="str">
        <f t="shared" si="14"/>
        <v>OK</v>
      </c>
      <c r="L206" s="24" t="str">
        <f t="shared" si="15"/>
        <v>Bueno</v>
      </c>
    </row>
    <row r="207" spans="1:12" ht="18" customHeight="1" x14ac:dyDescent="0.3">
      <c r="A207" s="18" t="s">
        <v>461</v>
      </c>
      <c r="B207" s="5" t="s">
        <v>462</v>
      </c>
      <c r="C207" s="18" t="s">
        <v>63</v>
      </c>
      <c r="D207" s="18" t="s">
        <v>92</v>
      </c>
      <c r="E207" s="6">
        <v>5800000</v>
      </c>
      <c r="F207" s="19">
        <v>0.66</v>
      </c>
      <c r="G207" s="18">
        <v>40</v>
      </c>
      <c r="H207" s="20">
        <v>7.5</v>
      </c>
      <c r="I207" s="21" t="str">
        <f t="shared" si="12"/>
        <v>No cumple</v>
      </c>
      <c r="J207" s="22" t="str">
        <f t="shared" si="13"/>
        <v>Sin bono</v>
      </c>
      <c r="K207" s="23" t="str">
        <f t="shared" si="14"/>
        <v>ALERTA</v>
      </c>
      <c r="L207" s="24" t="str">
        <f t="shared" si="15"/>
        <v>Revisar</v>
      </c>
    </row>
    <row r="208" spans="1:12" ht="18" customHeight="1" x14ac:dyDescent="0.3">
      <c r="A208" s="25" t="s">
        <v>463</v>
      </c>
      <c r="B208" s="8" t="s">
        <v>464</v>
      </c>
      <c r="C208" s="25" t="s">
        <v>74</v>
      </c>
      <c r="D208" s="25" t="s">
        <v>92</v>
      </c>
      <c r="E208" s="9">
        <v>4600000</v>
      </c>
      <c r="F208" s="26">
        <v>0.53</v>
      </c>
      <c r="G208" s="25">
        <v>66</v>
      </c>
      <c r="H208" s="27">
        <v>18.3</v>
      </c>
      <c r="I208" s="21" t="str">
        <f t="shared" si="12"/>
        <v>No cumple</v>
      </c>
      <c r="J208" s="22" t="str">
        <f t="shared" si="13"/>
        <v>Sin bono</v>
      </c>
      <c r="K208" s="23" t="str">
        <f t="shared" si="14"/>
        <v>ALERTA</v>
      </c>
      <c r="L208" s="24" t="str">
        <f t="shared" si="15"/>
        <v>Revisar</v>
      </c>
    </row>
    <row r="209" spans="1:12" ht="18" customHeight="1" x14ac:dyDescent="0.3">
      <c r="A209" s="18" t="s">
        <v>465</v>
      </c>
      <c r="B209" s="5" t="s">
        <v>466</v>
      </c>
      <c r="C209" s="18" t="s">
        <v>77</v>
      </c>
      <c r="D209" s="18" t="s">
        <v>105</v>
      </c>
      <c r="E209" s="6">
        <v>10600000</v>
      </c>
      <c r="F209" s="19">
        <v>0.45</v>
      </c>
      <c r="G209" s="18">
        <v>40</v>
      </c>
      <c r="H209" s="20">
        <v>0.4</v>
      </c>
      <c r="I209" s="21" t="str">
        <f t="shared" si="12"/>
        <v>No cumple</v>
      </c>
      <c r="J209" s="22" t="str">
        <f t="shared" si="13"/>
        <v>Sin bono</v>
      </c>
      <c r="K209" s="23" t="str">
        <f t="shared" si="14"/>
        <v>ALERTA</v>
      </c>
      <c r="L209" s="24" t="str">
        <f t="shared" si="15"/>
        <v>Revisar</v>
      </c>
    </row>
    <row r="210" spans="1:12" ht="18" customHeight="1" x14ac:dyDescent="0.3">
      <c r="A210" s="25" t="s">
        <v>467</v>
      </c>
      <c r="B210" s="8" t="s">
        <v>468</v>
      </c>
      <c r="C210" s="25" t="s">
        <v>71</v>
      </c>
      <c r="D210" s="25" t="s">
        <v>68</v>
      </c>
      <c r="E210" s="9">
        <v>4200000</v>
      </c>
      <c r="F210" s="26">
        <v>0.88</v>
      </c>
      <c r="G210" s="25">
        <v>60</v>
      </c>
      <c r="H210" s="27">
        <v>6</v>
      </c>
      <c r="I210" s="21" t="str">
        <f t="shared" si="12"/>
        <v>Cumple</v>
      </c>
      <c r="J210" s="22" t="str">
        <f t="shared" si="13"/>
        <v>Sin bono</v>
      </c>
      <c r="K210" s="23" t="str">
        <f t="shared" si="14"/>
        <v>OK</v>
      </c>
      <c r="L210" s="24" t="str">
        <f t="shared" si="15"/>
        <v>Revisar</v>
      </c>
    </row>
    <row r="211" spans="1:12" ht="18" customHeight="1" x14ac:dyDescent="0.3">
      <c r="A211" s="18" t="s">
        <v>469</v>
      </c>
      <c r="B211" s="5" t="s">
        <v>470</v>
      </c>
      <c r="C211" s="18" t="s">
        <v>77</v>
      </c>
      <c r="D211" s="18" t="s">
        <v>78</v>
      </c>
      <c r="E211" s="6">
        <v>4200000</v>
      </c>
      <c r="F211" s="19">
        <v>0.91</v>
      </c>
      <c r="G211" s="18">
        <v>93</v>
      </c>
      <c r="H211" s="20">
        <v>11.9</v>
      </c>
      <c r="I211" s="21" t="str">
        <f t="shared" si="12"/>
        <v>Cumple</v>
      </c>
      <c r="J211" s="22" t="str">
        <f t="shared" si="13"/>
        <v>BONO</v>
      </c>
      <c r="K211" s="23" t="str">
        <f t="shared" si="14"/>
        <v>OK</v>
      </c>
      <c r="L211" s="24" t="str">
        <f t="shared" si="15"/>
        <v>Excelente</v>
      </c>
    </row>
    <row r="212" spans="1:12" ht="18" customHeight="1" x14ac:dyDescent="0.3">
      <c r="A212" s="25" t="s">
        <v>471</v>
      </c>
      <c r="B212" s="8" t="s">
        <v>472</v>
      </c>
      <c r="C212" s="25" t="s">
        <v>67</v>
      </c>
      <c r="D212" s="25" t="s">
        <v>114</v>
      </c>
      <c r="E212" s="9">
        <v>6500000</v>
      </c>
      <c r="F212" s="26">
        <v>0.69</v>
      </c>
      <c r="G212" s="25">
        <v>75</v>
      </c>
      <c r="H212" s="27">
        <v>4.8</v>
      </c>
      <c r="I212" s="21" t="str">
        <f t="shared" si="12"/>
        <v>No cumple</v>
      </c>
      <c r="J212" s="22" t="str">
        <f t="shared" si="13"/>
        <v>Sin bono</v>
      </c>
      <c r="K212" s="23" t="str">
        <f t="shared" si="14"/>
        <v>OK</v>
      </c>
      <c r="L212" s="24" t="str">
        <f t="shared" si="15"/>
        <v>Revisar</v>
      </c>
    </row>
    <row r="213" spans="1:12" ht="18" customHeight="1" x14ac:dyDescent="0.3">
      <c r="A213" s="18" t="s">
        <v>473</v>
      </c>
      <c r="B213" s="5" t="s">
        <v>474</v>
      </c>
      <c r="C213" s="18" t="s">
        <v>74</v>
      </c>
      <c r="D213" s="18" t="s">
        <v>92</v>
      </c>
      <c r="E213" s="6">
        <v>3600000</v>
      </c>
      <c r="F213" s="19">
        <v>0.97</v>
      </c>
      <c r="G213" s="18">
        <v>99</v>
      </c>
      <c r="H213" s="20">
        <v>10.1</v>
      </c>
      <c r="I213" s="21" t="str">
        <f t="shared" si="12"/>
        <v>Cumple</v>
      </c>
      <c r="J213" s="22" t="str">
        <f t="shared" si="13"/>
        <v>BONO</v>
      </c>
      <c r="K213" s="23" t="str">
        <f t="shared" si="14"/>
        <v>OK</v>
      </c>
      <c r="L213" s="24" t="str">
        <f t="shared" si="15"/>
        <v>Excelente</v>
      </c>
    </row>
    <row r="214" spans="1:12" ht="18" customHeight="1" x14ac:dyDescent="0.3">
      <c r="A214" s="25" t="s">
        <v>475</v>
      </c>
      <c r="B214" s="8" t="s">
        <v>476</v>
      </c>
      <c r="C214" s="25" t="s">
        <v>91</v>
      </c>
      <c r="D214" s="25" t="s">
        <v>68</v>
      </c>
      <c r="E214" s="9">
        <v>8800000</v>
      </c>
      <c r="F214" s="26">
        <v>0.47</v>
      </c>
      <c r="G214" s="25">
        <v>79</v>
      </c>
      <c r="H214" s="27">
        <v>19.600000000000001</v>
      </c>
      <c r="I214" s="21" t="str">
        <f t="shared" si="12"/>
        <v>No cumple</v>
      </c>
      <c r="J214" s="22" t="str">
        <f t="shared" si="13"/>
        <v>Sin bono</v>
      </c>
      <c r="K214" s="23" t="str">
        <f t="shared" si="14"/>
        <v>ALERTA</v>
      </c>
      <c r="L214" s="24" t="str">
        <f t="shared" si="15"/>
        <v>Revisar</v>
      </c>
    </row>
    <row r="215" spans="1:12" ht="18" customHeight="1" x14ac:dyDescent="0.3">
      <c r="A215" s="18" t="s">
        <v>477</v>
      </c>
      <c r="B215" s="5" t="s">
        <v>478</v>
      </c>
      <c r="C215" s="18" t="s">
        <v>91</v>
      </c>
      <c r="D215" s="18" t="s">
        <v>92</v>
      </c>
      <c r="E215" s="6">
        <v>3600000</v>
      </c>
      <c r="F215" s="19">
        <v>0.64</v>
      </c>
      <c r="G215" s="18">
        <v>43</v>
      </c>
      <c r="H215" s="20">
        <v>15.4</v>
      </c>
      <c r="I215" s="21" t="str">
        <f t="shared" si="12"/>
        <v>No cumple</v>
      </c>
      <c r="J215" s="22" t="str">
        <f t="shared" si="13"/>
        <v>Sin bono</v>
      </c>
      <c r="K215" s="23" t="str">
        <f t="shared" si="14"/>
        <v>ALERTA</v>
      </c>
      <c r="L215" s="24" t="str">
        <f t="shared" si="15"/>
        <v>Revisar</v>
      </c>
    </row>
    <row r="216" spans="1:12" ht="18" customHeight="1" x14ac:dyDescent="0.3">
      <c r="A216" s="25" t="s">
        <v>479</v>
      </c>
      <c r="B216" s="8" t="s">
        <v>480</v>
      </c>
      <c r="C216" s="25" t="s">
        <v>91</v>
      </c>
      <c r="D216" s="25" t="s">
        <v>92</v>
      </c>
      <c r="E216" s="9">
        <v>9700000</v>
      </c>
      <c r="F216" s="26">
        <v>0.64</v>
      </c>
      <c r="G216" s="25">
        <v>52</v>
      </c>
      <c r="H216" s="27">
        <v>16.600000000000001</v>
      </c>
      <c r="I216" s="21" t="str">
        <f t="shared" si="12"/>
        <v>No cumple</v>
      </c>
      <c r="J216" s="22" t="str">
        <f t="shared" si="13"/>
        <v>Sin bono</v>
      </c>
      <c r="K216" s="23" t="str">
        <f t="shared" si="14"/>
        <v>OK</v>
      </c>
      <c r="L216" s="24" t="str">
        <f t="shared" si="15"/>
        <v>Revisar</v>
      </c>
    </row>
    <row r="217" spans="1:12" ht="18" customHeight="1" x14ac:dyDescent="0.3">
      <c r="A217" s="18" t="s">
        <v>481</v>
      </c>
      <c r="B217" s="5" t="s">
        <v>482</v>
      </c>
      <c r="C217" s="18" t="s">
        <v>71</v>
      </c>
      <c r="D217" s="18" t="s">
        <v>114</v>
      </c>
      <c r="E217" s="6">
        <v>3600000</v>
      </c>
      <c r="F217" s="19">
        <v>0.84</v>
      </c>
      <c r="G217" s="18">
        <v>88</v>
      </c>
      <c r="H217" s="20">
        <v>0.7</v>
      </c>
      <c r="I217" s="21" t="str">
        <f t="shared" si="12"/>
        <v>Cumple</v>
      </c>
      <c r="J217" s="22" t="str">
        <f t="shared" si="13"/>
        <v>BONO</v>
      </c>
      <c r="K217" s="23" t="str">
        <f t="shared" si="14"/>
        <v>OK</v>
      </c>
      <c r="L217" s="24" t="str">
        <f t="shared" si="15"/>
        <v>Bueno</v>
      </c>
    </row>
    <row r="218" spans="1:12" ht="18" customHeight="1" x14ac:dyDescent="0.3">
      <c r="A218" s="25" t="s">
        <v>483</v>
      </c>
      <c r="B218" s="8" t="s">
        <v>484</v>
      </c>
      <c r="C218" s="25" t="s">
        <v>67</v>
      </c>
      <c r="D218" s="25" t="s">
        <v>64</v>
      </c>
      <c r="E218" s="9">
        <v>6800000</v>
      </c>
      <c r="F218" s="26">
        <v>0.96</v>
      </c>
      <c r="G218" s="25">
        <v>95</v>
      </c>
      <c r="H218" s="27">
        <v>8</v>
      </c>
      <c r="I218" s="21" t="str">
        <f t="shared" si="12"/>
        <v>Cumple</v>
      </c>
      <c r="J218" s="22" t="str">
        <f t="shared" si="13"/>
        <v>BONO</v>
      </c>
      <c r="K218" s="23" t="str">
        <f t="shared" si="14"/>
        <v>OK</v>
      </c>
      <c r="L218" s="24" t="str">
        <f t="shared" si="15"/>
        <v>Excelente</v>
      </c>
    </row>
    <row r="219" spans="1:12" ht="18" customHeight="1" x14ac:dyDescent="0.3">
      <c r="A219" s="18" t="s">
        <v>485</v>
      </c>
      <c r="B219" s="5" t="s">
        <v>486</v>
      </c>
      <c r="C219" s="18" t="s">
        <v>59</v>
      </c>
      <c r="D219" s="18" t="s">
        <v>64</v>
      </c>
      <c r="E219" s="6">
        <v>11000000</v>
      </c>
      <c r="F219" s="19">
        <v>0.56000000000000005</v>
      </c>
      <c r="G219" s="18">
        <v>75</v>
      </c>
      <c r="H219" s="20">
        <v>17.2</v>
      </c>
      <c r="I219" s="21" t="str">
        <f t="shared" si="12"/>
        <v>No cumple</v>
      </c>
      <c r="J219" s="22" t="str">
        <f t="shared" si="13"/>
        <v>Sin bono</v>
      </c>
      <c r="K219" s="23" t="str">
        <f t="shared" si="14"/>
        <v>ALERTA</v>
      </c>
      <c r="L219" s="24" t="str">
        <f t="shared" si="15"/>
        <v>Revisar</v>
      </c>
    </row>
    <row r="220" spans="1:12" ht="18" customHeight="1" x14ac:dyDescent="0.3">
      <c r="A220" s="25" t="s">
        <v>487</v>
      </c>
      <c r="B220" s="8" t="s">
        <v>488</v>
      </c>
      <c r="C220" s="25" t="s">
        <v>81</v>
      </c>
      <c r="D220" s="25" t="s">
        <v>88</v>
      </c>
      <c r="E220" s="9">
        <v>4300000</v>
      </c>
      <c r="F220" s="26">
        <v>0.89</v>
      </c>
      <c r="G220" s="25">
        <v>85</v>
      </c>
      <c r="H220" s="27">
        <v>17.8</v>
      </c>
      <c r="I220" s="21" t="str">
        <f t="shared" si="12"/>
        <v>Cumple</v>
      </c>
      <c r="J220" s="22" t="str">
        <f t="shared" si="13"/>
        <v>BONO</v>
      </c>
      <c r="K220" s="23" t="str">
        <f t="shared" si="14"/>
        <v>OK</v>
      </c>
      <c r="L220" s="24" t="str">
        <f t="shared" si="15"/>
        <v>Bueno</v>
      </c>
    </row>
    <row r="221" spans="1:12" ht="18" customHeight="1" x14ac:dyDescent="0.3">
      <c r="A221" s="18" t="s">
        <v>489</v>
      </c>
      <c r="B221" s="5" t="s">
        <v>490</v>
      </c>
      <c r="C221" s="18" t="s">
        <v>77</v>
      </c>
      <c r="D221" s="18" t="s">
        <v>92</v>
      </c>
      <c r="E221" s="6">
        <v>9400000</v>
      </c>
      <c r="F221" s="19">
        <v>0.6</v>
      </c>
      <c r="G221" s="18">
        <v>40</v>
      </c>
      <c r="H221" s="20">
        <v>14.5</v>
      </c>
      <c r="I221" s="21" t="str">
        <f t="shared" si="12"/>
        <v>No cumple</v>
      </c>
      <c r="J221" s="22" t="str">
        <f t="shared" si="13"/>
        <v>Sin bono</v>
      </c>
      <c r="K221" s="23" t="str">
        <f t="shared" si="14"/>
        <v>ALERTA</v>
      </c>
      <c r="L221" s="24" t="str">
        <f t="shared" si="15"/>
        <v>Revisar</v>
      </c>
    </row>
    <row r="222" spans="1:12" ht="18" customHeight="1" x14ac:dyDescent="0.3">
      <c r="A222" s="25" t="s">
        <v>491</v>
      </c>
      <c r="B222" s="8" t="s">
        <v>492</v>
      </c>
      <c r="C222" s="25" t="s">
        <v>71</v>
      </c>
      <c r="D222" s="25" t="s">
        <v>88</v>
      </c>
      <c r="E222" s="9">
        <v>6900000</v>
      </c>
      <c r="F222" s="26">
        <v>0.51</v>
      </c>
      <c r="G222" s="25">
        <v>71</v>
      </c>
      <c r="H222" s="27">
        <v>13.2</v>
      </c>
      <c r="I222" s="21" t="str">
        <f t="shared" si="12"/>
        <v>No cumple</v>
      </c>
      <c r="J222" s="22" t="str">
        <f t="shared" si="13"/>
        <v>Sin bono</v>
      </c>
      <c r="K222" s="23" t="str">
        <f t="shared" si="14"/>
        <v>ALERTA</v>
      </c>
      <c r="L222" s="24" t="str">
        <f t="shared" si="15"/>
        <v>Revisar</v>
      </c>
    </row>
    <row r="223" spans="1:12" ht="18" customHeight="1" x14ac:dyDescent="0.3">
      <c r="A223" s="18" t="s">
        <v>493</v>
      </c>
      <c r="B223" s="5" t="s">
        <v>494</v>
      </c>
      <c r="C223" s="18" t="s">
        <v>63</v>
      </c>
      <c r="D223" s="18" t="s">
        <v>114</v>
      </c>
      <c r="E223" s="6">
        <v>11600000</v>
      </c>
      <c r="F223" s="19">
        <v>0.69</v>
      </c>
      <c r="G223" s="18">
        <v>87</v>
      </c>
      <c r="H223" s="20">
        <v>0.8</v>
      </c>
      <c r="I223" s="21" t="str">
        <f t="shared" si="12"/>
        <v>No cumple</v>
      </c>
      <c r="J223" s="22" t="str">
        <f t="shared" si="13"/>
        <v>Sin bono</v>
      </c>
      <c r="K223" s="23" t="str">
        <f t="shared" si="14"/>
        <v>OK</v>
      </c>
      <c r="L223" s="24" t="str">
        <f t="shared" si="15"/>
        <v>Revisar</v>
      </c>
    </row>
    <row r="224" spans="1:12" ht="18" customHeight="1" x14ac:dyDescent="0.3">
      <c r="A224" s="25" t="s">
        <v>495</v>
      </c>
      <c r="B224" s="8" t="s">
        <v>496</v>
      </c>
      <c r="C224" s="25" t="s">
        <v>63</v>
      </c>
      <c r="D224" s="25" t="s">
        <v>88</v>
      </c>
      <c r="E224" s="9">
        <v>10900000</v>
      </c>
      <c r="F224" s="26">
        <v>0.99</v>
      </c>
      <c r="G224" s="25">
        <v>37</v>
      </c>
      <c r="H224" s="27">
        <v>1.5</v>
      </c>
      <c r="I224" s="21" t="str">
        <f t="shared" si="12"/>
        <v>Cumple</v>
      </c>
      <c r="J224" s="22" t="str">
        <f t="shared" si="13"/>
        <v>Sin bono</v>
      </c>
      <c r="K224" s="23" t="str">
        <f t="shared" si="14"/>
        <v>ALERTA</v>
      </c>
      <c r="L224" s="24" t="str">
        <f t="shared" si="15"/>
        <v>Revisar</v>
      </c>
    </row>
    <row r="225" spans="1:12" ht="18" customHeight="1" x14ac:dyDescent="0.3">
      <c r="A225" s="18" t="s">
        <v>497</v>
      </c>
      <c r="B225" s="5" t="s">
        <v>498</v>
      </c>
      <c r="C225" s="18" t="s">
        <v>71</v>
      </c>
      <c r="D225" s="18" t="s">
        <v>64</v>
      </c>
      <c r="E225" s="6">
        <v>4600000</v>
      </c>
      <c r="F225" s="19">
        <v>0.92</v>
      </c>
      <c r="G225" s="18">
        <v>86</v>
      </c>
      <c r="H225" s="20">
        <v>0.7</v>
      </c>
      <c r="I225" s="21" t="str">
        <f t="shared" si="12"/>
        <v>Cumple</v>
      </c>
      <c r="J225" s="22" t="str">
        <f t="shared" si="13"/>
        <v>BONO</v>
      </c>
      <c r="K225" s="23" t="str">
        <f t="shared" si="14"/>
        <v>OK</v>
      </c>
      <c r="L225" s="24" t="str">
        <f t="shared" si="15"/>
        <v>Excelente</v>
      </c>
    </row>
    <row r="226" spans="1:12" ht="18" customHeight="1" x14ac:dyDescent="0.3">
      <c r="A226" s="25" t="s">
        <v>499</v>
      </c>
      <c r="B226" s="8" t="s">
        <v>500</v>
      </c>
      <c r="C226" s="25" t="s">
        <v>81</v>
      </c>
      <c r="D226" s="25" t="s">
        <v>92</v>
      </c>
      <c r="E226" s="9">
        <v>7700000</v>
      </c>
      <c r="F226" s="26">
        <v>0.97</v>
      </c>
      <c r="G226" s="25">
        <v>34</v>
      </c>
      <c r="H226" s="27">
        <v>12.1</v>
      </c>
      <c r="I226" s="21" t="str">
        <f t="shared" si="12"/>
        <v>Cumple</v>
      </c>
      <c r="J226" s="22" t="str">
        <f t="shared" si="13"/>
        <v>Sin bono</v>
      </c>
      <c r="K226" s="23" t="str">
        <f t="shared" si="14"/>
        <v>ALERTA</v>
      </c>
      <c r="L226" s="24" t="str">
        <f t="shared" si="15"/>
        <v>Revisar</v>
      </c>
    </row>
    <row r="227" spans="1:12" ht="18" customHeight="1" x14ac:dyDescent="0.3">
      <c r="A227" s="18" t="s">
        <v>501</v>
      </c>
      <c r="B227" s="5" t="s">
        <v>502</v>
      </c>
      <c r="C227" s="18" t="s">
        <v>81</v>
      </c>
      <c r="D227" s="18" t="s">
        <v>105</v>
      </c>
      <c r="E227" s="6">
        <v>3700000</v>
      </c>
      <c r="F227" s="19">
        <v>0.77</v>
      </c>
      <c r="G227" s="18">
        <v>97</v>
      </c>
      <c r="H227" s="20">
        <v>7.3</v>
      </c>
      <c r="I227" s="21" t="str">
        <f t="shared" si="12"/>
        <v>No cumple</v>
      </c>
      <c r="J227" s="22" t="str">
        <f t="shared" si="13"/>
        <v>Sin bono</v>
      </c>
      <c r="K227" s="23" t="str">
        <f t="shared" si="14"/>
        <v>OK</v>
      </c>
      <c r="L227" s="24" t="str">
        <f t="shared" si="15"/>
        <v>Revisar</v>
      </c>
    </row>
    <row r="228" spans="1:12" ht="18" customHeight="1" x14ac:dyDescent="0.3">
      <c r="A228" s="25" t="s">
        <v>503</v>
      </c>
      <c r="B228" s="8" t="s">
        <v>504</v>
      </c>
      <c r="C228" s="25" t="s">
        <v>59</v>
      </c>
      <c r="D228" s="25" t="s">
        <v>60</v>
      </c>
      <c r="E228" s="9">
        <v>4200000</v>
      </c>
      <c r="F228" s="26">
        <v>0.46</v>
      </c>
      <c r="G228" s="25">
        <v>53</v>
      </c>
      <c r="H228" s="27">
        <v>10</v>
      </c>
      <c r="I228" s="21" t="str">
        <f t="shared" si="12"/>
        <v>No cumple</v>
      </c>
      <c r="J228" s="22" t="str">
        <f t="shared" si="13"/>
        <v>Sin bono</v>
      </c>
      <c r="K228" s="23" t="str">
        <f t="shared" si="14"/>
        <v>ALERTA</v>
      </c>
      <c r="L228" s="24" t="str">
        <f t="shared" si="15"/>
        <v>Revisar</v>
      </c>
    </row>
    <row r="229" spans="1:12" ht="18" customHeight="1" x14ac:dyDescent="0.3">
      <c r="A229" s="18" t="s">
        <v>505</v>
      </c>
      <c r="B229" s="5" t="s">
        <v>506</v>
      </c>
      <c r="C229" s="18" t="s">
        <v>74</v>
      </c>
      <c r="D229" s="18" t="s">
        <v>88</v>
      </c>
      <c r="E229" s="6">
        <v>6100000</v>
      </c>
      <c r="F229" s="19">
        <v>0.84</v>
      </c>
      <c r="G229" s="18">
        <v>57</v>
      </c>
      <c r="H229" s="20">
        <v>19.899999999999999</v>
      </c>
      <c r="I229" s="21" t="str">
        <f t="shared" si="12"/>
        <v>Cumple</v>
      </c>
      <c r="J229" s="22" t="str">
        <f t="shared" si="13"/>
        <v>Sin bono</v>
      </c>
      <c r="K229" s="23" t="str">
        <f t="shared" si="14"/>
        <v>OK</v>
      </c>
      <c r="L229" s="24" t="str">
        <f t="shared" si="15"/>
        <v>Revisar</v>
      </c>
    </row>
    <row r="230" spans="1:12" ht="18" customHeight="1" x14ac:dyDescent="0.3">
      <c r="A230" s="25" t="s">
        <v>507</v>
      </c>
      <c r="B230" s="8" t="s">
        <v>508</v>
      </c>
      <c r="C230" s="25" t="s">
        <v>77</v>
      </c>
      <c r="D230" s="25" t="s">
        <v>60</v>
      </c>
      <c r="E230" s="9">
        <v>4300000</v>
      </c>
      <c r="F230" s="26">
        <v>0.52</v>
      </c>
      <c r="G230" s="25">
        <v>39</v>
      </c>
      <c r="H230" s="27">
        <v>9</v>
      </c>
      <c r="I230" s="21" t="str">
        <f t="shared" si="12"/>
        <v>No cumple</v>
      </c>
      <c r="J230" s="22" t="str">
        <f t="shared" si="13"/>
        <v>Sin bono</v>
      </c>
      <c r="K230" s="23" t="str">
        <f t="shared" si="14"/>
        <v>ALERTA</v>
      </c>
      <c r="L230" s="24" t="str">
        <f t="shared" si="15"/>
        <v>Revisar</v>
      </c>
    </row>
    <row r="231" spans="1:12" ht="18" customHeight="1" x14ac:dyDescent="0.3">
      <c r="A231" s="18" t="s">
        <v>509</v>
      </c>
      <c r="B231" s="5" t="s">
        <v>510</v>
      </c>
      <c r="C231" s="18" t="s">
        <v>81</v>
      </c>
      <c r="D231" s="18" t="s">
        <v>78</v>
      </c>
      <c r="E231" s="6">
        <v>9800000</v>
      </c>
      <c r="F231" s="19">
        <v>0.75</v>
      </c>
      <c r="G231" s="18">
        <v>68</v>
      </c>
      <c r="H231" s="20">
        <v>17</v>
      </c>
      <c r="I231" s="21" t="str">
        <f t="shared" si="12"/>
        <v>No cumple</v>
      </c>
      <c r="J231" s="22" t="str">
        <f t="shared" si="13"/>
        <v>Sin bono</v>
      </c>
      <c r="K231" s="23" t="str">
        <f t="shared" si="14"/>
        <v>OK</v>
      </c>
      <c r="L231" s="24" t="str">
        <f t="shared" si="15"/>
        <v>Revisar</v>
      </c>
    </row>
    <row r="232" spans="1:12" ht="18" customHeight="1" x14ac:dyDescent="0.3">
      <c r="A232" s="25" t="s">
        <v>511</v>
      </c>
      <c r="B232" s="8" t="s">
        <v>512</v>
      </c>
      <c r="C232" s="25" t="s">
        <v>81</v>
      </c>
      <c r="D232" s="25" t="s">
        <v>60</v>
      </c>
      <c r="E232" s="9">
        <v>4300000</v>
      </c>
      <c r="F232" s="26">
        <v>0.99</v>
      </c>
      <c r="G232" s="25">
        <v>47</v>
      </c>
      <c r="H232" s="27">
        <v>4.7</v>
      </c>
      <c r="I232" s="21" t="str">
        <f t="shared" si="12"/>
        <v>Cumple</v>
      </c>
      <c r="J232" s="22" t="str">
        <f t="shared" si="13"/>
        <v>Sin bono</v>
      </c>
      <c r="K232" s="23" t="str">
        <f t="shared" si="14"/>
        <v>ALERTA</v>
      </c>
      <c r="L232" s="24" t="str">
        <f t="shared" si="15"/>
        <v>Revisar</v>
      </c>
    </row>
    <row r="233" spans="1:12" ht="18" customHeight="1" x14ac:dyDescent="0.3">
      <c r="A233" s="18" t="s">
        <v>513</v>
      </c>
      <c r="B233" s="5" t="s">
        <v>514</v>
      </c>
      <c r="C233" s="18" t="s">
        <v>81</v>
      </c>
      <c r="D233" s="18" t="s">
        <v>92</v>
      </c>
      <c r="E233" s="6">
        <v>8700000</v>
      </c>
      <c r="F233" s="19">
        <v>0.89</v>
      </c>
      <c r="G233" s="18">
        <v>100</v>
      </c>
      <c r="H233" s="20">
        <v>2.6</v>
      </c>
      <c r="I233" s="21" t="str">
        <f t="shared" si="12"/>
        <v>Cumple</v>
      </c>
      <c r="J233" s="22" t="str">
        <f t="shared" si="13"/>
        <v>BONO</v>
      </c>
      <c r="K233" s="23" t="str">
        <f t="shared" si="14"/>
        <v>OK</v>
      </c>
      <c r="L233" s="24" t="str">
        <f t="shared" si="15"/>
        <v>Bueno</v>
      </c>
    </row>
    <row r="234" spans="1:12" ht="18" customHeight="1" x14ac:dyDescent="0.3">
      <c r="A234" s="25" t="s">
        <v>515</v>
      </c>
      <c r="B234" s="8" t="s">
        <v>516</v>
      </c>
      <c r="C234" s="25" t="s">
        <v>59</v>
      </c>
      <c r="D234" s="25" t="s">
        <v>68</v>
      </c>
      <c r="E234" s="9">
        <v>11900000</v>
      </c>
      <c r="F234" s="26">
        <v>0.85</v>
      </c>
      <c r="G234" s="25">
        <v>97</v>
      </c>
      <c r="H234" s="27">
        <v>8.1999999999999993</v>
      </c>
      <c r="I234" s="21" t="str">
        <f t="shared" si="12"/>
        <v>Cumple</v>
      </c>
      <c r="J234" s="22" t="str">
        <f t="shared" si="13"/>
        <v>BONO</v>
      </c>
      <c r="K234" s="23" t="str">
        <f t="shared" si="14"/>
        <v>OK</v>
      </c>
      <c r="L234" s="24" t="str">
        <f t="shared" si="15"/>
        <v>Bueno</v>
      </c>
    </row>
    <row r="235" spans="1:12" ht="18" customHeight="1" x14ac:dyDescent="0.3">
      <c r="A235" s="18" t="s">
        <v>517</v>
      </c>
      <c r="B235" s="5" t="s">
        <v>518</v>
      </c>
      <c r="C235" s="18" t="s">
        <v>71</v>
      </c>
      <c r="D235" s="18" t="s">
        <v>92</v>
      </c>
      <c r="E235" s="6">
        <v>11000000</v>
      </c>
      <c r="F235" s="19">
        <v>0.49</v>
      </c>
      <c r="G235" s="18">
        <v>89</v>
      </c>
      <c r="H235" s="20">
        <v>13.6</v>
      </c>
      <c r="I235" s="21" t="str">
        <f t="shared" si="12"/>
        <v>No cumple</v>
      </c>
      <c r="J235" s="22" t="str">
        <f t="shared" si="13"/>
        <v>Sin bono</v>
      </c>
      <c r="K235" s="23" t="str">
        <f t="shared" si="14"/>
        <v>ALERTA</v>
      </c>
      <c r="L235" s="24" t="str">
        <f t="shared" si="15"/>
        <v>Revisar</v>
      </c>
    </row>
    <row r="236" spans="1:12" ht="18" customHeight="1" x14ac:dyDescent="0.3">
      <c r="A236" s="25" t="s">
        <v>519</v>
      </c>
      <c r="B236" s="8" t="s">
        <v>520</v>
      </c>
      <c r="C236" s="25" t="s">
        <v>71</v>
      </c>
      <c r="D236" s="25" t="s">
        <v>114</v>
      </c>
      <c r="E236" s="9">
        <v>8300000</v>
      </c>
      <c r="F236" s="26">
        <v>0.73</v>
      </c>
      <c r="G236" s="25">
        <v>37</v>
      </c>
      <c r="H236" s="27">
        <v>16.600000000000001</v>
      </c>
      <c r="I236" s="21" t="str">
        <f t="shared" si="12"/>
        <v>No cumple</v>
      </c>
      <c r="J236" s="22" t="str">
        <f t="shared" si="13"/>
        <v>Sin bono</v>
      </c>
      <c r="K236" s="23" t="str">
        <f t="shared" si="14"/>
        <v>ALERTA</v>
      </c>
      <c r="L236" s="24" t="str">
        <f t="shared" si="15"/>
        <v>Revisar</v>
      </c>
    </row>
    <row r="237" spans="1:12" ht="18" customHeight="1" x14ac:dyDescent="0.3">
      <c r="A237" s="18" t="s">
        <v>521</v>
      </c>
      <c r="B237" s="5" t="s">
        <v>522</v>
      </c>
      <c r="C237" s="18" t="s">
        <v>59</v>
      </c>
      <c r="D237" s="18" t="s">
        <v>114</v>
      </c>
      <c r="E237" s="6">
        <v>4800000</v>
      </c>
      <c r="F237" s="19">
        <v>0.63</v>
      </c>
      <c r="G237" s="18">
        <v>58</v>
      </c>
      <c r="H237" s="20">
        <v>6.9</v>
      </c>
      <c r="I237" s="21" t="str">
        <f t="shared" si="12"/>
        <v>No cumple</v>
      </c>
      <c r="J237" s="22" t="str">
        <f t="shared" si="13"/>
        <v>Sin bono</v>
      </c>
      <c r="K237" s="23" t="str">
        <f t="shared" si="14"/>
        <v>OK</v>
      </c>
      <c r="L237" s="24" t="str">
        <f t="shared" si="15"/>
        <v>Revisar</v>
      </c>
    </row>
    <row r="238" spans="1:12" ht="18" customHeight="1" x14ac:dyDescent="0.3">
      <c r="A238" s="25" t="s">
        <v>523</v>
      </c>
      <c r="B238" s="8" t="s">
        <v>524</v>
      </c>
      <c r="C238" s="25" t="s">
        <v>59</v>
      </c>
      <c r="D238" s="25" t="s">
        <v>78</v>
      </c>
      <c r="E238" s="9">
        <v>6000000</v>
      </c>
      <c r="F238" s="26">
        <v>0.56000000000000005</v>
      </c>
      <c r="G238" s="25">
        <v>100</v>
      </c>
      <c r="H238" s="27">
        <v>5.5</v>
      </c>
      <c r="I238" s="21" t="str">
        <f t="shared" si="12"/>
        <v>No cumple</v>
      </c>
      <c r="J238" s="22" t="str">
        <f t="shared" si="13"/>
        <v>Sin bono</v>
      </c>
      <c r="K238" s="23" t="str">
        <f t="shared" si="14"/>
        <v>ALERTA</v>
      </c>
      <c r="L238" s="24" t="str">
        <f t="shared" si="15"/>
        <v>Revisar</v>
      </c>
    </row>
    <row r="239" spans="1:12" ht="18" customHeight="1" x14ac:dyDescent="0.3">
      <c r="A239" s="18" t="s">
        <v>525</v>
      </c>
      <c r="B239" s="5" t="s">
        <v>526</v>
      </c>
      <c r="C239" s="18" t="s">
        <v>71</v>
      </c>
      <c r="D239" s="18" t="s">
        <v>114</v>
      </c>
      <c r="E239" s="6">
        <v>4900000</v>
      </c>
      <c r="F239" s="19">
        <v>0.81</v>
      </c>
      <c r="G239" s="18">
        <v>73</v>
      </c>
      <c r="H239" s="20">
        <v>16.899999999999999</v>
      </c>
      <c r="I239" s="21" t="str">
        <f t="shared" si="12"/>
        <v>Cumple</v>
      </c>
      <c r="J239" s="22" t="str">
        <f t="shared" si="13"/>
        <v>BONO</v>
      </c>
      <c r="K239" s="23" t="str">
        <f t="shared" si="14"/>
        <v>OK</v>
      </c>
      <c r="L239" s="24" t="str">
        <f t="shared" si="15"/>
        <v>Bueno</v>
      </c>
    </row>
    <row r="240" spans="1:12" ht="18" customHeight="1" x14ac:dyDescent="0.3">
      <c r="A240" s="25" t="s">
        <v>527</v>
      </c>
      <c r="B240" s="8" t="s">
        <v>528</v>
      </c>
      <c r="C240" s="25" t="s">
        <v>91</v>
      </c>
      <c r="D240" s="25" t="s">
        <v>78</v>
      </c>
      <c r="E240" s="9">
        <v>3300000</v>
      </c>
      <c r="F240" s="26">
        <v>0.97</v>
      </c>
      <c r="G240" s="25">
        <v>63</v>
      </c>
      <c r="H240" s="27">
        <v>13</v>
      </c>
      <c r="I240" s="21" t="str">
        <f t="shared" si="12"/>
        <v>Cumple</v>
      </c>
      <c r="J240" s="22" t="str">
        <f t="shared" si="13"/>
        <v>Sin bono</v>
      </c>
      <c r="K240" s="23" t="str">
        <f t="shared" si="14"/>
        <v>OK</v>
      </c>
      <c r="L240" s="24" t="str">
        <f t="shared" si="15"/>
        <v>Revisar</v>
      </c>
    </row>
    <row r="241" spans="1:12" ht="18" customHeight="1" x14ac:dyDescent="0.3">
      <c r="A241" s="18" t="s">
        <v>529</v>
      </c>
      <c r="B241" s="5" t="s">
        <v>530</v>
      </c>
      <c r="C241" s="18" t="s">
        <v>91</v>
      </c>
      <c r="D241" s="18" t="s">
        <v>105</v>
      </c>
      <c r="E241" s="6">
        <v>10800000</v>
      </c>
      <c r="F241" s="19">
        <v>0.75</v>
      </c>
      <c r="G241" s="18">
        <v>68</v>
      </c>
      <c r="H241" s="20">
        <v>9.6999999999999993</v>
      </c>
      <c r="I241" s="21" t="str">
        <f t="shared" si="12"/>
        <v>No cumple</v>
      </c>
      <c r="J241" s="22" t="str">
        <f t="shared" si="13"/>
        <v>Sin bono</v>
      </c>
      <c r="K241" s="23" t="str">
        <f t="shared" si="14"/>
        <v>OK</v>
      </c>
      <c r="L241" s="24" t="str">
        <f t="shared" si="15"/>
        <v>Revisar</v>
      </c>
    </row>
    <row r="242" spans="1:12" ht="18" customHeight="1" x14ac:dyDescent="0.3">
      <c r="A242" s="25" t="s">
        <v>531</v>
      </c>
      <c r="B242" s="8" t="s">
        <v>532</v>
      </c>
      <c r="C242" s="25" t="s">
        <v>77</v>
      </c>
      <c r="D242" s="25" t="s">
        <v>78</v>
      </c>
      <c r="E242" s="9">
        <v>11600000</v>
      </c>
      <c r="F242" s="26">
        <v>0.48</v>
      </c>
      <c r="G242" s="25">
        <v>86</v>
      </c>
      <c r="H242" s="27">
        <v>8.3000000000000007</v>
      </c>
      <c r="I242" s="21" t="str">
        <f t="shared" si="12"/>
        <v>No cumple</v>
      </c>
      <c r="J242" s="22" t="str">
        <f t="shared" si="13"/>
        <v>Sin bono</v>
      </c>
      <c r="K242" s="23" t="str">
        <f t="shared" si="14"/>
        <v>ALERTA</v>
      </c>
      <c r="L242" s="24" t="str">
        <f t="shared" si="15"/>
        <v>Revisar</v>
      </c>
    </row>
    <row r="243" spans="1:12" ht="18" customHeight="1" x14ac:dyDescent="0.3">
      <c r="A243" s="18" t="s">
        <v>533</v>
      </c>
      <c r="B243" s="5" t="s">
        <v>534</v>
      </c>
      <c r="C243" s="18" t="s">
        <v>81</v>
      </c>
      <c r="D243" s="18" t="s">
        <v>114</v>
      </c>
      <c r="E243" s="6">
        <v>6800000</v>
      </c>
      <c r="F243" s="19">
        <v>0.92</v>
      </c>
      <c r="G243" s="18">
        <v>70</v>
      </c>
      <c r="H243" s="20">
        <v>14.7</v>
      </c>
      <c r="I243" s="21" t="str">
        <f t="shared" si="12"/>
        <v>Cumple</v>
      </c>
      <c r="J243" s="22" t="str">
        <f t="shared" si="13"/>
        <v>BONO</v>
      </c>
      <c r="K243" s="23" t="str">
        <f t="shared" si="14"/>
        <v>OK</v>
      </c>
      <c r="L243" s="24" t="str">
        <f t="shared" si="15"/>
        <v>Bueno</v>
      </c>
    </row>
    <row r="244" spans="1:12" ht="18" customHeight="1" x14ac:dyDescent="0.3">
      <c r="A244" s="25" t="s">
        <v>535</v>
      </c>
      <c r="B244" s="8" t="s">
        <v>536</v>
      </c>
      <c r="C244" s="25" t="s">
        <v>71</v>
      </c>
      <c r="D244" s="25" t="s">
        <v>92</v>
      </c>
      <c r="E244" s="9">
        <v>9300000</v>
      </c>
      <c r="F244" s="26">
        <v>0.76</v>
      </c>
      <c r="G244" s="25">
        <v>70</v>
      </c>
      <c r="H244" s="27">
        <v>4.8</v>
      </c>
      <c r="I244" s="21" t="str">
        <f t="shared" si="12"/>
        <v>No cumple</v>
      </c>
      <c r="J244" s="22" t="str">
        <f t="shared" si="13"/>
        <v>Sin bono</v>
      </c>
      <c r="K244" s="23" t="str">
        <f t="shared" si="14"/>
        <v>OK</v>
      </c>
      <c r="L244" s="24" t="str">
        <f t="shared" si="15"/>
        <v>Revisar</v>
      </c>
    </row>
    <row r="245" spans="1:12" ht="18" customHeight="1" x14ac:dyDescent="0.3">
      <c r="A245" s="18" t="s">
        <v>537</v>
      </c>
      <c r="B245" s="5" t="s">
        <v>538</v>
      </c>
      <c r="C245" s="18" t="s">
        <v>77</v>
      </c>
      <c r="D245" s="18" t="s">
        <v>60</v>
      </c>
      <c r="E245" s="6">
        <v>4600000</v>
      </c>
      <c r="F245" s="19">
        <v>0.5</v>
      </c>
      <c r="G245" s="18">
        <v>67</v>
      </c>
      <c r="H245" s="20">
        <v>18.899999999999999</v>
      </c>
      <c r="I245" s="21" t="str">
        <f t="shared" si="12"/>
        <v>No cumple</v>
      </c>
      <c r="J245" s="22" t="str">
        <f t="shared" si="13"/>
        <v>Sin bono</v>
      </c>
      <c r="K245" s="23" t="str">
        <f t="shared" si="14"/>
        <v>ALERTA</v>
      </c>
      <c r="L245" s="24" t="str">
        <f t="shared" si="15"/>
        <v>Revisar</v>
      </c>
    </row>
    <row r="246" spans="1:12" ht="18" customHeight="1" x14ac:dyDescent="0.3">
      <c r="A246" s="25" t="s">
        <v>539</v>
      </c>
      <c r="B246" s="8" t="s">
        <v>540</v>
      </c>
      <c r="C246" s="25" t="s">
        <v>67</v>
      </c>
      <c r="D246" s="25" t="s">
        <v>114</v>
      </c>
      <c r="E246" s="9">
        <v>6900000</v>
      </c>
      <c r="F246" s="26">
        <v>0.96</v>
      </c>
      <c r="G246" s="25">
        <v>70</v>
      </c>
      <c r="H246" s="27">
        <v>3.8</v>
      </c>
      <c r="I246" s="21" t="str">
        <f t="shared" si="12"/>
        <v>Cumple</v>
      </c>
      <c r="J246" s="22" t="str">
        <f t="shared" si="13"/>
        <v>BONO</v>
      </c>
      <c r="K246" s="23" t="str">
        <f t="shared" si="14"/>
        <v>OK</v>
      </c>
      <c r="L246" s="24" t="str">
        <f t="shared" si="15"/>
        <v>Bueno</v>
      </c>
    </row>
    <row r="247" spans="1:12" ht="18" customHeight="1" x14ac:dyDescent="0.3">
      <c r="A247" s="18" t="s">
        <v>541</v>
      </c>
      <c r="B247" s="5" t="s">
        <v>542</v>
      </c>
      <c r="C247" s="18" t="s">
        <v>77</v>
      </c>
      <c r="D247" s="18" t="s">
        <v>105</v>
      </c>
      <c r="E247" s="6">
        <v>6700000</v>
      </c>
      <c r="F247" s="19">
        <v>0.72</v>
      </c>
      <c r="G247" s="18">
        <v>41</v>
      </c>
      <c r="H247" s="20">
        <v>18.899999999999999</v>
      </c>
      <c r="I247" s="21" t="str">
        <f t="shared" si="12"/>
        <v>No cumple</v>
      </c>
      <c r="J247" s="22" t="str">
        <f t="shared" si="13"/>
        <v>Sin bono</v>
      </c>
      <c r="K247" s="23" t="str">
        <f t="shared" si="14"/>
        <v>ALERTA</v>
      </c>
      <c r="L247" s="24" t="str">
        <f t="shared" si="15"/>
        <v>Revisar</v>
      </c>
    </row>
    <row r="248" spans="1:12" ht="18" customHeight="1" x14ac:dyDescent="0.3">
      <c r="A248" s="25" t="s">
        <v>543</v>
      </c>
      <c r="B248" s="8" t="s">
        <v>544</v>
      </c>
      <c r="C248" s="25" t="s">
        <v>67</v>
      </c>
      <c r="D248" s="25" t="s">
        <v>60</v>
      </c>
      <c r="E248" s="9">
        <v>10200000</v>
      </c>
      <c r="F248" s="26">
        <v>0.64</v>
      </c>
      <c r="G248" s="25">
        <v>36</v>
      </c>
      <c r="H248" s="27">
        <v>5.6</v>
      </c>
      <c r="I248" s="21" t="str">
        <f t="shared" si="12"/>
        <v>No cumple</v>
      </c>
      <c r="J248" s="22" t="str">
        <f t="shared" si="13"/>
        <v>Sin bono</v>
      </c>
      <c r="K248" s="23" t="str">
        <f t="shared" si="14"/>
        <v>ALERTA</v>
      </c>
      <c r="L248" s="24" t="str">
        <f t="shared" si="15"/>
        <v>Revisar</v>
      </c>
    </row>
    <row r="249" spans="1:12" ht="18" customHeight="1" x14ac:dyDescent="0.3">
      <c r="A249" s="18" t="s">
        <v>545</v>
      </c>
      <c r="B249" s="5" t="s">
        <v>546</v>
      </c>
      <c r="C249" s="18" t="s">
        <v>77</v>
      </c>
      <c r="D249" s="18" t="s">
        <v>88</v>
      </c>
      <c r="E249" s="6">
        <v>9600000</v>
      </c>
      <c r="F249" s="19">
        <v>0.45</v>
      </c>
      <c r="G249" s="18">
        <v>43</v>
      </c>
      <c r="H249" s="20">
        <v>8.6</v>
      </c>
      <c r="I249" s="21" t="str">
        <f t="shared" si="12"/>
        <v>No cumple</v>
      </c>
      <c r="J249" s="22" t="str">
        <f t="shared" si="13"/>
        <v>Sin bono</v>
      </c>
      <c r="K249" s="23" t="str">
        <f t="shared" si="14"/>
        <v>ALERTA</v>
      </c>
      <c r="L249" s="24" t="str">
        <f t="shared" si="15"/>
        <v>Revisar</v>
      </c>
    </row>
    <row r="250" spans="1:12" ht="18" customHeight="1" x14ac:dyDescent="0.3">
      <c r="A250" s="25" t="s">
        <v>547</v>
      </c>
      <c r="B250" s="8" t="s">
        <v>548</v>
      </c>
      <c r="C250" s="25" t="s">
        <v>63</v>
      </c>
      <c r="D250" s="25" t="s">
        <v>92</v>
      </c>
      <c r="E250" s="9">
        <v>3300000</v>
      </c>
      <c r="F250" s="26">
        <v>0.67</v>
      </c>
      <c r="G250" s="25">
        <v>54</v>
      </c>
      <c r="H250" s="27">
        <v>7.3</v>
      </c>
      <c r="I250" s="21" t="str">
        <f t="shared" si="12"/>
        <v>No cumple</v>
      </c>
      <c r="J250" s="22" t="str">
        <f t="shared" si="13"/>
        <v>Sin bono</v>
      </c>
      <c r="K250" s="23" t="str">
        <f t="shared" si="14"/>
        <v>OK</v>
      </c>
      <c r="L250" s="24" t="str">
        <f t="shared" si="15"/>
        <v>Revisar</v>
      </c>
    </row>
    <row r="251" spans="1:12" ht="18" customHeight="1" x14ac:dyDescent="0.3">
      <c r="A251" s="18" t="s">
        <v>549</v>
      </c>
      <c r="B251" s="5" t="s">
        <v>550</v>
      </c>
      <c r="C251" s="18" t="s">
        <v>63</v>
      </c>
      <c r="D251" s="18" t="s">
        <v>105</v>
      </c>
      <c r="E251" s="6">
        <v>9800000</v>
      </c>
      <c r="F251" s="19">
        <v>0.6</v>
      </c>
      <c r="G251" s="18">
        <v>45</v>
      </c>
      <c r="H251" s="20">
        <v>2.6</v>
      </c>
      <c r="I251" s="21" t="str">
        <f t="shared" si="12"/>
        <v>No cumple</v>
      </c>
      <c r="J251" s="22" t="str">
        <f t="shared" si="13"/>
        <v>Sin bono</v>
      </c>
      <c r="K251" s="23" t="str">
        <f t="shared" si="14"/>
        <v>ALERTA</v>
      </c>
      <c r="L251" s="24" t="str">
        <f t="shared" si="15"/>
        <v>Revisar</v>
      </c>
    </row>
    <row r="252" spans="1:12" ht="18" customHeight="1" x14ac:dyDescent="0.3">
      <c r="A252" s="25" t="s">
        <v>551</v>
      </c>
      <c r="B252" s="8" t="s">
        <v>552</v>
      </c>
      <c r="C252" s="25" t="s">
        <v>81</v>
      </c>
      <c r="D252" s="25" t="s">
        <v>114</v>
      </c>
      <c r="E252" s="9">
        <v>5300000</v>
      </c>
      <c r="F252" s="26">
        <v>0.78</v>
      </c>
      <c r="G252" s="25">
        <v>81</v>
      </c>
      <c r="H252" s="27">
        <v>10</v>
      </c>
      <c r="I252" s="21" t="str">
        <f t="shared" si="12"/>
        <v>No cumple</v>
      </c>
      <c r="J252" s="22" t="str">
        <f t="shared" si="13"/>
        <v>Sin bono</v>
      </c>
      <c r="K252" s="23" t="str">
        <f t="shared" si="14"/>
        <v>OK</v>
      </c>
      <c r="L252" s="24" t="str">
        <f t="shared" si="15"/>
        <v>Revisar</v>
      </c>
    </row>
    <row r="253" spans="1:12" ht="18" customHeight="1" x14ac:dyDescent="0.3">
      <c r="A253" s="18" t="s">
        <v>553</v>
      </c>
      <c r="B253" s="5" t="s">
        <v>554</v>
      </c>
      <c r="C253" s="18" t="s">
        <v>81</v>
      </c>
      <c r="D253" s="18" t="s">
        <v>105</v>
      </c>
      <c r="E253" s="6">
        <v>9400000</v>
      </c>
      <c r="F253" s="19">
        <v>0.7</v>
      </c>
      <c r="G253" s="18">
        <v>95</v>
      </c>
      <c r="H253" s="20">
        <v>2.8</v>
      </c>
      <c r="I253" s="21" t="str">
        <f t="shared" si="12"/>
        <v>No cumple</v>
      </c>
      <c r="J253" s="22" t="str">
        <f t="shared" si="13"/>
        <v>Sin bono</v>
      </c>
      <c r="K253" s="23" t="str">
        <f t="shared" si="14"/>
        <v>OK</v>
      </c>
      <c r="L253" s="24" t="str">
        <f t="shared" si="15"/>
        <v>Revisar</v>
      </c>
    </row>
    <row r="254" spans="1:12" ht="18" customHeight="1" x14ac:dyDescent="0.3">
      <c r="A254" s="25" t="s">
        <v>555</v>
      </c>
      <c r="B254" s="8" t="s">
        <v>556</v>
      </c>
      <c r="C254" s="25" t="s">
        <v>59</v>
      </c>
      <c r="D254" s="25" t="s">
        <v>92</v>
      </c>
      <c r="E254" s="9">
        <v>9200000</v>
      </c>
      <c r="F254" s="26">
        <v>0.91</v>
      </c>
      <c r="G254" s="25">
        <v>98</v>
      </c>
      <c r="H254" s="27">
        <v>9.8000000000000007</v>
      </c>
      <c r="I254" s="21" t="str">
        <f t="shared" si="12"/>
        <v>Cumple</v>
      </c>
      <c r="J254" s="22" t="str">
        <f t="shared" si="13"/>
        <v>BONO</v>
      </c>
      <c r="K254" s="23" t="str">
        <f t="shared" si="14"/>
        <v>OK</v>
      </c>
      <c r="L254" s="24" t="str">
        <f t="shared" si="15"/>
        <v>Excelente</v>
      </c>
    </row>
    <row r="255" spans="1:12" ht="18" customHeight="1" x14ac:dyDescent="0.3">
      <c r="A255" s="18" t="s">
        <v>557</v>
      </c>
      <c r="B255" s="5" t="s">
        <v>558</v>
      </c>
      <c r="C255" s="18" t="s">
        <v>77</v>
      </c>
      <c r="D255" s="18" t="s">
        <v>64</v>
      </c>
      <c r="E255" s="6">
        <v>7500000</v>
      </c>
      <c r="F255" s="19">
        <v>0.63</v>
      </c>
      <c r="G255" s="18">
        <v>44</v>
      </c>
      <c r="H255" s="20">
        <v>19.600000000000001</v>
      </c>
      <c r="I255" s="21" t="str">
        <f t="shared" si="12"/>
        <v>No cumple</v>
      </c>
      <c r="J255" s="22" t="str">
        <f t="shared" si="13"/>
        <v>Sin bono</v>
      </c>
      <c r="K255" s="23" t="str">
        <f t="shared" si="14"/>
        <v>ALERTA</v>
      </c>
      <c r="L255" s="24" t="str">
        <f t="shared" si="15"/>
        <v>Revisar</v>
      </c>
    </row>
    <row r="256" spans="1:12" ht="18" customHeight="1" x14ac:dyDescent="0.3">
      <c r="A256" s="25" t="s">
        <v>559</v>
      </c>
      <c r="B256" s="8" t="s">
        <v>560</v>
      </c>
      <c r="C256" s="25" t="s">
        <v>91</v>
      </c>
      <c r="D256" s="25" t="s">
        <v>105</v>
      </c>
      <c r="E256" s="9">
        <v>6100000</v>
      </c>
      <c r="F256" s="26">
        <v>0.98</v>
      </c>
      <c r="G256" s="25">
        <v>59</v>
      </c>
      <c r="H256" s="27">
        <v>14.4</v>
      </c>
      <c r="I256" s="21" t="str">
        <f t="shared" si="12"/>
        <v>Cumple</v>
      </c>
      <c r="J256" s="22" t="str">
        <f t="shared" si="13"/>
        <v>Sin bono</v>
      </c>
      <c r="K256" s="23" t="str">
        <f t="shared" si="14"/>
        <v>OK</v>
      </c>
      <c r="L256" s="24" t="str">
        <f t="shared" si="15"/>
        <v>Revisar</v>
      </c>
    </row>
    <row r="257" spans="1:12" ht="18" customHeight="1" x14ac:dyDescent="0.3">
      <c r="A257" s="18" t="s">
        <v>561</v>
      </c>
      <c r="B257" s="5" t="s">
        <v>562</v>
      </c>
      <c r="C257" s="18" t="s">
        <v>71</v>
      </c>
      <c r="D257" s="18" t="s">
        <v>68</v>
      </c>
      <c r="E257" s="6">
        <v>4600000</v>
      </c>
      <c r="F257" s="19">
        <v>0.9</v>
      </c>
      <c r="G257" s="18">
        <v>61</v>
      </c>
      <c r="H257" s="20">
        <v>0.6</v>
      </c>
      <c r="I257" s="21" t="str">
        <f t="shared" si="12"/>
        <v>Cumple</v>
      </c>
      <c r="J257" s="22" t="str">
        <f t="shared" si="13"/>
        <v>Sin bono</v>
      </c>
      <c r="K257" s="23" t="str">
        <f t="shared" si="14"/>
        <v>OK</v>
      </c>
      <c r="L257" s="24" t="str">
        <f t="shared" si="15"/>
        <v>Revisar</v>
      </c>
    </row>
    <row r="258" spans="1:12" ht="18" customHeight="1" x14ac:dyDescent="0.3">
      <c r="A258" s="25" t="s">
        <v>563</v>
      </c>
      <c r="B258" s="8" t="s">
        <v>564</v>
      </c>
      <c r="C258" s="25" t="s">
        <v>91</v>
      </c>
      <c r="D258" s="25" t="s">
        <v>105</v>
      </c>
      <c r="E258" s="9">
        <v>6800000</v>
      </c>
      <c r="F258" s="26">
        <v>0.68</v>
      </c>
      <c r="G258" s="25">
        <v>82</v>
      </c>
      <c r="H258" s="27">
        <v>13.8</v>
      </c>
      <c r="I258" s="21" t="str">
        <f t="shared" si="12"/>
        <v>No cumple</v>
      </c>
      <c r="J258" s="22" t="str">
        <f t="shared" si="13"/>
        <v>Sin bono</v>
      </c>
      <c r="K258" s="23" t="str">
        <f t="shared" si="14"/>
        <v>OK</v>
      </c>
      <c r="L258" s="24" t="str">
        <f t="shared" si="15"/>
        <v>Revisar</v>
      </c>
    </row>
    <row r="259" spans="1:12" ht="18" customHeight="1" x14ac:dyDescent="0.3">
      <c r="A259" s="18" t="s">
        <v>565</v>
      </c>
      <c r="B259" s="5" t="s">
        <v>566</v>
      </c>
      <c r="C259" s="18" t="s">
        <v>77</v>
      </c>
      <c r="D259" s="18" t="s">
        <v>64</v>
      </c>
      <c r="E259" s="6">
        <v>11800000</v>
      </c>
      <c r="F259" s="19">
        <v>0.53</v>
      </c>
      <c r="G259" s="18">
        <v>56</v>
      </c>
      <c r="H259" s="20">
        <v>11.2</v>
      </c>
      <c r="I259" s="21" t="str">
        <f t="shared" si="12"/>
        <v>No cumple</v>
      </c>
      <c r="J259" s="22" t="str">
        <f t="shared" si="13"/>
        <v>Sin bono</v>
      </c>
      <c r="K259" s="23" t="str">
        <f t="shared" si="14"/>
        <v>ALERTA</v>
      </c>
      <c r="L259" s="24" t="str">
        <f t="shared" si="15"/>
        <v>Revisar</v>
      </c>
    </row>
    <row r="260" spans="1:12" ht="18" customHeight="1" x14ac:dyDescent="0.3">
      <c r="A260" s="25" t="s">
        <v>567</v>
      </c>
      <c r="B260" s="8" t="s">
        <v>568</v>
      </c>
      <c r="C260" s="25" t="s">
        <v>81</v>
      </c>
      <c r="D260" s="25" t="s">
        <v>92</v>
      </c>
      <c r="E260" s="9">
        <v>11400000</v>
      </c>
      <c r="F260" s="26">
        <v>0.87</v>
      </c>
      <c r="G260" s="25">
        <v>63</v>
      </c>
      <c r="H260" s="27">
        <v>12.2</v>
      </c>
      <c r="I260" s="21" t="str">
        <f t="shared" si="12"/>
        <v>Cumple</v>
      </c>
      <c r="J260" s="22" t="str">
        <f t="shared" si="13"/>
        <v>Sin bono</v>
      </c>
      <c r="K260" s="23" t="str">
        <f t="shared" si="14"/>
        <v>OK</v>
      </c>
      <c r="L260" s="24" t="str">
        <f t="shared" si="15"/>
        <v>Revisar</v>
      </c>
    </row>
    <row r="261" spans="1:12" ht="18" customHeight="1" x14ac:dyDescent="0.3">
      <c r="A261" s="18" t="s">
        <v>569</v>
      </c>
      <c r="B261" s="5" t="s">
        <v>570</v>
      </c>
      <c r="C261" s="18" t="s">
        <v>59</v>
      </c>
      <c r="D261" s="18" t="s">
        <v>88</v>
      </c>
      <c r="E261" s="6">
        <v>5600000</v>
      </c>
      <c r="F261" s="19">
        <v>0.97</v>
      </c>
      <c r="G261" s="18">
        <v>68</v>
      </c>
      <c r="H261" s="20">
        <v>15.4</v>
      </c>
      <c r="I261" s="21" t="str">
        <f t="shared" si="12"/>
        <v>Cumple</v>
      </c>
      <c r="J261" s="22" t="str">
        <f t="shared" si="13"/>
        <v>Sin bono</v>
      </c>
      <c r="K261" s="23" t="str">
        <f t="shared" si="14"/>
        <v>OK</v>
      </c>
      <c r="L261" s="24" t="str">
        <f t="shared" si="15"/>
        <v>Revisar</v>
      </c>
    </row>
    <row r="262" spans="1:12" ht="18" customHeight="1" x14ac:dyDescent="0.3">
      <c r="A262" s="25" t="s">
        <v>571</v>
      </c>
      <c r="B262" s="8" t="s">
        <v>572</v>
      </c>
      <c r="C262" s="25" t="s">
        <v>77</v>
      </c>
      <c r="D262" s="25" t="s">
        <v>92</v>
      </c>
      <c r="E262" s="9">
        <v>8900000</v>
      </c>
      <c r="F262" s="26">
        <v>0.64</v>
      </c>
      <c r="G262" s="25">
        <v>65</v>
      </c>
      <c r="H262" s="27">
        <v>5.8</v>
      </c>
      <c r="I262" s="21" t="str">
        <f t="shared" si="12"/>
        <v>No cumple</v>
      </c>
      <c r="J262" s="22" t="str">
        <f t="shared" si="13"/>
        <v>Sin bono</v>
      </c>
      <c r="K262" s="23" t="str">
        <f t="shared" si="14"/>
        <v>OK</v>
      </c>
      <c r="L262" s="24" t="str">
        <f t="shared" si="15"/>
        <v>Revisar</v>
      </c>
    </row>
    <row r="263" spans="1:12" ht="18" customHeight="1" x14ac:dyDescent="0.3">
      <c r="A263" s="18" t="s">
        <v>573</v>
      </c>
      <c r="B263" s="5" t="s">
        <v>574</v>
      </c>
      <c r="C263" s="18" t="s">
        <v>63</v>
      </c>
      <c r="D263" s="18" t="s">
        <v>68</v>
      </c>
      <c r="E263" s="6">
        <v>7200000</v>
      </c>
      <c r="F263" s="19">
        <v>0.98</v>
      </c>
      <c r="G263" s="18">
        <v>48</v>
      </c>
      <c r="H263" s="20">
        <v>5.8</v>
      </c>
      <c r="I263" s="21" t="str">
        <f t="shared" si="12"/>
        <v>Cumple</v>
      </c>
      <c r="J263" s="22" t="str">
        <f t="shared" si="13"/>
        <v>Sin bono</v>
      </c>
      <c r="K263" s="23" t="str">
        <f t="shared" si="14"/>
        <v>ALERTA</v>
      </c>
      <c r="L263" s="24" t="str">
        <f t="shared" si="15"/>
        <v>Revisar</v>
      </c>
    </row>
    <row r="264" spans="1:12" ht="18" customHeight="1" x14ac:dyDescent="0.3">
      <c r="A264" s="25" t="s">
        <v>575</v>
      </c>
      <c r="B264" s="8" t="s">
        <v>576</v>
      </c>
      <c r="C264" s="25" t="s">
        <v>77</v>
      </c>
      <c r="D264" s="25" t="s">
        <v>88</v>
      </c>
      <c r="E264" s="9">
        <v>8900000</v>
      </c>
      <c r="F264" s="26">
        <v>0.56999999999999995</v>
      </c>
      <c r="G264" s="25">
        <v>98</v>
      </c>
      <c r="H264" s="27">
        <v>5.4</v>
      </c>
      <c r="I264" s="21" t="str">
        <f t="shared" si="12"/>
        <v>No cumple</v>
      </c>
      <c r="J264" s="22" t="str">
        <f t="shared" si="13"/>
        <v>Sin bono</v>
      </c>
      <c r="K264" s="23" t="str">
        <f t="shared" si="14"/>
        <v>ALERTA</v>
      </c>
      <c r="L264" s="24" t="str">
        <f t="shared" si="15"/>
        <v>Revisar</v>
      </c>
    </row>
    <row r="265" spans="1:12" ht="18" customHeight="1" x14ac:dyDescent="0.3">
      <c r="A265" s="18" t="s">
        <v>577</v>
      </c>
      <c r="B265" s="5" t="s">
        <v>578</v>
      </c>
      <c r="C265" s="18" t="s">
        <v>74</v>
      </c>
      <c r="D265" s="18" t="s">
        <v>60</v>
      </c>
      <c r="E265" s="6">
        <v>5900000</v>
      </c>
      <c r="F265" s="19">
        <v>0.48</v>
      </c>
      <c r="G265" s="18">
        <v>97</v>
      </c>
      <c r="H265" s="20">
        <v>4.5</v>
      </c>
      <c r="I265" s="21" t="str">
        <f t="shared" si="12"/>
        <v>No cumple</v>
      </c>
      <c r="J265" s="22" t="str">
        <f t="shared" si="13"/>
        <v>Sin bono</v>
      </c>
      <c r="K265" s="23" t="str">
        <f t="shared" si="14"/>
        <v>ALERTA</v>
      </c>
      <c r="L265" s="24" t="str">
        <f t="shared" si="15"/>
        <v>Revisar</v>
      </c>
    </row>
    <row r="266" spans="1:12" ht="18" customHeight="1" x14ac:dyDescent="0.3">
      <c r="A266" s="25" t="s">
        <v>579</v>
      </c>
      <c r="B266" s="8" t="s">
        <v>580</v>
      </c>
      <c r="C266" s="25" t="s">
        <v>74</v>
      </c>
      <c r="D266" s="25" t="s">
        <v>68</v>
      </c>
      <c r="E266" s="9">
        <v>7000000</v>
      </c>
      <c r="F266" s="26">
        <v>0.84</v>
      </c>
      <c r="G266" s="25">
        <v>42</v>
      </c>
      <c r="H266" s="27">
        <v>13.6</v>
      </c>
      <c r="I266" s="21" t="str">
        <f t="shared" si="12"/>
        <v>Cumple</v>
      </c>
      <c r="J266" s="22" t="str">
        <f t="shared" si="13"/>
        <v>Sin bono</v>
      </c>
      <c r="K266" s="23" t="str">
        <f t="shared" si="14"/>
        <v>ALERTA</v>
      </c>
      <c r="L266" s="24" t="str">
        <f t="shared" si="15"/>
        <v>Revisar</v>
      </c>
    </row>
    <row r="267" spans="1:12" ht="18" customHeight="1" x14ac:dyDescent="0.3">
      <c r="A267" s="18" t="s">
        <v>581</v>
      </c>
      <c r="B267" s="5" t="s">
        <v>582</v>
      </c>
      <c r="C267" s="18" t="s">
        <v>71</v>
      </c>
      <c r="D267" s="18" t="s">
        <v>68</v>
      </c>
      <c r="E267" s="6">
        <v>11100000</v>
      </c>
      <c r="F267" s="19">
        <v>0.96</v>
      </c>
      <c r="G267" s="18">
        <v>90</v>
      </c>
      <c r="H267" s="20">
        <v>9.5</v>
      </c>
      <c r="I267" s="21" t="str">
        <f t="shared" si="12"/>
        <v>Cumple</v>
      </c>
      <c r="J267" s="22" t="str">
        <f t="shared" si="13"/>
        <v>BONO</v>
      </c>
      <c r="K267" s="23" t="str">
        <f t="shared" si="14"/>
        <v>OK</v>
      </c>
      <c r="L267" s="24" t="str">
        <f t="shared" si="15"/>
        <v>Excelente</v>
      </c>
    </row>
    <row r="268" spans="1:12" ht="18" customHeight="1" x14ac:dyDescent="0.3">
      <c r="A268" s="25" t="s">
        <v>583</v>
      </c>
      <c r="B268" s="8" t="s">
        <v>584</v>
      </c>
      <c r="C268" s="25" t="s">
        <v>59</v>
      </c>
      <c r="D268" s="25" t="s">
        <v>92</v>
      </c>
      <c r="E268" s="9">
        <v>6400000</v>
      </c>
      <c r="F268" s="26">
        <v>0.81</v>
      </c>
      <c r="G268" s="25">
        <v>41</v>
      </c>
      <c r="H268" s="27">
        <v>13</v>
      </c>
      <c r="I268" s="21" t="str">
        <f t="shared" si="12"/>
        <v>Cumple</v>
      </c>
      <c r="J268" s="22" t="str">
        <f t="shared" si="13"/>
        <v>Sin bono</v>
      </c>
      <c r="K268" s="23" t="str">
        <f t="shared" si="14"/>
        <v>ALERTA</v>
      </c>
      <c r="L268" s="24" t="str">
        <f t="shared" si="15"/>
        <v>Revisar</v>
      </c>
    </row>
    <row r="269" spans="1:12" ht="18" customHeight="1" x14ac:dyDescent="0.3">
      <c r="A269" s="18" t="s">
        <v>585</v>
      </c>
      <c r="B269" s="5" t="s">
        <v>586</v>
      </c>
      <c r="C269" s="18" t="s">
        <v>91</v>
      </c>
      <c r="D269" s="18" t="s">
        <v>114</v>
      </c>
      <c r="E269" s="6">
        <v>8100000</v>
      </c>
      <c r="F269" s="19">
        <v>0.94</v>
      </c>
      <c r="G269" s="18">
        <v>52</v>
      </c>
      <c r="H269" s="20">
        <v>18.7</v>
      </c>
      <c r="I269" s="21" t="str">
        <f t="shared" ref="I269:I332" si="16">IF(F269&gt;=0.8,"Cumple","No cumple")</f>
        <v>Cumple</v>
      </c>
      <c r="J269" s="22" t="str">
        <f t="shared" ref="J269:J332" si="17">IF(AND(F269&gt;=0.8,G269&gt;=70),"BONO","Sin bono")</f>
        <v>Sin bono</v>
      </c>
      <c r="K269" s="23" t="str">
        <f t="shared" ref="K269:K332" si="18">IF(OR(F269&lt;0.6,G269&lt;50),"ALERTA","OK")</f>
        <v>OK</v>
      </c>
      <c r="L269" s="24" t="str">
        <f t="shared" ref="L269:L332" si="19">IF(AND(F269&gt;=0.9,G269&gt;=85),"Excelente",IF(AND(F269&gt;=0.8,G269&gt;=70),"Bueno","Revisar"))</f>
        <v>Revisar</v>
      </c>
    </row>
    <row r="270" spans="1:12" ht="18" customHeight="1" x14ac:dyDescent="0.3">
      <c r="A270" s="25" t="s">
        <v>587</v>
      </c>
      <c r="B270" s="8" t="s">
        <v>588</v>
      </c>
      <c r="C270" s="25" t="s">
        <v>63</v>
      </c>
      <c r="D270" s="25" t="s">
        <v>105</v>
      </c>
      <c r="E270" s="9">
        <v>5100000</v>
      </c>
      <c r="F270" s="26">
        <v>0.97</v>
      </c>
      <c r="G270" s="25">
        <v>67</v>
      </c>
      <c r="H270" s="27">
        <v>17.5</v>
      </c>
      <c r="I270" s="21" t="str">
        <f t="shared" si="16"/>
        <v>Cumple</v>
      </c>
      <c r="J270" s="22" t="str">
        <f t="shared" si="17"/>
        <v>Sin bono</v>
      </c>
      <c r="K270" s="23" t="str">
        <f t="shared" si="18"/>
        <v>OK</v>
      </c>
      <c r="L270" s="24" t="str">
        <f t="shared" si="19"/>
        <v>Revisar</v>
      </c>
    </row>
    <row r="271" spans="1:12" ht="18" customHeight="1" x14ac:dyDescent="0.3">
      <c r="A271" s="18" t="s">
        <v>589</v>
      </c>
      <c r="B271" s="5" t="s">
        <v>590</v>
      </c>
      <c r="C271" s="18" t="s">
        <v>74</v>
      </c>
      <c r="D271" s="18" t="s">
        <v>92</v>
      </c>
      <c r="E271" s="6">
        <v>6400000</v>
      </c>
      <c r="F271" s="19">
        <v>0.7</v>
      </c>
      <c r="G271" s="18">
        <v>99</v>
      </c>
      <c r="H271" s="20">
        <v>10.5</v>
      </c>
      <c r="I271" s="21" t="str">
        <f t="shared" si="16"/>
        <v>No cumple</v>
      </c>
      <c r="J271" s="22" t="str">
        <f t="shared" si="17"/>
        <v>Sin bono</v>
      </c>
      <c r="K271" s="23" t="str">
        <f t="shared" si="18"/>
        <v>OK</v>
      </c>
      <c r="L271" s="24" t="str">
        <f t="shared" si="19"/>
        <v>Revisar</v>
      </c>
    </row>
    <row r="272" spans="1:12" ht="18" customHeight="1" x14ac:dyDescent="0.3">
      <c r="A272" s="25" t="s">
        <v>591</v>
      </c>
      <c r="B272" s="8" t="s">
        <v>592</v>
      </c>
      <c r="C272" s="25" t="s">
        <v>77</v>
      </c>
      <c r="D272" s="25" t="s">
        <v>88</v>
      </c>
      <c r="E272" s="9">
        <v>5200000</v>
      </c>
      <c r="F272" s="26">
        <v>0.89</v>
      </c>
      <c r="G272" s="25">
        <v>72</v>
      </c>
      <c r="H272" s="27">
        <v>3.2</v>
      </c>
      <c r="I272" s="21" t="str">
        <f t="shared" si="16"/>
        <v>Cumple</v>
      </c>
      <c r="J272" s="22" t="str">
        <f t="shared" si="17"/>
        <v>BONO</v>
      </c>
      <c r="K272" s="23" t="str">
        <f t="shared" si="18"/>
        <v>OK</v>
      </c>
      <c r="L272" s="24" t="str">
        <f t="shared" si="19"/>
        <v>Bueno</v>
      </c>
    </row>
    <row r="273" spans="1:12" ht="18" customHeight="1" x14ac:dyDescent="0.3">
      <c r="A273" s="18" t="s">
        <v>593</v>
      </c>
      <c r="B273" s="5" t="s">
        <v>594</v>
      </c>
      <c r="C273" s="18" t="s">
        <v>59</v>
      </c>
      <c r="D273" s="18" t="s">
        <v>114</v>
      </c>
      <c r="E273" s="6">
        <v>2900000</v>
      </c>
      <c r="F273" s="19">
        <v>0.86</v>
      </c>
      <c r="G273" s="18">
        <v>67</v>
      </c>
      <c r="H273" s="20">
        <v>11.4</v>
      </c>
      <c r="I273" s="21" t="str">
        <f t="shared" si="16"/>
        <v>Cumple</v>
      </c>
      <c r="J273" s="22" t="str">
        <f t="shared" si="17"/>
        <v>Sin bono</v>
      </c>
      <c r="K273" s="23" t="str">
        <f t="shared" si="18"/>
        <v>OK</v>
      </c>
      <c r="L273" s="24" t="str">
        <f t="shared" si="19"/>
        <v>Revisar</v>
      </c>
    </row>
    <row r="274" spans="1:12" ht="18" customHeight="1" x14ac:dyDescent="0.3">
      <c r="A274" s="25" t="s">
        <v>595</v>
      </c>
      <c r="B274" s="8" t="s">
        <v>596</v>
      </c>
      <c r="C274" s="25" t="s">
        <v>63</v>
      </c>
      <c r="D274" s="25" t="s">
        <v>68</v>
      </c>
      <c r="E274" s="9">
        <v>9300000</v>
      </c>
      <c r="F274" s="26">
        <v>0.63</v>
      </c>
      <c r="G274" s="25">
        <v>81</v>
      </c>
      <c r="H274" s="27">
        <v>13.4</v>
      </c>
      <c r="I274" s="21" t="str">
        <f t="shared" si="16"/>
        <v>No cumple</v>
      </c>
      <c r="J274" s="22" t="str">
        <f t="shared" si="17"/>
        <v>Sin bono</v>
      </c>
      <c r="K274" s="23" t="str">
        <f t="shared" si="18"/>
        <v>OK</v>
      </c>
      <c r="L274" s="24" t="str">
        <f t="shared" si="19"/>
        <v>Revisar</v>
      </c>
    </row>
    <row r="275" spans="1:12" ht="18" customHeight="1" x14ac:dyDescent="0.3">
      <c r="A275" s="18" t="s">
        <v>597</v>
      </c>
      <c r="B275" s="5" t="s">
        <v>598</v>
      </c>
      <c r="C275" s="18" t="s">
        <v>77</v>
      </c>
      <c r="D275" s="18" t="s">
        <v>92</v>
      </c>
      <c r="E275" s="6">
        <v>5900000</v>
      </c>
      <c r="F275" s="19">
        <v>0.45</v>
      </c>
      <c r="G275" s="18">
        <v>79</v>
      </c>
      <c r="H275" s="20">
        <v>4.7</v>
      </c>
      <c r="I275" s="21" t="str">
        <f t="shared" si="16"/>
        <v>No cumple</v>
      </c>
      <c r="J275" s="22" t="str">
        <f t="shared" si="17"/>
        <v>Sin bono</v>
      </c>
      <c r="K275" s="23" t="str">
        <f t="shared" si="18"/>
        <v>ALERTA</v>
      </c>
      <c r="L275" s="24" t="str">
        <f t="shared" si="19"/>
        <v>Revisar</v>
      </c>
    </row>
    <row r="276" spans="1:12" ht="18" customHeight="1" x14ac:dyDescent="0.3">
      <c r="A276" s="25" t="s">
        <v>599</v>
      </c>
      <c r="B276" s="8" t="s">
        <v>600</v>
      </c>
      <c r="C276" s="25" t="s">
        <v>59</v>
      </c>
      <c r="D276" s="25" t="s">
        <v>64</v>
      </c>
      <c r="E276" s="9">
        <v>6100000</v>
      </c>
      <c r="F276" s="26">
        <v>0.81</v>
      </c>
      <c r="G276" s="25">
        <v>60</v>
      </c>
      <c r="H276" s="27">
        <v>1.2</v>
      </c>
      <c r="I276" s="21" t="str">
        <f t="shared" si="16"/>
        <v>Cumple</v>
      </c>
      <c r="J276" s="22" t="str">
        <f t="shared" si="17"/>
        <v>Sin bono</v>
      </c>
      <c r="K276" s="23" t="str">
        <f t="shared" si="18"/>
        <v>OK</v>
      </c>
      <c r="L276" s="24" t="str">
        <f t="shared" si="19"/>
        <v>Revisar</v>
      </c>
    </row>
    <row r="277" spans="1:12" ht="18" customHeight="1" x14ac:dyDescent="0.3">
      <c r="A277" s="18" t="s">
        <v>601</v>
      </c>
      <c r="B277" s="5" t="s">
        <v>602</v>
      </c>
      <c r="C277" s="18" t="s">
        <v>63</v>
      </c>
      <c r="D277" s="18" t="s">
        <v>88</v>
      </c>
      <c r="E277" s="6">
        <v>11600000</v>
      </c>
      <c r="F277" s="19">
        <v>0.51</v>
      </c>
      <c r="G277" s="18">
        <v>67</v>
      </c>
      <c r="H277" s="20">
        <v>7.4</v>
      </c>
      <c r="I277" s="21" t="str">
        <f t="shared" si="16"/>
        <v>No cumple</v>
      </c>
      <c r="J277" s="22" t="str">
        <f t="shared" si="17"/>
        <v>Sin bono</v>
      </c>
      <c r="K277" s="23" t="str">
        <f t="shared" si="18"/>
        <v>ALERTA</v>
      </c>
      <c r="L277" s="24" t="str">
        <f t="shared" si="19"/>
        <v>Revisar</v>
      </c>
    </row>
    <row r="278" spans="1:12" ht="18" customHeight="1" x14ac:dyDescent="0.3">
      <c r="A278" s="25" t="s">
        <v>603</v>
      </c>
      <c r="B278" s="8" t="s">
        <v>604</v>
      </c>
      <c r="C278" s="25" t="s">
        <v>71</v>
      </c>
      <c r="D278" s="25" t="s">
        <v>105</v>
      </c>
      <c r="E278" s="9">
        <v>10500000</v>
      </c>
      <c r="F278" s="26">
        <v>0.66</v>
      </c>
      <c r="G278" s="25">
        <v>100</v>
      </c>
      <c r="H278" s="27">
        <v>18.3</v>
      </c>
      <c r="I278" s="21" t="str">
        <f t="shared" si="16"/>
        <v>No cumple</v>
      </c>
      <c r="J278" s="22" t="str">
        <f t="shared" si="17"/>
        <v>Sin bono</v>
      </c>
      <c r="K278" s="23" t="str">
        <f t="shared" si="18"/>
        <v>OK</v>
      </c>
      <c r="L278" s="24" t="str">
        <f t="shared" si="19"/>
        <v>Revisar</v>
      </c>
    </row>
    <row r="279" spans="1:12" ht="18" customHeight="1" x14ac:dyDescent="0.3">
      <c r="A279" s="18" t="s">
        <v>605</v>
      </c>
      <c r="B279" s="5" t="s">
        <v>606</v>
      </c>
      <c r="C279" s="18" t="s">
        <v>67</v>
      </c>
      <c r="D279" s="18" t="s">
        <v>60</v>
      </c>
      <c r="E279" s="6">
        <v>11500000</v>
      </c>
      <c r="F279" s="19">
        <v>0.87</v>
      </c>
      <c r="G279" s="18">
        <v>40</v>
      </c>
      <c r="H279" s="20">
        <v>10.5</v>
      </c>
      <c r="I279" s="21" t="str">
        <f t="shared" si="16"/>
        <v>Cumple</v>
      </c>
      <c r="J279" s="22" t="str">
        <f t="shared" si="17"/>
        <v>Sin bono</v>
      </c>
      <c r="K279" s="23" t="str">
        <f t="shared" si="18"/>
        <v>ALERTA</v>
      </c>
      <c r="L279" s="24" t="str">
        <f t="shared" si="19"/>
        <v>Revisar</v>
      </c>
    </row>
    <row r="280" spans="1:12" ht="18" customHeight="1" x14ac:dyDescent="0.3">
      <c r="A280" s="25" t="s">
        <v>607</v>
      </c>
      <c r="B280" s="8" t="s">
        <v>608</v>
      </c>
      <c r="C280" s="25" t="s">
        <v>81</v>
      </c>
      <c r="D280" s="25" t="s">
        <v>78</v>
      </c>
      <c r="E280" s="9">
        <v>10000000</v>
      </c>
      <c r="F280" s="26">
        <v>0.51</v>
      </c>
      <c r="G280" s="25">
        <v>100</v>
      </c>
      <c r="H280" s="27">
        <v>18.100000000000001</v>
      </c>
      <c r="I280" s="21" t="str">
        <f t="shared" si="16"/>
        <v>No cumple</v>
      </c>
      <c r="J280" s="22" t="str">
        <f t="shared" si="17"/>
        <v>Sin bono</v>
      </c>
      <c r="K280" s="23" t="str">
        <f t="shared" si="18"/>
        <v>ALERTA</v>
      </c>
      <c r="L280" s="24" t="str">
        <f t="shared" si="19"/>
        <v>Revisar</v>
      </c>
    </row>
    <row r="281" spans="1:12" ht="18" customHeight="1" x14ac:dyDescent="0.3">
      <c r="A281" s="18" t="s">
        <v>609</v>
      </c>
      <c r="B281" s="5" t="s">
        <v>610</v>
      </c>
      <c r="C281" s="18" t="s">
        <v>71</v>
      </c>
      <c r="D281" s="18" t="s">
        <v>114</v>
      </c>
      <c r="E281" s="6">
        <v>6900000</v>
      </c>
      <c r="F281" s="19">
        <v>0.92</v>
      </c>
      <c r="G281" s="18">
        <v>86</v>
      </c>
      <c r="H281" s="20">
        <v>2.2999999999999998</v>
      </c>
      <c r="I281" s="21" t="str">
        <f t="shared" si="16"/>
        <v>Cumple</v>
      </c>
      <c r="J281" s="22" t="str">
        <f t="shared" si="17"/>
        <v>BONO</v>
      </c>
      <c r="K281" s="23" t="str">
        <f t="shared" si="18"/>
        <v>OK</v>
      </c>
      <c r="L281" s="24" t="str">
        <f t="shared" si="19"/>
        <v>Excelente</v>
      </c>
    </row>
    <row r="282" spans="1:12" ht="18" customHeight="1" x14ac:dyDescent="0.3">
      <c r="A282" s="25" t="s">
        <v>611</v>
      </c>
      <c r="B282" s="8" t="s">
        <v>612</v>
      </c>
      <c r="C282" s="25" t="s">
        <v>77</v>
      </c>
      <c r="D282" s="25" t="s">
        <v>64</v>
      </c>
      <c r="E282" s="9">
        <v>8600000</v>
      </c>
      <c r="F282" s="26">
        <v>0.52</v>
      </c>
      <c r="G282" s="25">
        <v>83</v>
      </c>
      <c r="H282" s="27">
        <v>9.1</v>
      </c>
      <c r="I282" s="21" t="str">
        <f t="shared" si="16"/>
        <v>No cumple</v>
      </c>
      <c r="J282" s="22" t="str">
        <f t="shared" si="17"/>
        <v>Sin bono</v>
      </c>
      <c r="K282" s="23" t="str">
        <f t="shared" si="18"/>
        <v>ALERTA</v>
      </c>
      <c r="L282" s="24" t="str">
        <f t="shared" si="19"/>
        <v>Revisar</v>
      </c>
    </row>
    <row r="283" spans="1:12" ht="18" customHeight="1" x14ac:dyDescent="0.3">
      <c r="A283" s="18" t="s">
        <v>613</v>
      </c>
      <c r="B283" s="5" t="s">
        <v>614</v>
      </c>
      <c r="C283" s="18" t="s">
        <v>77</v>
      </c>
      <c r="D283" s="18" t="s">
        <v>88</v>
      </c>
      <c r="E283" s="6">
        <v>12000000</v>
      </c>
      <c r="F283" s="19">
        <v>0.46</v>
      </c>
      <c r="G283" s="18">
        <v>62</v>
      </c>
      <c r="H283" s="20">
        <v>16.3</v>
      </c>
      <c r="I283" s="21" t="str">
        <f t="shared" si="16"/>
        <v>No cumple</v>
      </c>
      <c r="J283" s="22" t="str">
        <f t="shared" si="17"/>
        <v>Sin bono</v>
      </c>
      <c r="K283" s="23" t="str">
        <f t="shared" si="18"/>
        <v>ALERTA</v>
      </c>
      <c r="L283" s="24" t="str">
        <f t="shared" si="19"/>
        <v>Revisar</v>
      </c>
    </row>
    <row r="284" spans="1:12" ht="18" customHeight="1" x14ac:dyDescent="0.3">
      <c r="A284" s="25" t="s">
        <v>615</v>
      </c>
      <c r="B284" s="8" t="s">
        <v>616</v>
      </c>
      <c r="C284" s="25" t="s">
        <v>74</v>
      </c>
      <c r="D284" s="25" t="s">
        <v>64</v>
      </c>
      <c r="E284" s="9">
        <v>8200000</v>
      </c>
      <c r="F284" s="26">
        <v>0.64</v>
      </c>
      <c r="G284" s="25">
        <v>38</v>
      </c>
      <c r="H284" s="27">
        <v>10.8</v>
      </c>
      <c r="I284" s="21" t="str">
        <f t="shared" si="16"/>
        <v>No cumple</v>
      </c>
      <c r="J284" s="22" t="str">
        <f t="shared" si="17"/>
        <v>Sin bono</v>
      </c>
      <c r="K284" s="23" t="str">
        <f t="shared" si="18"/>
        <v>ALERTA</v>
      </c>
      <c r="L284" s="24" t="str">
        <f t="shared" si="19"/>
        <v>Revisar</v>
      </c>
    </row>
    <row r="285" spans="1:12" ht="18" customHeight="1" x14ac:dyDescent="0.3">
      <c r="A285" s="18" t="s">
        <v>617</v>
      </c>
      <c r="B285" s="5" t="s">
        <v>618</v>
      </c>
      <c r="C285" s="18" t="s">
        <v>74</v>
      </c>
      <c r="D285" s="18" t="s">
        <v>105</v>
      </c>
      <c r="E285" s="6">
        <v>3200000</v>
      </c>
      <c r="F285" s="19">
        <v>0.61</v>
      </c>
      <c r="G285" s="18">
        <v>53</v>
      </c>
      <c r="H285" s="20">
        <v>15.4</v>
      </c>
      <c r="I285" s="21" t="str">
        <f t="shared" si="16"/>
        <v>No cumple</v>
      </c>
      <c r="J285" s="22" t="str">
        <f t="shared" si="17"/>
        <v>Sin bono</v>
      </c>
      <c r="K285" s="23" t="str">
        <f t="shared" si="18"/>
        <v>OK</v>
      </c>
      <c r="L285" s="24" t="str">
        <f t="shared" si="19"/>
        <v>Revisar</v>
      </c>
    </row>
    <row r="286" spans="1:12" ht="18" customHeight="1" x14ac:dyDescent="0.3">
      <c r="A286" s="25" t="s">
        <v>619</v>
      </c>
      <c r="B286" s="8" t="s">
        <v>620</v>
      </c>
      <c r="C286" s="25" t="s">
        <v>63</v>
      </c>
      <c r="D286" s="25" t="s">
        <v>68</v>
      </c>
      <c r="E286" s="9">
        <v>3800000</v>
      </c>
      <c r="F286" s="26">
        <v>0.83</v>
      </c>
      <c r="G286" s="25">
        <v>99</v>
      </c>
      <c r="H286" s="27">
        <v>2.7</v>
      </c>
      <c r="I286" s="21" t="str">
        <f t="shared" si="16"/>
        <v>Cumple</v>
      </c>
      <c r="J286" s="22" t="str">
        <f t="shared" si="17"/>
        <v>BONO</v>
      </c>
      <c r="K286" s="23" t="str">
        <f t="shared" si="18"/>
        <v>OK</v>
      </c>
      <c r="L286" s="24" t="str">
        <f t="shared" si="19"/>
        <v>Bueno</v>
      </c>
    </row>
    <row r="287" spans="1:12" ht="18" customHeight="1" x14ac:dyDescent="0.3">
      <c r="A287" s="18" t="s">
        <v>621</v>
      </c>
      <c r="B287" s="5" t="s">
        <v>622</v>
      </c>
      <c r="C287" s="18" t="s">
        <v>71</v>
      </c>
      <c r="D287" s="18" t="s">
        <v>68</v>
      </c>
      <c r="E287" s="6">
        <v>9500000</v>
      </c>
      <c r="F287" s="19">
        <v>0.52</v>
      </c>
      <c r="G287" s="18">
        <v>58</v>
      </c>
      <c r="H287" s="20">
        <v>16.7</v>
      </c>
      <c r="I287" s="21" t="str">
        <f t="shared" si="16"/>
        <v>No cumple</v>
      </c>
      <c r="J287" s="22" t="str">
        <f t="shared" si="17"/>
        <v>Sin bono</v>
      </c>
      <c r="K287" s="23" t="str">
        <f t="shared" si="18"/>
        <v>ALERTA</v>
      </c>
      <c r="L287" s="24" t="str">
        <f t="shared" si="19"/>
        <v>Revisar</v>
      </c>
    </row>
    <row r="288" spans="1:12" ht="18" customHeight="1" x14ac:dyDescent="0.3">
      <c r="A288" s="25" t="s">
        <v>623</v>
      </c>
      <c r="B288" s="8" t="s">
        <v>624</v>
      </c>
      <c r="C288" s="25" t="s">
        <v>77</v>
      </c>
      <c r="D288" s="25" t="s">
        <v>68</v>
      </c>
      <c r="E288" s="9">
        <v>9600000</v>
      </c>
      <c r="F288" s="26">
        <v>0.66</v>
      </c>
      <c r="G288" s="25">
        <v>59</v>
      </c>
      <c r="H288" s="27">
        <v>5</v>
      </c>
      <c r="I288" s="21" t="str">
        <f t="shared" si="16"/>
        <v>No cumple</v>
      </c>
      <c r="J288" s="22" t="str">
        <f t="shared" si="17"/>
        <v>Sin bono</v>
      </c>
      <c r="K288" s="23" t="str">
        <f t="shared" si="18"/>
        <v>OK</v>
      </c>
      <c r="L288" s="24" t="str">
        <f t="shared" si="19"/>
        <v>Revisar</v>
      </c>
    </row>
    <row r="289" spans="1:12" ht="18" customHeight="1" x14ac:dyDescent="0.3">
      <c r="A289" s="18" t="s">
        <v>625</v>
      </c>
      <c r="B289" s="5" t="s">
        <v>626</v>
      </c>
      <c r="C289" s="18" t="s">
        <v>74</v>
      </c>
      <c r="D289" s="18" t="s">
        <v>64</v>
      </c>
      <c r="E289" s="6">
        <v>11200000</v>
      </c>
      <c r="F289" s="19">
        <v>0.68</v>
      </c>
      <c r="G289" s="18">
        <v>32</v>
      </c>
      <c r="H289" s="20">
        <v>4.8</v>
      </c>
      <c r="I289" s="21" t="str">
        <f t="shared" si="16"/>
        <v>No cumple</v>
      </c>
      <c r="J289" s="22" t="str">
        <f t="shared" si="17"/>
        <v>Sin bono</v>
      </c>
      <c r="K289" s="23" t="str">
        <f t="shared" si="18"/>
        <v>ALERTA</v>
      </c>
      <c r="L289" s="24" t="str">
        <f t="shared" si="19"/>
        <v>Revisar</v>
      </c>
    </row>
    <row r="290" spans="1:12" ht="18" customHeight="1" x14ac:dyDescent="0.3">
      <c r="A290" s="25" t="s">
        <v>627</v>
      </c>
      <c r="B290" s="8" t="s">
        <v>628</v>
      </c>
      <c r="C290" s="25" t="s">
        <v>91</v>
      </c>
      <c r="D290" s="25" t="s">
        <v>105</v>
      </c>
      <c r="E290" s="9">
        <v>10400000</v>
      </c>
      <c r="F290" s="26">
        <v>0.82</v>
      </c>
      <c r="G290" s="25">
        <v>36</v>
      </c>
      <c r="H290" s="27">
        <v>4.9000000000000004</v>
      </c>
      <c r="I290" s="21" t="str">
        <f t="shared" si="16"/>
        <v>Cumple</v>
      </c>
      <c r="J290" s="22" t="str">
        <f t="shared" si="17"/>
        <v>Sin bono</v>
      </c>
      <c r="K290" s="23" t="str">
        <f t="shared" si="18"/>
        <v>ALERTA</v>
      </c>
      <c r="L290" s="24" t="str">
        <f t="shared" si="19"/>
        <v>Revisar</v>
      </c>
    </row>
    <row r="291" spans="1:12" ht="18" customHeight="1" x14ac:dyDescent="0.3">
      <c r="A291" s="18" t="s">
        <v>629</v>
      </c>
      <c r="B291" s="5" t="s">
        <v>630</v>
      </c>
      <c r="C291" s="18" t="s">
        <v>77</v>
      </c>
      <c r="D291" s="18" t="s">
        <v>60</v>
      </c>
      <c r="E291" s="6">
        <v>9700000</v>
      </c>
      <c r="F291" s="19">
        <v>0.56999999999999995</v>
      </c>
      <c r="G291" s="18">
        <v>37</v>
      </c>
      <c r="H291" s="20">
        <v>2.8</v>
      </c>
      <c r="I291" s="21" t="str">
        <f t="shared" si="16"/>
        <v>No cumple</v>
      </c>
      <c r="J291" s="22" t="str">
        <f t="shared" si="17"/>
        <v>Sin bono</v>
      </c>
      <c r="K291" s="23" t="str">
        <f t="shared" si="18"/>
        <v>ALERTA</v>
      </c>
      <c r="L291" s="24" t="str">
        <f t="shared" si="19"/>
        <v>Revisar</v>
      </c>
    </row>
    <row r="292" spans="1:12" ht="18" customHeight="1" x14ac:dyDescent="0.3">
      <c r="A292" s="25" t="s">
        <v>631</v>
      </c>
      <c r="B292" s="8" t="s">
        <v>632</v>
      </c>
      <c r="C292" s="25" t="s">
        <v>81</v>
      </c>
      <c r="D292" s="25" t="s">
        <v>92</v>
      </c>
      <c r="E292" s="9">
        <v>5800000</v>
      </c>
      <c r="F292" s="26">
        <v>0.62</v>
      </c>
      <c r="G292" s="25">
        <v>48</v>
      </c>
      <c r="H292" s="27">
        <v>19.7</v>
      </c>
      <c r="I292" s="21" t="str">
        <f t="shared" si="16"/>
        <v>No cumple</v>
      </c>
      <c r="J292" s="22" t="str">
        <f t="shared" si="17"/>
        <v>Sin bono</v>
      </c>
      <c r="K292" s="23" t="str">
        <f t="shared" si="18"/>
        <v>ALERTA</v>
      </c>
      <c r="L292" s="24" t="str">
        <f t="shared" si="19"/>
        <v>Revisar</v>
      </c>
    </row>
    <row r="293" spans="1:12" ht="18" customHeight="1" x14ac:dyDescent="0.3">
      <c r="A293" s="18" t="s">
        <v>633</v>
      </c>
      <c r="B293" s="5" t="s">
        <v>634</v>
      </c>
      <c r="C293" s="18" t="s">
        <v>63</v>
      </c>
      <c r="D293" s="18" t="s">
        <v>88</v>
      </c>
      <c r="E293" s="6">
        <v>6300000</v>
      </c>
      <c r="F293" s="19">
        <v>0.48</v>
      </c>
      <c r="G293" s="18">
        <v>52</v>
      </c>
      <c r="H293" s="20">
        <v>12.5</v>
      </c>
      <c r="I293" s="21" t="str">
        <f t="shared" si="16"/>
        <v>No cumple</v>
      </c>
      <c r="J293" s="22" t="str">
        <f t="shared" si="17"/>
        <v>Sin bono</v>
      </c>
      <c r="K293" s="23" t="str">
        <f t="shared" si="18"/>
        <v>ALERTA</v>
      </c>
      <c r="L293" s="24" t="str">
        <f t="shared" si="19"/>
        <v>Revisar</v>
      </c>
    </row>
    <row r="294" spans="1:12" ht="18" customHeight="1" x14ac:dyDescent="0.3">
      <c r="A294" s="25" t="s">
        <v>635</v>
      </c>
      <c r="B294" s="8" t="s">
        <v>636</v>
      </c>
      <c r="C294" s="25" t="s">
        <v>77</v>
      </c>
      <c r="D294" s="25" t="s">
        <v>64</v>
      </c>
      <c r="E294" s="9">
        <v>7200000</v>
      </c>
      <c r="F294" s="26">
        <v>0.97</v>
      </c>
      <c r="G294" s="25">
        <v>78</v>
      </c>
      <c r="H294" s="27">
        <v>15.7</v>
      </c>
      <c r="I294" s="21" t="str">
        <f t="shared" si="16"/>
        <v>Cumple</v>
      </c>
      <c r="J294" s="22" t="str">
        <f t="shared" si="17"/>
        <v>BONO</v>
      </c>
      <c r="K294" s="23" t="str">
        <f t="shared" si="18"/>
        <v>OK</v>
      </c>
      <c r="L294" s="24" t="str">
        <f t="shared" si="19"/>
        <v>Bueno</v>
      </c>
    </row>
    <row r="295" spans="1:12" ht="18" customHeight="1" x14ac:dyDescent="0.3">
      <c r="A295" s="18" t="s">
        <v>637</v>
      </c>
      <c r="B295" s="5" t="s">
        <v>638</v>
      </c>
      <c r="C295" s="18" t="s">
        <v>63</v>
      </c>
      <c r="D295" s="18" t="s">
        <v>68</v>
      </c>
      <c r="E295" s="6">
        <v>4700000</v>
      </c>
      <c r="F295" s="19">
        <v>0.61</v>
      </c>
      <c r="G295" s="18">
        <v>53</v>
      </c>
      <c r="H295" s="20">
        <v>15.1</v>
      </c>
      <c r="I295" s="21" t="str">
        <f t="shared" si="16"/>
        <v>No cumple</v>
      </c>
      <c r="J295" s="22" t="str">
        <f t="shared" si="17"/>
        <v>Sin bono</v>
      </c>
      <c r="K295" s="23" t="str">
        <f t="shared" si="18"/>
        <v>OK</v>
      </c>
      <c r="L295" s="24" t="str">
        <f t="shared" si="19"/>
        <v>Revisar</v>
      </c>
    </row>
    <row r="296" spans="1:12" ht="18" customHeight="1" x14ac:dyDescent="0.3">
      <c r="A296" s="25" t="s">
        <v>639</v>
      </c>
      <c r="B296" s="8" t="s">
        <v>640</v>
      </c>
      <c r="C296" s="25" t="s">
        <v>67</v>
      </c>
      <c r="D296" s="25" t="s">
        <v>88</v>
      </c>
      <c r="E296" s="9">
        <v>11800000</v>
      </c>
      <c r="F296" s="26">
        <v>0.53</v>
      </c>
      <c r="G296" s="25">
        <v>89</v>
      </c>
      <c r="H296" s="27">
        <v>18.3</v>
      </c>
      <c r="I296" s="21" t="str">
        <f t="shared" si="16"/>
        <v>No cumple</v>
      </c>
      <c r="J296" s="22" t="str">
        <f t="shared" si="17"/>
        <v>Sin bono</v>
      </c>
      <c r="K296" s="23" t="str">
        <f t="shared" si="18"/>
        <v>ALERTA</v>
      </c>
      <c r="L296" s="24" t="str">
        <f t="shared" si="19"/>
        <v>Revisar</v>
      </c>
    </row>
    <row r="297" spans="1:12" ht="18" customHeight="1" x14ac:dyDescent="0.3">
      <c r="A297" s="18" t="s">
        <v>641</v>
      </c>
      <c r="B297" s="5" t="s">
        <v>642</v>
      </c>
      <c r="C297" s="18" t="s">
        <v>63</v>
      </c>
      <c r="D297" s="18" t="s">
        <v>114</v>
      </c>
      <c r="E297" s="6">
        <v>7700000</v>
      </c>
      <c r="F297" s="19">
        <v>0.57999999999999996</v>
      </c>
      <c r="G297" s="18">
        <v>56</v>
      </c>
      <c r="H297" s="20">
        <v>6.6</v>
      </c>
      <c r="I297" s="21" t="str">
        <f t="shared" si="16"/>
        <v>No cumple</v>
      </c>
      <c r="J297" s="22" t="str">
        <f t="shared" si="17"/>
        <v>Sin bono</v>
      </c>
      <c r="K297" s="23" t="str">
        <f t="shared" si="18"/>
        <v>ALERTA</v>
      </c>
      <c r="L297" s="24" t="str">
        <f t="shared" si="19"/>
        <v>Revisar</v>
      </c>
    </row>
    <row r="298" spans="1:12" ht="18" customHeight="1" x14ac:dyDescent="0.3">
      <c r="A298" s="25" t="s">
        <v>643</v>
      </c>
      <c r="B298" s="8" t="s">
        <v>644</v>
      </c>
      <c r="C298" s="25" t="s">
        <v>77</v>
      </c>
      <c r="D298" s="25" t="s">
        <v>92</v>
      </c>
      <c r="E298" s="9">
        <v>3900000</v>
      </c>
      <c r="F298" s="26">
        <v>0.74</v>
      </c>
      <c r="G298" s="25">
        <v>54</v>
      </c>
      <c r="H298" s="27">
        <v>1</v>
      </c>
      <c r="I298" s="21" t="str">
        <f t="shared" si="16"/>
        <v>No cumple</v>
      </c>
      <c r="J298" s="22" t="str">
        <f t="shared" si="17"/>
        <v>Sin bono</v>
      </c>
      <c r="K298" s="23" t="str">
        <f t="shared" si="18"/>
        <v>OK</v>
      </c>
      <c r="L298" s="24" t="str">
        <f t="shared" si="19"/>
        <v>Revisar</v>
      </c>
    </row>
    <row r="299" spans="1:12" ht="18" customHeight="1" x14ac:dyDescent="0.3">
      <c r="A299" s="18" t="s">
        <v>645</v>
      </c>
      <c r="B299" s="5" t="s">
        <v>646</v>
      </c>
      <c r="C299" s="18" t="s">
        <v>91</v>
      </c>
      <c r="D299" s="18" t="s">
        <v>78</v>
      </c>
      <c r="E299" s="6">
        <v>5200000</v>
      </c>
      <c r="F299" s="19">
        <v>0.89</v>
      </c>
      <c r="G299" s="18">
        <v>57</v>
      </c>
      <c r="H299" s="20">
        <v>9.6</v>
      </c>
      <c r="I299" s="21" t="str">
        <f t="shared" si="16"/>
        <v>Cumple</v>
      </c>
      <c r="J299" s="22" t="str">
        <f t="shared" si="17"/>
        <v>Sin bono</v>
      </c>
      <c r="K299" s="23" t="str">
        <f t="shared" si="18"/>
        <v>OK</v>
      </c>
      <c r="L299" s="24" t="str">
        <f t="shared" si="19"/>
        <v>Revisar</v>
      </c>
    </row>
    <row r="300" spans="1:12" ht="18" customHeight="1" x14ac:dyDescent="0.3">
      <c r="A300" s="25" t="s">
        <v>647</v>
      </c>
      <c r="B300" s="8" t="s">
        <v>648</v>
      </c>
      <c r="C300" s="25" t="s">
        <v>91</v>
      </c>
      <c r="D300" s="25" t="s">
        <v>60</v>
      </c>
      <c r="E300" s="9">
        <v>5200000</v>
      </c>
      <c r="F300" s="26">
        <v>0.98</v>
      </c>
      <c r="G300" s="25">
        <v>45</v>
      </c>
      <c r="H300" s="27">
        <v>14.9</v>
      </c>
      <c r="I300" s="21" t="str">
        <f t="shared" si="16"/>
        <v>Cumple</v>
      </c>
      <c r="J300" s="22" t="str">
        <f t="shared" si="17"/>
        <v>Sin bono</v>
      </c>
      <c r="K300" s="23" t="str">
        <f t="shared" si="18"/>
        <v>ALERTA</v>
      </c>
      <c r="L300" s="24" t="str">
        <f t="shared" si="19"/>
        <v>Revisar</v>
      </c>
    </row>
    <row r="301" spans="1:12" ht="18" customHeight="1" x14ac:dyDescent="0.3">
      <c r="A301" s="18" t="s">
        <v>649</v>
      </c>
      <c r="B301" s="5" t="s">
        <v>650</v>
      </c>
      <c r="C301" s="18" t="s">
        <v>67</v>
      </c>
      <c r="D301" s="18" t="s">
        <v>60</v>
      </c>
      <c r="E301" s="6">
        <v>7800000</v>
      </c>
      <c r="F301" s="19">
        <v>0.95</v>
      </c>
      <c r="G301" s="18">
        <v>100</v>
      </c>
      <c r="H301" s="20">
        <v>6.4</v>
      </c>
      <c r="I301" s="21" t="str">
        <f t="shared" si="16"/>
        <v>Cumple</v>
      </c>
      <c r="J301" s="22" t="str">
        <f t="shared" si="17"/>
        <v>BONO</v>
      </c>
      <c r="K301" s="23" t="str">
        <f t="shared" si="18"/>
        <v>OK</v>
      </c>
      <c r="L301" s="24" t="str">
        <f t="shared" si="19"/>
        <v>Excelente</v>
      </c>
    </row>
    <row r="302" spans="1:12" ht="18" customHeight="1" x14ac:dyDescent="0.3">
      <c r="A302" s="25" t="s">
        <v>651</v>
      </c>
      <c r="B302" s="8" t="s">
        <v>652</v>
      </c>
      <c r="C302" s="25" t="s">
        <v>77</v>
      </c>
      <c r="D302" s="25" t="s">
        <v>92</v>
      </c>
      <c r="E302" s="9">
        <v>6700000</v>
      </c>
      <c r="F302" s="26">
        <v>0.59</v>
      </c>
      <c r="G302" s="25">
        <v>95</v>
      </c>
      <c r="H302" s="27">
        <v>17.7</v>
      </c>
      <c r="I302" s="21" t="str">
        <f t="shared" si="16"/>
        <v>No cumple</v>
      </c>
      <c r="J302" s="22" t="str">
        <f t="shared" si="17"/>
        <v>Sin bono</v>
      </c>
      <c r="K302" s="23" t="str">
        <f t="shared" si="18"/>
        <v>ALERTA</v>
      </c>
      <c r="L302" s="24" t="str">
        <f t="shared" si="19"/>
        <v>Revisar</v>
      </c>
    </row>
    <row r="303" spans="1:12" ht="18" customHeight="1" x14ac:dyDescent="0.3">
      <c r="A303" s="18" t="s">
        <v>653</v>
      </c>
      <c r="B303" s="5" t="s">
        <v>654</v>
      </c>
      <c r="C303" s="18" t="s">
        <v>77</v>
      </c>
      <c r="D303" s="18" t="s">
        <v>92</v>
      </c>
      <c r="E303" s="6">
        <v>5400000</v>
      </c>
      <c r="F303" s="19">
        <v>0.65</v>
      </c>
      <c r="G303" s="18">
        <v>82</v>
      </c>
      <c r="H303" s="20">
        <v>0.9</v>
      </c>
      <c r="I303" s="21" t="str">
        <f t="shared" si="16"/>
        <v>No cumple</v>
      </c>
      <c r="J303" s="22" t="str">
        <f t="shared" si="17"/>
        <v>Sin bono</v>
      </c>
      <c r="K303" s="23" t="str">
        <f t="shared" si="18"/>
        <v>OK</v>
      </c>
      <c r="L303" s="24" t="str">
        <f t="shared" si="19"/>
        <v>Revisar</v>
      </c>
    </row>
    <row r="304" spans="1:12" ht="18" customHeight="1" x14ac:dyDescent="0.3">
      <c r="A304" s="25" t="s">
        <v>655</v>
      </c>
      <c r="B304" s="8" t="s">
        <v>656</v>
      </c>
      <c r="C304" s="25" t="s">
        <v>71</v>
      </c>
      <c r="D304" s="25" t="s">
        <v>64</v>
      </c>
      <c r="E304" s="9">
        <v>6100000</v>
      </c>
      <c r="F304" s="26">
        <v>0.75</v>
      </c>
      <c r="G304" s="25">
        <v>83</v>
      </c>
      <c r="H304" s="27">
        <v>5.9</v>
      </c>
      <c r="I304" s="21" t="str">
        <f t="shared" si="16"/>
        <v>No cumple</v>
      </c>
      <c r="J304" s="22" t="str">
        <f t="shared" si="17"/>
        <v>Sin bono</v>
      </c>
      <c r="K304" s="23" t="str">
        <f t="shared" si="18"/>
        <v>OK</v>
      </c>
      <c r="L304" s="24" t="str">
        <f t="shared" si="19"/>
        <v>Revisar</v>
      </c>
    </row>
    <row r="305" spans="1:12" ht="18" customHeight="1" x14ac:dyDescent="0.3">
      <c r="A305" s="18" t="s">
        <v>657</v>
      </c>
      <c r="B305" s="5" t="s">
        <v>658</v>
      </c>
      <c r="C305" s="18" t="s">
        <v>67</v>
      </c>
      <c r="D305" s="18" t="s">
        <v>68</v>
      </c>
      <c r="E305" s="6">
        <v>10000000</v>
      </c>
      <c r="F305" s="19">
        <v>0.91</v>
      </c>
      <c r="G305" s="18">
        <v>93</v>
      </c>
      <c r="H305" s="20">
        <v>11</v>
      </c>
      <c r="I305" s="21" t="str">
        <f t="shared" si="16"/>
        <v>Cumple</v>
      </c>
      <c r="J305" s="22" t="str">
        <f t="shared" si="17"/>
        <v>BONO</v>
      </c>
      <c r="K305" s="23" t="str">
        <f t="shared" si="18"/>
        <v>OK</v>
      </c>
      <c r="L305" s="24" t="str">
        <f t="shared" si="19"/>
        <v>Excelente</v>
      </c>
    </row>
    <row r="306" spans="1:12" ht="18" customHeight="1" x14ac:dyDescent="0.3">
      <c r="A306" s="25" t="s">
        <v>659</v>
      </c>
      <c r="B306" s="8" t="s">
        <v>660</v>
      </c>
      <c r="C306" s="25" t="s">
        <v>77</v>
      </c>
      <c r="D306" s="25" t="s">
        <v>105</v>
      </c>
      <c r="E306" s="9">
        <v>8600000</v>
      </c>
      <c r="F306" s="26">
        <v>0.54</v>
      </c>
      <c r="G306" s="25">
        <v>75</v>
      </c>
      <c r="H306" s="27">
        <v>3.4</v>
      </c>
      <c r="I306" s="21" t="str">
        <f t="shared" si="16"/>
        <v>No cumple</v>
      </c>
      <c r="J306" s="22" t="str">
        <f t="shared" si="17"/>
        <v>Sin bono</v>
      </c>
      <c r="K306" s="23" t="str">
        <f t="shared" si="18"/>
        <v>ALERTA</v>
      </c>
      <c r="L306" s="24" t="str">
        <f t="shared" si="19"/>
        <v>Revisar</v>
      </c>
    </row>
    <row r="307" spans="1:12" ht="18" customHeight="1" x14ac:dyDescent="0.3">
      <c r="A307" s="18" t="s">
        <v>661</v>
      </c>
      <c r="B307" s="5" t="s">
        <v>662</v>
      </c>
      <c r="C307" s="18" t="s">
        <v>91</v>
      </c>
      <c r="D307" s="18" t="s">
        <v>64</v>
      </c>
      <c r="E307" s="6">
        <v>3700000</v>
      </c>
      <c r="F307" s="19">
        <v>0.97</v>
      </c>
      <c r="G307" s="18">
        <v>36</v>
      </c>
      <c r="H307" s="20">
        <v>15.3</v>
      </c>
      <c r="I307" s="21" t="str">
        <f t="shared" si="16"/>
        <v>Cumple</v>
      </c>
      <c r="J307" s="22" t="str">
        <f t="shared" si="17"/>
        <v>Sin bono</v>
      </c>
      <c r="K307" s="23" t="str">
        <f t="shared" si="18"/>
        <v>ALERTA</v>
      </c>
      <c r="L307" s="24" t="str">
        <f t="shared" si="19"/>
        <v>Revisar</v>
      </c>
    </row>
    <row r="308" spans="1:12" ht="18" customHeight="1" x14ac:dyDescent="0.3">
      <c r="A308" s="25" t="s">
        <v>663</v>
      </c>
      <c r="B308" s="8" t="s">
        <v>664</v>
      </c>
      <c r="C308" s="25" t="s">
        <v>67</v>
      </c>
      <c r="D308" s="25" t="s">
        <v>78</v>
      </c>
      <c r="E308" s="9">
        <v>11800000</v>
      </c>
      <c r="F308" s="26">
        <v>0.53</v>
      </c>
      <c r="G308" s="25">
        <v>57</v>
      </c>
      <c r="H308" s="27">
        <v>10.1</v>
      </c>
      <c r="I308" s="21" t="str">
        <f t="shared" si="16"/>
        <v>No cumple</v>
      </c>
      <c r="J308" s="22" t="str">
        <f t="shared" si="17"/>
        <v>Sin bono</v>
      </c>
      <c r="K308" s="23" t="str">
        <f t="shared" si="18"/>
        <v>ALERTA</v>
      </c>
      <c r="L308" s="24" t="str">
        <f t="shared" si="19"/>
        <v>Revisar</v>
      </c>
    </row>
    <row r="309" spans="1:12" ht="18" customHeight="1" x14ac:dyDescent="0.3">
      <c r="A309" s="18" t="s">
        <v>665</v>
      </c>
      <c r="B309" s="5" t="s">
        <v>666</v>
      </c>
      <c r="C309" s="18" t="s">
        <v>77</v>
      </c>
      <c r="D309" s="18" t="s">
        <v>105</v>
      </c>
      <c r="E309" s="6">
        <v>3000000</v>
      </c>
      <c r="F309" s="19">
        <v>0.45</v>
      </c>
      <c r="G309" s="18">
        <v>100</v>
      </c>
      <c r="H309" s="20">
        <v>8.1999999999999993</v>
      </c>
      <c r="I309" s="21" t="str">
        <f t="shared" si="16"/>
        <v>No cumple</v>
      </c>
      <c r="J309" s="22" t="str">
        <f t="shared" si="17"/>
        <v>Sin bono</v>
      </c>
      <c r="K309" s="23" t="str">
        <f t="shared" si="18"/>
        <v>ALERTA</v>
      </c>
      <c r="L309" s="24" t="str">
        <f t="shared" si="19"/>
        <v>Revisar</v>
      </c>
    </row>
    <row r="310" spans="1:12" ht="18" customHeight="1" x14ac:dyDescent="0.3">
      <c r="A310" s="25" t="s">
        <v>667</v>
      </c>
      <c r="B310" s="8" t="s">
        <v>668</v>
      </c>
      <c r="C310" s="25" t="s">
        <v>59</v>
      </c>
      <c r="D310" s="25" t="s">
        <v>88</v>
      </c>
      <c r="E310" s="9">
        <v>3000000</v>
      </c>
      <c r="F310" s="26">
        <v>0.73</v>
      </c>
      <c r="G310" s="25">
        <v>85</v>
      </c>
      <c r="H310" s="27">
        <v>16.100000000000001</v>
      </c>
      <c r="I310" s="21" t="str">
        <f t="shared" si="16"/>
        <v>No cumple</v>
      </c>
      <c r="J310" s="22" t="str">
        <f t="shared" si="17"/>
        <v>Sin bono</v>
      </c>
      <c r="K310" s="23" t="str">
        <f t="shared" si="18"/>
        <v>OK</v>
      </c>
      <c r="L310" s="24" t="str">
        <f t="shared" si="19"/>
        <v>Revisar</v>
      </c>
    </row>
    <row r="311" spans="1:12" ht="18" customHeight="1" x14ac:dyDescent="0.3">
      <c r="A311" s="18" t="s">
        <v>669</v>
      </c>
      <c r="B311" s="5" t="s">
        <v>670</v>
      </c>
      <c r="C311" s="18" t="s">
        <v>71</v>
      </c>
      <c r="D311" s="18" t="s">
        <v>60</v>
      </c>
      <c r="E311" s="6">
        <v>5200000</v>
      </c>
      <c r="F311" s="19">
        <v>0.79</v>
      </c>
      <c r="G311" s="18">
        <v>62</v>
      </c>
      <c r="H311" s="20">
        <v>16.3</v>
      </c>
      <c r="I311" s="21" t="str">
        <f t="shared" si="16"/>
        <v>No cumple</v>
      </c>
      <c r="J311" s="22" t="str">
        <f t="shared" si="17"/>
        <v>Sin bono</v>
      </c>
      <c r="K311" s="23" t="str">
        <f t="shared" si="18"/>
        <v>OK</v>
      </c>
      <c r="L311" s="24" t="str">
        <f t="shared" si="19"/>
        <v>Revisar</v>
      </c>
    </row>
    <row r="312" spans="1:12" ht="18" customHeight="1" x14ac:dyDescent="0.3">
      <c r="A312" s="25" t="s">
        <v>671</v>
      </c>
      <c r="B312" s="8" t="s">
        <v>672</v>
      </c>
      <c r="C312" s="25" t="s">
        <v>63</v>
      </c>
      <c r="D312" s="25" t="s">
        <v>78</v>
      </c>
      <c r="E312" s="9">
        <v>7500000</v>
      </c>
      <c r="F312" s="26">
        <v>0.98</v>
      </c>
      <c r="G312" s="25">
        <v>88</v>
      </c>
      <c r="H312" s="27">
        <v>11.3</v>
      </c>
      <c r="I312" s="21" t="str">
        <f t="shared" si="16"/>
        <v>Cumple</v>
      </c>
      <c r="J312" s="22" t="str">
        <f t="shared" si="17"/>
        <v>BONO</v>
      </c>
      <c r="K312" s="23" t="str">
        <f t="shared" si="18"/>
        <v>OK</v>
      </c>
      <c r="L312" s="24" t="str">
        <f t="shared" si="19"/>
        <v>Excelente</v>
      </c>
    </row>
    <row r="313" spans="1:12" ht="18" customHeight="1" x14ac:dyDescent="0.3">
      <c r="A313" s="18" t="s">
        <v>673</v>
      </c>
      <c r="B313" s="5" t="s">
        <v>674</v>
      </c>
      <c r="C313" s="18" t="s">
        <v>91</v>
      </c>
      <c r="D313" s="18" t="s">
        <v>78</v>
      </c>
      <c r="E313" s="6">
        <v>7900000</v>
      </c>
      <c r="F313" s="19">
        <v>0.66</v>
      </c>
      <c r="G313" s="18">
        <v>100</v>
      </c>
      <c r="H313" s="20">
        <v>9.5</v>
      </c>
      <c r="I313" s="21" t="str">
        <f t="shared" si="16"/>
        <v>No cumple</v>
      </c>
      <c r="J313" s="22" t="str">
        <f t="shared" si="17"/>
        <v>Sin bono</v>
      </c>
      <c r="K313" s="23" t="str">
        <f t="shared" si="18"/>
        <v>OK</v>
      </c>
      <c r="L313" s="24" t="str">
        <f t="shared" si="19"/>
        <v>Revisar</v>
      </c>
    </row>
    <row r="314" spans="1:12" ht="18" customHeight="1" x14ac:dyDescent="0.3">
      <c r="A314" s="25" t="s">
        <v>675</v>
      </c>
      <c r="B314" s="8" t="s">
        <v>676</v>
      </c>
      <c r="C314" s="25" t="s">
        <v>77</v>
      </c>
      <c r="D314" s="25" t="s">
        <v>68</v>
      </c>
      <c r="E314" s="9">
        <v>11000000</v>
      </c>
      <c r="F314" s="26">
        <v>0.88</v>
      </c>
      <c r="G314" s="25">
        <v>42</v>
      </c>
      <c r="H314" s="27">
        <v>17.899999999999999</v>
      </c>
      <c r="I314" s="21" t="str">
        <f t="shared" si="16"/>
        <v>Cumple</v>
      </c>
      <c r="J314" s="22" t="str">
        <f t="shared" si="17"/>
        <v>Sin bono</v>
      </c>
      <c r="K314" s="23" t="str">
        <f t="shared" si="18"/>
        <v>ALERTA</v>
      </c>
      <c r="L314" s="24" t="str">
        <f t="shared" si="19"/>
        <v>Revisar</v>
      </c>
    </row>
    <row r="315" spans="1:12" ht="18" customHeight="1" x14ac:dyDescent="0.3">
      <c r="A315" s="18" t="s">
        <v>677</v>
      </c>
      <c r="B315" s="5" t="s">
        <v>678</v>
      </c>
      <c r="C315" s="18" t="s">
        <v>77</v>
      </c>
      <c r="D315" s="18" t="s">
        <v>88</v>
      </c>
      <c r="E315" s="6">
        <v>3300000</v>
      </c>
      <c r="F315" s="19">
        <v>0.96</v>
      </c>
      <c r="G315" s="18">
        <v>65</v>
      </c>
      <c r="H315" s="20">
        <v>18</v>
      </c>
      <c r="I315" s="21" t="str">
        <f t="shared" si="16"/>
        <v>Cumple</v>
      </c>
      <c r="J315" s="22" t="str">
        <f t="shared" si="17"/>
        <v>Sin bono</v>
      </c>
      <c r="K315" s="23" t="str">
        <f t="shared" si="18"/>
        <v>OK</v>
      </c>
      <c r="L315" s="24" t="str">
        <f t="shared" si="19"/>
        <v>Revisar</v>
      </c>
    </row>
    <row r="316" spans="1:12" ht="18" customHeight="1" x14ac:dyDescent="0.3">
      <c r="A316" s="25" t="s">
        <v>679</v>
      </c>
      <c r="B316" s="8" t="s">
        <v>680</v>
      </c>
      <c r="C316" s="25" t="s">
        <v>81</v>
      </c>
      <c r="D316" s="25" t="s">
        <v>64</v>
      </c>
      <c r="E316" s="9">
        <v>5400000</v>
      </c>
      <c r="F316" s="26">
        <v>0.77</v>
      </c>
      <c r="G316" s="25">
        <v>80</v>
      </c>
      <c r="H316" s="27">
        <v>18.600000000000001</v>
      </c>
      <c r="I316" s="21" t="str">
        <f t="shared" si="16"/>
        <v>No cumple</v>
      </c>
      <c r="J316" s="22" t="str">
        <f t="shared" si="17"/>
        <v>Sin bono</v>
      </c>
      <c r="K316" s="23" t="str">
        <f t="shared" si="18"/>
        <v>OK</v>
      </c>
      <c r="L316" s="24" t="str">
        <f t="shared" si="19"/>
        <v>Revisar</v>
      </c>
    </row>
    <row r="317" spans="1:12" ht="18" customHeight="1" x14ac:dyDescent="0.3">
      <c r="A317" s="18" t="s">
        <v>681</v>
      </c>
      <c r="B317" s="5" t="s">
        <v>682</v>
      </c>
      <c r="C317" s="18" t="s">
        <v>63</v>
      </c>
      <c r="D317" s="18" t="s">
        <v>92</v>
      </c>
      <c r="E317" s="6">
        <v>7700000</v>
      </c>
      <c r="F317" s="19">
        <v>0.87</v>
      </c>
      <c r="G317" s="18">
        <v>47</v>
      </c>
      <c r="H317" s="20">
        <v>15.8</v>
      </c>
      <c r="I317" s="21" t="str">
        <f t="shared" si="16"/>
        <v>Cumple</v>
      </c>
      <c r="J317" s="22" t="str">
        <f t="shared" si="17"/>
        <v>Sin bono</v>
      </c>
      <c r="K317" s="23" t="str">
        <f t="shared" si="18"/>
        <v>ALERTA</v>
      </c>
      <c r="L317" s="24" t="str">
        <f t="shared" si="19"/>
        <v>Revisar</v>
      </c>
    </row>
    <row r="318" spans="1:12" ht="18" customHeight="1" x14ac:dyDescent="0.3">
      <c r="A318" s="25" t="s">
        <v>683</v>
      </c>
      <c r="B318" s="8" t="s">
        <v>684</v>
      </c>
      <c r="C318" s="25" t="s">
        <v>74</v>
      </c>
      <c r="D318" s="25" t="s">
        <v>68</v>
      </c>
      <c r="E318" s="9">
        <v>5700000</v>
      </c>
      <c r="F318" s="26">
        <v>0.91</v>
      </c>
      <c r="G318" s="25">
        <v>73</v>
      </c>
      <c r="H318" s="27">
        <v>12.1</v>
      </c>
      <c r="I318" s="21" t="str">
        <f t="shared" si="16"/>
        <v>Cumple</v>
      </c>
      <c r="J318" s="22" t="str">
        <f t="shared" si="17"/>
        <v>BONO</v>
      </c>
      <c r="K318" s="23" t="str">
        <f t="shared" si="18"/>
        <v>OK</v>
      </c>
      <c r="L318" s="24" t="str">
        <f t="shared" si="19"/>
        <v>Bueno</v>
      </c>
    </row>
    <row r="319" spans="1:12" ht="18" customHeight="1" x14ac:dyDescent="0.3">
      <c r="A319" s="18" t="s">
        <v>685</v>
      </c>
      <c r="B319" s="5" t="s">
        <v>686</v>
      </c>
      <c r="C319" s="18" t="s">
        <v>63</v>
      </c>
      <c r="D319" s="18" t="s">
        <v>92</v>
      </c>
      <c r="E319" s="6">
        <v>3100000</v>
      </c>
      <c r="F319" s="19">
        <v>0.8</v>
      </c>
      <c r="G319" s="18">
        <v>87</v>
      </c>
      <c r="H319" s="20">
        <v>9.8000000000000007</v>
      </c>
      <c r="I319" s="21" t="str">
        <f t="shared" si="16"/>
        <v>Cumple</v>
      </c>
      <c r="J319" s="22" t="str">
        <f t="shared" si="17"/>
        <v>BONO</v>
      </c>
      <c r="K319" s="23" t="str">
        <f t="shared" si="18"/>
        <v>OK</v>
      </c>
      <c r="L319" s="24" t="str">
        <f t="shared" si="19"/>
        <v>Bueno</v>
      </c>
    </row>
    <row r="320" spans="1:12" ht="18" customHeight="1" x14ac:dyDescent="0.3">
      <c r="A320" s="25" t="s">
        <v>687</v>
      </c>
      <c r="B320" s="8" t="s">
        <v>688</v>
      </c>
      <c r="C320" s="25" t="s">
        <v>63</v>
      </c>
      <c r="D320" s="25" t="s">
        <v>68</v>
      </c>
      <c r="E320" s="9">
        <v>5100000</v>
      </c>
      <c r="F320" s="26">
        <v>0.82</v>
      </c>
      <c r="G320" s="25">
        <v>78</v>
      </c>
      <c r="H320" s="27">
        <v>1.7</v>
      </c>
      <c r="I320" s="21" t="str">
        <f t="shared" si="16"/>
        <v>Cumple</v>
      </c>
      <c r="J320" s="22" t="str">
        <f t="shared" si="17"/>
        <v>BONO</v>
      </c>
      <c r="K320" s="23" t="str">
        <f t="shared" si="18"/>
        <v>OK</v>
      </c>
      <c r="L320" s="24" t="str">
        <f t="shared" si="19"/>
        <v>Bueno</v>
      </c>
    </row>
    <row r="321" spans="1:12" ht="18" customHeight="1" x14ac:dyDescent="0.3">
      <c r="A321" s="18" t="s">
        <v>689</v>
      </c>
      <c r="B321" s="5" t="s">
        <v>690</v>
      </c>
      <c r="C321" s="18" t="s">
        <v>74</v>
      </c>
      <c r="D321" s="18" t="s">
        <v>78</v>
      </c>
      <c r="E321" s="6">
        <v>6200000</v>
      </c>
      <c r="F321" s="19">
        <v>0.53</v>
      </c>
      <c r="G321" s="18">
        <v>49</v>
      </c>
      <c r="H321" s="20">
        <v>14.8</v>
      </c>
      <c r="I321" s="21" t="str">
        <f t="shared" si="16"/>
        <v>No cumple</v>
      </c>
      <c r="J321" s="22" t="str">
        <f t="shared" si="17"/>
        <v>Sin bono</v>
      </c>
      <c r="K321" s="23" t="str">
        <f t="shared" si="18"/>
        <v>ALERTA</v>
      </c>
      <c r="L321" s="24" t="str">
        <f t="shared" si="19"/>
        <v>Revisar</v>
      </c>
    </row>
    <row r="322" spans="1:12" ht="18" customHeight="1" x14ac:dyDescent="0.3">
      <c r="A322" s="25" t="s">
        <v>691</v>
      </c>
      <c r="B322" s="8" t="s">
        <v>692</v>
      </c>
      <c r="C322" s="25" t="s">
        <v>74</v>
      </c>
      <c r="D322" s="25" t="s">
        <v>78</v>
      </c>
      <c r="E322" s="9">
        <v>2800000</v>
      </c>
      <c r="F322" s="26">
        <v>0.97</v>
      </c>
      <c r="G322" s="25">
        <v>86</v>
      </c>
      <c r="H322" s="27">
        <v>7.2</v>
      </c>
      <c r="I322" s="21" t="str">
        <f t="shared" si="16"/>
        <v>Cumple</v>
      </c>
      <c r="J322" s="22" t="str">
        <f t="shared" si="17"/>
        <v>BONO</v>
      </c>
      <c r="K322" s="23" t="str">
        <f t="shared" si="18"/>
        <v>OK</v>
      </c>
      <c r="L322" s="24" t="str">
        <f t="shared" si="19"/>
        <v>Excelente</v>
      </c>
    </row>
    <row r="323" spans="1:12" ht="18" customHeight="1" x14ac:dyDescent="0.3">
      <c r="A323" s="18" t="s">
        <v>693</v>
      </c>
      <c r="B323" s="5" t="s">
        <v>694</v>
      </c>
      <c r="C323" s="18" t="s">
        <v>71</v>
      </c>
      <c r="D323" s="18" t="s">
        <v>78</v>
      </c>
      <c r="E323" s="6">
        <v>5100000</v>
      </c>
      <c r="F323" s="19">
        <v>0.69</v>
      </c>
      <c r="G323" s="18">
        <v>95</v>
      </c>
      <c r="H323" s="20">
        <v>8.1999999999999993</v>
      </c>
      <c r="I323" s="21" t="str">
        <f t="shared" si="16"/>
        <v>No cumple</v>
      </c>
      <c r="J323" s="22" t="str">
        <f t="shared" si="17"/>
        <v>Sin bono</v>
      </c>
      <c r="K323" s="23" t="str">
        <f t="shared" si="18"/>
        <v>OK</v>
      </c>
      <c r="L323" s="24" t="str">
        <f t="shared" si="19"/>
        <v>Revisar</v>
      </c>
    </row>
    <row r="324" spans="1:12" ht="18" customHeight="1" x14ac:dyDescent="0.3">
      <c r="A324" s="25" t="s">
        <v>695</v>
      </c>
      <c r="B324" s="8" t="s">
        <v>696</v>
      </c>
      <c r="C324" s="25" t="s">
        <v>81</v>
      </c>
      <c r="D324" s="25" t="s">
        <v>78</v>
      </c>
      <c r="E324" s="9">
        <v>10400000</v>
      </c>
      <c r="F324" s="26">
        <v>0.78</v>
      </c>
      <c r="G324" s="25">
        <v>71</v>
      </c>
      <c r="H324" s="27">
        <v>17.3</v>
      </c>
      <c r="I324" s="21" t="str">
        <f t="shared" si="16"/>
        <v>No cumple</v>
      </c>
      <c r="J324" s="22" t="str">
        <f t="shared" si="17"/>
        <v>Sin bono</v>
      </c>
      <c r="K324" s="23" t="str">
        <f t="shared" si="18"/>
        <v>OK</v>
      </c>
      <c r="L324" s="24" t="str">
        <f t="shared" si="19"/>
        <v>Revisar</v>
      </c>
    </row>
    <row r="325" spans="1:12" ht="18" customHeight="1" x14ac:dyDescent="0.3">
      <c r="A325" s="18" t="s">
        <v>697</v>
      </c>
      <c r="B325" s="5" t="s">
        <v>698</v>
      </c>
      <c r="C325" s="18" t="s">
        <v>74</v>
      </c>
      <c r="D325" s="18" t="s">
        <v>60</v>
      </c>
      <c r="E325" s="6">
        <v>10100000</v>
      </c>
      <c r="F325" s="19">
        <v>0.74</v>
      </c>
      <c r="G325" s="18">
        <v>78</v>
      </c>
      <c r="H325" s="20">
        <v>3.4</v>
      </c>
      <c r="I325" s="21" t="str">
        <f t="shared" si="16"/>
        <v>No cumple</v>
      </c>
      <c r="J325" s="22" t="str">
        <f t="shared" si="17"/>
        <v>Sin bono</v>
      </c>
      <c r="K325" s="23" t="str">
        <f t="shared" si="18"/>
        <v>OK</v>
      </c>
      <c r="L325" s="24" t="str">
        <f t="shared" si="19"/>
        <v>Revisar</v>
      </c>
    </row>
    <row r="326" spans="1:12" ht="18" customHeight="1" x14ac:dyDescent="0.3">
      <c r="A326" s="25" t="s">
        <v>699</v>
      </c>
      <c r="B326" s="8" t="s">
        <v>700</v>
      </c>
      <c r="C326" s="25" t="s">
        <v>59</v>
      </c>
      <c r="D326" s="25" t="s">
        <v>105</v>
      </c>
      <c r="E326" s="9">
        <v>4600000</v>
      </c>
      <c r="F326" s="26">
        <v>0.48</v>
      </c>
      <c r="G326" s="25">
        <v>85</v>
      </c>
      <c r="H326" s="27">
        <v>5.5</v>
      </c>
      <c r="I326" s="21" t="str">
        <f t="shared" si="16"/>
        <v>No cumple</v>
      </c>
      <c r="J326" s="22" t="str">
        <f t="shared" si="17"/>
        <v>Sin bono</v>
      </c>
      <c r="K326" s="23" t="str">
        <f t="shared" si="18"/>
        <v>ALERTA</v>
      </c>
      <c r="L326" s="24" t="str">
        <f t="shared" si="19"/>
        <v>Revisar</v>
      </c>
    </row>
    <row r="327" spans="1:12" ht="18" customHeight="1" x14ac:dyDescent="0.3">
      <c r="A327" s="18" t="s">
        <v>701</v>
      </c>
      <c r="B327" s="5" t="s">
        <v>702</v>
      </c>
      <c r="C327" s="18" t="s">
        <v>74</v>
      </c>
      <c r="D327" s="18" t="s">
        <v>92</v>
      </c>
      <c r="E327" s="6">
        <v>6000000</v>
      </c>
      <c r="F327" s="19">
        <v>0.97</v>
      </c>
      <c r="G327" s="18">
        <v>93</v>
      </c>
      <c r="H327" s="20">
        <v>11.9</v>
      </c>
      <c r="I327" s="21" t="str">
        <f t="shared" si="16"/>
        <v>Cumple</v>
      </c>
      <c r="J327" s="22" t="str">
        <f t="shared" si="17"/>
        <v>BONO</v>
      </c>
      <c r="K327" s="23" t="str">
        <f t="shared" si="18"/>
        <v>OK</v>
      </c>
      <c r="L327" s="24" t="str">
        <f t="shared" si="19"/>
        <v>Excelente</v>
      </c>
    </row>
    <row r="328" spans="1:12" ht="18" customHeight="1" x14ac:dyDescent="0.3">
      <c r="A328" s="25" t="s">
        <v>703</v>
      </c>
      <c r="B328" s="8" t="s">
        <v>704</v>
      </c>
      <c r="C328" s="25" t="s">
        <v>74</v>
      </c>
      <c r="D328" s="25" t="s">
        <v>114</v>
      </c>
      <c r="E328" s="9">
        <v>6600000</v>
      </c>
      <c r="F328" s="26">
        <v>0.45</v>
      </c>
      <c r="G328" s="25">
        <v>80</v>
      </c>
      <c r="H328" s="27">
        <v>6.6</v>
      </c>
      <c r="I328" s="21" t="str">
        <f t="shared" si="16"/>
        <v>No cumple</v>
      </c>
      <c r="J328" s="22" t="str">
        <f t="shared" si="17"/>
        <v>Sin bono</v>
      </c>
      <c r="K328" s="23" t="str">
        <f t="shared" si="18"/>
        <v>ALERTA</v>
      </c>
      <c r="L328" s="24" t="str">
        <f t="shared" si="19"/>
        <v>Revisar</v>
      </c>
    </row>
    <row r="329" spans="1:12" ht="18" customHeight="1" x14ac:dyDescent="0.3">
      <c r="A329" s="18" t="s">
        <v>705</v>
      </c>
      <c r="B329" s="5" t="s">
        <v>706</v>
      </c>
      <c r="C329" s="18" t="s">
        <v>81</v>
      </c>
      <c r="D329" s="18" t="s">
        <v>105</v>
      </c>
      <c r="E329" s="6">
        <v>7000000</v>
      </c>
      <c r="F329" s="19">
        <v>0.69</v>
      </c>
      <c r="G329" s="18">
        <v>47</v>
      </c>
      <c r="H329" s="20">
        <v>6</v>
      </c>
      <c r="I329" s="21" t="str">
        <f t="shared" si="16"/>
        <v>No cumple</v>
      </c>
      <c r="J329" s="22" t="str">
        <f t="shared" si="17"/>
        <v>Sin bono</v>
      </c>
      <c r="K329" s="23" t="str">
        <f t="shared" si="18"/>
        <v>ALERTA</v>
      </c>
      <c r="L329" s="24" t="str">
        <f t="shared" si="19"/>
        <v>Revisar</v>
      </c>
    </row>
    <row r="330" spans="1:12" ht="18" customHeight="1" x14ac:dyDescent="0.3">
      <c r="A330" s="25" t="s">
        <v>707</v>
      </c>
      <c r="B330" s="8" t="s">
        <v>708</v>
      </c>
      <c r="C330" s="25" t="s">
        <v>81</v>
      </c>
      <c r="D330" s="25" t="s">
        <v>114</v>
      </c>
      <c r="E330" s="9">
        <v>7800000</v>
      </c>
      <c r="F330" s="26">
        <v>0.98</v>
      </c>
      <c r="G330" s="25">
        <v>67</v>
      </c>
      <c r="H330" s="27">
        <v>14.7</v>
      </c>
      <c r="I330" s="21" t="str">
        <f t="shared" si="16"/>
        <v>Cumple</v>
      </c>
      <c r="J330" s="22" t="str">
        <f t="shared" si="17"/>
        <v>Sin bono</v>
      </c>
      <c r="K330" s="23" t="str">
        <f t="shared" si="18"/>
        <v>OK</v>
      </c>
      <c r="L330" s="24" t="str">
        <f t="shared" si="19"/>
        <v>Revisar</v>
      </c>
    </row>
    <row r="331" spans="1:12" ht="18" customHeight="1" x14ac:dyDescent="0.3">
      <c r="A331" s="18" t="s">
        <v>709</v>
      </c>
      <c r="B331" s="5" t="s">
        <v>710</v>
      </c>
      <c r="C331" s="18" t="s">
        <v>67</v>
      </c>
      <c r="D331" s="18" t="s">
        <v>92</v>
      </c>
      <c r="E331" s="6">
        <v>7600000</v>
      </c>
      <c r="F331" s="19">
        <v>0.6</v>
      </c>
      <c r="G331" s="18">
        <v>80</v>
      </c>
      <c r="H331" s="20">
        <v>7.3</v>
      </c>
      <c r="I331" s="21" t="str">
        <f t="shared" si="16"/>
        <v>No cumple</v>
      </c>
      <c r="J331" s="22" t="str">
        <f t="shared" si="17"/>
        <v>Sin bono</v>
      </c>
      <c r="K331" s="23" t="str">
        <f t="shared" si="18"/>
        <v>OK</v>
      </c>
      <c r="L331" s="24" t="str">
        <f t="shared" si="19"/>
        <v>Revisar</v>
      </c>
    </row>
    <row r="332" spans="1:12" ht="18" customHeight="1" x14ac:dyDescent="0.3">
      <c r="A332" s="25" t="s">
        <v>711</v>
      </c>
      <c r="B332" s="8" t="s">
        <v>712</v>
      </c>
      <c r="C332" s="25" t="s">
        <v>91</v>
      </c>
      <c r="D332" s="25" t="s">
        <v>105</v>
      </c>
      <c r="E332" s="9">
        <v>11800000</v>
      </c>
      <c r="F332" s="26">
        <v>0.56999999999999995</v>
      </c>
      <c r="G332" s="25">
        <v>67</v>
      </c>
      <c r="H332" s="27">
        <v>16.600000000000001</v>
      </c>
      <c r="I332" s="21" t="str">
        <f t="shared" si="16"/>
        <v>No cumple</v>
      </c>
      <c r="J332" s="22" t="str">
        <f t="shared" si="17"/>
        <v>Sin bono</v>
      </c>
      <c r="K332" s="23" t="str">
        <f t="shared" si="18"/>
        <v>ALERTA</v>
      </c>
      <c r="L332" s="24" t="str">
        <f t="shared" si="19"/>
        <v>Revisar</v>
      </c>
    </row>
    <row r="333" spans="1:12" ht="18" customHeight="1" x14ac:dyDescent="0.3">
      <c r="A333" s="18" t="s">
        <v>713</v>
      </c>
      <c r="B333" s="5" t="s">
        <v>714</v>
      </c>
      <c r="C333" s="18" t="s">
        <v>63</v>
      </c>
      <c r="D333" s="18" t="s">
        <v>105</v>
      </c>
      <c r="E333" s="6">
        <v>4500000</v>
      </c>
      <c r="F333" s="19">
        <v>0.8</v>
      </c>
      <c r="G333" s="18">
        <v>60</v>
      </c>
      <c r="H333" s="20">
        <v>5.0999999999999996</v>
      </c>
      <c r="I333" s="21" t="str">
        <f t="shared" ref="I333:I396" si="20">IF(F333&gt;=0.8,"Cumple","No cumple")</f>
        <v>Cumple</v>
      </c>
      <c r="J333" s="22" t="str">
        <f t="shared" ref="J333:J396" si="21">IF(AND(F333&gt;=0.8,G333&gt;=70),"BONO","Sin bono")</f>
        <v>Sin bono</v>
      </c>
      <c r="K333" s="23" t="str">
        <f t="shared" ref="K333:K396" si="22">IF(OR(F333&lt;0.6,G333&lt;50),"ALERTA","OK")</f>
        <v>OK</v>
      </c>
      <c r="L333" s="24" t="str">
        <f t="shared" ref="L333:L396" si="23">IF(AND(F333&gt;=0.9,G333&gt;=85),"Excelente",IF(AND(F333&gt;=0.8,G333&gt;=70),"Bueno","Revisar"))</f>
        <v>Revisar</v>
      </c>
    </row>
    <row r="334" spans="1:12" ht="18" customHeight="1" x14ac:dyDescent="0.3">
      <c r="A334" s="25" t="s">
        <v>715</v>
      </c>
      <c r="B334" s="8" t="s">
        <v>716</v>
      </c>
      <c r="C334" s="25" t="s">
        <v>63</v>
      </c>
      <c r="D334" s="25" t="s">
        <v>68</v>
      </c>
      <c r="E334" s="9">
        <v>3700000</v>
      </c>
      <c r="F334" s="26">
        <v>0.7</v>
      </c>
      <c r="G334" s="25">
        <v>91</v>
      </c>
      <c r="H334" s="27">
        <v>11.6</v>
      </c>
      <c r="I334" s="21" t="str">
        <f t="shared" si="20"/>
        <v>No cumple</v>
      </c>
      <c r="J334" s="22" t="str">
        <f t="shared" si="21"/>
        <v>Sin bono</v>
      </c>
      <c r="K334" s="23" t="str">
        <f t="shared" si="22"/>
        <v>OK</v>
      </c>
      <c r="L334" s="24" t="str">
        <f t="shared" si="23"/>
        <v>Revisar</v>
      </c>
    </row>
    <row r="335" spans="1:12" ht="18" customHeight="1" x14ac:dyDescent="0.3">
      <c r="A335" s="18" t="s">
        <v>717</v>
      </c>
      <c r="B335" s="5" t="s">
        <v>718</v>
      </c>
      <c r="C335" s="18" t="s">
        <v>63</v>
      </c>
      <c r="D335" s="18" t="s">
        <v>64</v>
      </c>
      <c r="E335" s="6">
        <v>7400000</v>
      </c>
      <c r="F335" s="19">
        <v>0.84</v>
      </c>
      <c r="G335" s="18">
        <v>98</v>
      </c>
      <c r="H335" s="20">
        <v>11.9</v>
      </c>
      <c r="I335" s="21" t="str">
        <f t="shared" si="20"/>
        <v>Cumple</v>
      </c>
      <c r="J335" s="22" t="str">
        <f t="shared" si="21"/>
        <v>BONO</v>
      </c>
      <c r="K335" s="23" t="str">
        <f t="shared" si="22"/>
        <v>OK</v>
      </c>
      <c r="L335" s="24" t="str">
        <f t="shared" si="23"/>
        <v>Bueno</v>
      </c>
    </row>
    <row r="336" spans="1:12" ht="18" customHeight="1" x14ac:dyDescent="0.3">
      <c r="A336" s="25" t="s">
        <v>719</v>
      </c>
      <c r="B336" s="8" t="s">
        <v>720</v>
      </c>
      <c r="C336" s="25" t="s">
        <v>67</v>
      </c>
      <c r="D336" s="25" t="s">
        <v>92</v>
      </c>
      <c r="E336" s="9">
        <v>4900000</v>
      </c>
      <c r="F336" s="26">
        <v>0.81</v>
      </c>
      <c r="G336" s="25">
        <v>35</v>
      </c>
      <c r="H336" s="27">
        <v>11.3</v>
      </c>
      <c r="I336" s="21" t="str">
        <f t="shared" si="20"/>
        <v>Cumple</v>
      </c>
      <c r="J336" s="22" t="str">
        <f t="shared" si="21"/>
        <v>Sin bono</v>
      </c>
      <c r="K336" s="23" t="str">
        <f t="shared" si="22"/>
        <v>ALERTA</v>
      </c>
      <c r="L336" s="24" t="str">
        <f t="shared" si="23"/>
        <v>Revisar</v>
      </c>
    </row>
    <row r="337" spans="1:12" ht="18" customHeight="1" x14ac:dyDescent="0.3">
      <c r="A337" s="18" t="s">
        <v>721</v>
      </c>
      <c r="B337" s="5" t="s">
        <v>722</v>
      </c>
      <c r="C337" s="18" t="s">
        <v>81</v>
      </c>
      <c r="D337" s="18" t="s">
        <v>68</v>
      </c>
      <c r="E337" s="6">
        <v>4100000</v>
      </c>
      <c r="F337" s="19">
        <v>0.46</v>
      </c>
      <c r="G337" s="18">
        <v>63</v>
      </c>
      <c r="H337" s="20">
        <v>4.4000000000000004</v>
      </c>
      <c r="I337" s="21" t="str">
        <f t="shared" si="20"/>
        <v>No cumple</v>
      </c>
      <c r="J337" s="22" t="str">
        <f t="shared" si="21"/>
        <v>Sin bono</v>
      </c>
      <c r="K337" s="23" t="str">
        <f t="shared" si="22"/>
        <v>ALERTA</v>
      </c>
      <c r="L337" s="24" t="str">
        <f t="shared" si="23"/>
        <v>Revisar</v>
      </c>
    </row>
    <row r="338" spans="1:12" ht="18" customHeight="1" x14ac:dyDescent="0.3">
      <c r="A338" s="25" t="s">
        <v>723</v>
      </c>
      <c r="B338" s="8" t="s">
        <v>724</v>
      </c>
      <c r="C338" s="25" t="s">
        <v>67</v>
      </c>
      <c r="D338" s="25" t="s">
        <v>105</v>
      </c>
      <c r="E338" s="9">
        <v>7500000</v>
      </c>
      <c r="F338" s="26">
        <v>0.67</v>
      </c>
      <c r="G338" s="25">
        <v>94</v>
      </c>
      <c r="H338" s="27">
        <v>3</v>
      </c>
      <c r="I338" s="21" t="str">
        <f t="shared" si="20"/>
        <v>No cumple</v>
      </c>
      <c r="J338" s="22" t="str">
        <f t="shared" si="21"/>
        <v>Sin bono</v>
      </c>
      <c r="K338" s="23" t="str">
        <f t="shared" si="22"/>
        <v>OK</v>
      </c>
      <c r="L338" s="24" t="str">
        <f t="shared" si="23"/>
        <v>Revisar</v>
      </c>
    </row>
    <row r="339" spans="1:12" ht="18" customHeight="1" x14ac:dyDescent="0.3">
      <c r="A339" s="18" t="s">
        <v>725</v>
      </c>
      <c r="B339" s="5" t="s">
        <v>726</v>
      </c>
      <c r="C339" s="18" t="s">
        <v>63</v>
      </c>
      <c r="D339" s="18" t="s">
        <v>78</v>
      </c>
      <c r="E339" s="6">
        <v>4200000</v>
      </c>
      <c r="F339" s="19">
        <v>0.91</v>
      </c>
      <c r="G339" s="18">
        <v>48</v>
      </c>
      <c r="H339" s="20">
        <v>7</v>
      </c>
      <c r="I339" s="21" t="str">
        <f t="shared" si="20"/>
        <v>Cumple</v>
      </c>
      <c r="J339" s="22" t="str">
        <f t="shared" si="21"/>
        <v>Sin bono</v>
      </c>
      <c r="K339" s="23" t="str">
        <f t="shared" si="22"/>
        <v>ALERTA</v>
      </c>
      <c r="L339" s="24" t="str">
        <f t="shared" si="23"/>
        <v>Revisar</v>
      </c>
    </row>
    <row r="340" spans="1:12" ht="18" customHeight="1" x14ac:dyDescent="0.3">
      <c r="A340" s="25" t="s">
        <v>727</v>
      </c>
      <c r="B340" s="8" t="s">
        <v>728</v>
      </c>
      <c r="C340" s="25" t="s">
        <v>67</v>
      </c>
      <c r="D340" s="25" t="s">
        <v>105</v>
      </c>
      <c r="E340" s="9">
        <v>7200000</v>
      </c>
      <c r="F340" s="26">
        <v>0.71</v>
      </c>
      <c r="G340" s="25">
        <v>86</v>
      </c>
      <c r="H340" s="27">
        <v>14.4</v>
      </c>
      <c r="I340" s="21" t="str">
        <f t="shared" si="20"/>
        <v>No cumple</v>
      </c>
      <c r="J340" s="22" t="str">
        <f t="shared" si="21"/>
        <v>Sin bono</v>
      </c>
      <c r="K340" s="23" t="str">
        <f t="shared" si="22"/>
        <v>OK</v>
      </c>
      <c r="L340" s="24" t="str">
        <f t="shared" si="23"/>
        <v>Revisar</v>
      </c>
    </row>
    <row r="341" spans="1:12" ht="18" customHeight="1" x14ac:dyDescent="0.3">
      <c r="A341" s="18" t="s">
        <v>729</v>
      </c>
      <c r="B341" s="5" t="s">
        <v>730</v>
      </c>
      <c r="C341" s="18" t="s">
        <v>74</v>
      </c>
      <c r="D341" s="18" t="s">
        <v>88</v>
      </c>
      <c r="E341" s="6">
        <v>3300000</v>
      </c>
      <c r="F341" s="19">
        <v>0.9</v>
      </c>
      <c r="G341" s="18">
        <v>44</v>
      </c>
      <c r="H341" s="20">
        <v>0.5</v>
      </c>
      <c r="I341" s="21" t="str">
        <f t="shared" si="20"/>
        <v>Cumple</v>
      </c>
      <c r="J341" s="22" t="str">
        <f t="shared" si="21"/>
        <v>Sin bono</v>
      </c>
      <c r="K341" s="23" t="str">
        <f t="shared" si="22"/>
        <v>ALERTA</v>
      </c>
      <c r="L341" s="24" t="str">
        <f t="shared" si="23"/>
        <v>Revisar</v>
      </c>
    </row>
    <row r="342" spans="1:12" ht="18" customHeight="1" x14ac:dyDescent="0.3">
      <c r="A342" s="25" t="s">
        <v>731</v>
      </c>
      <c r="B342" s="8" t="s">
        <v>732</v>
      </c>
      <c r="C342" s="25" t="s">
        <v>74</v>
      </c>
      <c r="D342" s="25" t="s">
        <v>114</v>
      </c>
      <c r="E342" s="9">
        <v>5900000</v>
      </c>
      <c r="F342" s="26">
        <v>0.73</v>
      </c>
      <c r="G342" s="25">
        <v>100</v>
      </c>
      <c r="H342" s="27">
        <v>3.2</v>
      </c>
      <c r="I342" s="21" t="str">
        <f t="shared" si="20"/>
        <v>No cumple</v>
      </c>
      <c r="J342" s="22" t="str">
        <f t="shared" si="21"/>
        <v>Sin bono</v>
      </c>
      <c r="K342" s="23" t="str">
        <f t="shared" si="22"/>
        <v>OK</v>
      </c>
      <c r="L342" s="24" t="str">
        <f t="shared" si="23"/>
        <v>Revisar</v>
      </c>
    </row>
    <row r="343" spans="1:12" ht="18" customHeight="1" x14ac:dyDescent="0.3">
      <c r="A343" s="18" t="s">
        <v>733</v>
      </c>
      <c r="B343" s="5" t="s">
        <v>734</v>
      </c>
      <c r="C343" s="18" t="s">
        <v>63</v>
      </c>
      <c r="D343" s="18" t="s">
        <v>114</v>
      </c>
      <c r="E343" s="6">
        <v>5100000</v>
      </c>
      <c r="F343" s="19">
        <v>0.8</v>
      </c>
      <c r="G343" s="18">
        <v>85</v>
      </c>
      <c r="H343" s="20">
        <v>7.9</v>
      </c>
      <c r="I343" s="21" t="str">
        <f t="shared" si="20"/>
        <v>Cumple</v>
      </c>
      <c r="J343" s="22" t="str">
        <f t="shared" si="21"/>
        <v>BONO</v>
      </c>
      <c r="K343" s="23" t="str">
        <f t="shared" si="22"/>
        <v>OK</v>
      </c>
      <c r="L343" s="24" t="str">
        <f t="shared" si="23"/>
        <v>Bueno</v>
      </c>
    </row>
    <row r="344" spans="1:12" ht="18" customHeight="1" x14ac:dyDescent="0.3">
      <c r="A344" s="25" t="s">
        <v>735</v>
      </c>
      <c r="B344" s="8" t="s">
        <v>736</v>
      </c>
      <c r="C344" s="25" t="s">
        <v>67</v>
      </c>
      <c r="D344" s="25" t="s">
        <v>60</v>
      </c>
      <c r="E344" s="9">
        <v>6300000</v>
      </c>
      <c r="F344" s="26">
        <v>0.86</v>
      </c>
      <c r="G344" s="25">
        <v>38</v>
      </c>
      <c r="H344" s="27">
        <v>11.5</v>
      </c>
      <c r="I344" s="21" t="str">
        <f t="shared" si="20"/>
        <v>Cumple</v>
      </c>
      <c r="J344" s="22" t="str">
        <f t="shared" si="21"/>
        <v>Sin bono</v>
      </c>
      <c r="K344" s="23" t="str">
        <f t="shared" si="22"/>
        <v>ALERTA</v>
      </c>
      <c r="L344" s="24" t="str">
        <f t="shared" si="23"/>
        <v>Revisar</v>
      </c>
    </row>
    <row r="345" spans="1:12" ht="18" customHeight="1" x14ac:dyDescent="0.3">
      <c r="A345" s="18" t="s">
        <v>737</v>
      </c>
      <c r="B345" s="5" t="s">
        <v>738</v>
      </c>
      <c r="C345" s="18" t="s">
        <v>81</v>
      </c>
      <c r="D345" s="18" t="s">
        <v>92</v>
      </c>
      <c r="E345" s="6">
        <v>5300000</v>
      </c>
      <c r="F345" s="19">
        <v>0.7</v>
      </c>
      <c r="G345" s="18">
        <v>63</v>
      </c>
      <c r="H345" s="20">
        <v>13.4</v>
      </c>
      <c r="I345" s="21" t="str">
        <f t="shared" si="20"/>
        <v>No cumple</v>
      </c>
      <c r="J345" s="22" t="str">
        <f t="shared" si="21"/>
        <v>Sin bono</v>
      </c>
      <c r="K345" s="23" t="str">
        <f t="shared" si="22"/>
        <v>OK</v>
      </c>
      <c r="L345" s="24" t="str">
        <f t="shared" si="23"/>
        <v>Revisar</v>
      </c>
    </row>
    <row r="346" spans="1:12" ht="18" customHeight="1" x14ac:dyDescent="0.3">
      <c r="A346" s="25" t="s">
        <v>739</v>
      </c>
      <c r="B346" s="8" t="s">
        <v>740</v>
      </c>
      <c r="C346" s="25" t="s">
        <v>81</v>
      </c>
      <c r="D346" s="25" t="s">
        <v>68</v>
      </c>
      <c r="E346" s="9">
        <v>10600000</v>
      </c>
      <c r="F346" s="26">
        <v>0.67</v>
      </c>
      <c r="G346" s="25">
        <v>44</v>
      </c>
      <c r="H346" s="27">
        <v>7</v>
      </c>
      <c r="I346" s="21" t="str">
        <f t="shared" si="20"/>
        <v>No cumple</v>
      </c>
      <c r="J346" s="22" t="str">
        <f t="shared" si="21"/>
        <v>Sin bono</v>
      </c>
      <c r="K346" s="23" t="str">
        <f t="shared" si="22"/>
        <v>ALERTA</v>
      </c>
      <c r="L346" s="24" t="str">
        <f t="shared" si="23"/>
        <v>Revisar</v>
      </c>
    </row>
    <row r="347" spans="1:12" ht="18" customHeight="1" x14ac:dyDescent="0.3">
      <c r="A347" s="18" t="s">
        <v>741</v>
      </c>
      <c r="B347" s="5" t="s">
        <v>742</v>
      </c>
      <c r="C347" s="18" t="s">
        <v>71</v>
      </c>
      <c r="D347" s="18" t="s">
        <v>88</v>
      </c>
      <c r="E347" s="6">
        <v>10600000</v>
      </c>
      <c r="F347" s="19">
        <v>0.77</v>
      </c>
      <c r="G347" s="18">
        <v>47</v>
      </c>
      <c r="H347" s="20">
        <v>6.3</v>
      </c>
      <c r="I347" s="21" t="str">
        <f t="shared" si="20"/>
        <v>No cumple</v>
      </c>
      <c r="J347" s="22" t="str">
        <f t="shared" si="21"/>
        <v>Sin bono</v>
      </c>
      <c r="K347" s="23" t="str">
        <f t="shared" si="22"/>
        <v>ALERTA</v>
      </c>
      <c r="L347" s="24" t="str">
        <f t="shared" si="23"/>
        <v>Revisar</v>
      </c>
    </row>
    <row r="348" spans="1:12" ht="18" customHeight="1" x14ac:dyDescent="0.3">
      <c r="A348" s="25" t="s">
        <v>743</v>
      </c>
      <c r="B348" s="8" t="s">
        <v>744</v>
      </c>
      <c r="C348" s="25" t="s">
        <v>74</v>
      </c>
      <c r="D348" s="25" t="s">
        <v>114</v>
      </c>
      <c r="E348" s="9">
        <v>7500000</v>
      </c>
      <c r="F348" s="26">
        <v>0.83</v>
      </c>
      <c r="G348" s="25">
        <v>95</v>
      </c>
      <c r="H348" s="27">
        <v>7.8</v>
      </c>
      <c r="I348" s="21" t="str">
        <f t="shared" si="20"/>
        <v>Cumple</v>
      </c>
      <c r="J348" s="22" t="str">
        <f t="shared" si="21"/>
        <v>BONO</v>
      </c>
      <c r="K348" s="23" t="str">
        <f t="shared" si="22"/>
        <v>OK</v>
      </c>
      <c r="L348" s="24" t="str">
        <f t="shared" si="23"/>
        <v>Bueno</v>
      </c>
    </row>
    <row r="349" spans="1:12" ht="18" customHeight="1" x14ac:dyDescent="0.3">
      <c r="A349" s="18" t="s">
        <v>745</v>
      </c>
      <c r="B349" s="5" t="s">
        <v>746</v>
      </c>
      <c r="C349" s="18" t="s">
        <v>63</v>
      </c>
      <c r="D349" s="18" t="s">
        <v>68</v>
      </c>
      <c r="E349" s="6">
        <v>5100000</v>
      </c>
      <c r="F349" s="19">
        <v>0.72</v>
      </c>
      <c r="G349" s="18">
        <v>98</v>
      </c>
      <c r="H349" s="20">
        <v>13.9</v>
      </c>
      <c r="I349" s="21" t="str">
        <f t="shared" si="20"/>
        <v>No cumple</v>
      </c>
      <c r="J349" s="22" t="str">
        <f t="shared" si="21"/>
        <v>Sin bono</v>
      </c>
      <c r="K349" s="23" t="str">
        <f t="shared" si="22"/>
        <v>OK</v>
      </c>
      <c r="L349" s="24" t="str">
        <f t="shared" si="23"/>
        <v>Revisar</v>
      </c>
    </row>
    <row r="350" spans="1:12" ht="18" customHeight="1" x14ac:dyDescent="0.3">
      <c r="A350" s="25" t="s">
        <v>747</v>
      </c>
      <c r="B350" s="8" t="s">
        <v>748</v>
      </c>
      <c r="C350" s="25" t="s">
        <v>71</v>
      </c>
      <c r="D350" s="25" t="s">
        <v>105</v>
      </c>
      <c r="E350" s="9">
        <v>6400000</v>
      </c>
      <c r="F350" s="26">
        <v>0.53</v>
      </c>
      <c r="G350" s="25">
        <v>70</v>
      </c>
      <c r="H350" s="27">
        <v>16.8</v>
      </c>
      <c r="I350" s="21" t="str">
        <f t="shared" si="20"/>
        <v>No cumple</v>
      </c>
      <c r="J350" s="22" t="str">
        <f t="shared" si="21"/>
        <v>Sin bono</v>
      </c>
      <c r="K350" s="23" t="str">
        <f t="shared" si="22"/>
        <v>ALERTA</v>
      </c>
      <c r="L350" s="24" t="str">
        <f t="shared" si="23"/>
        <v>Revisar</v>
      </c>
    </row>
    <row r="351" spans="1:12" ht="18" customHeight="1" x14ac:dyDescent="0.3">
      <c r="A351" s="18" t="s">
        <v>749</v>
      </c>
      <c r="B351" s="5" t="s">
        <v>750</v>
      </c>
      <c r="C351" s="18" t="s">
        <v>81</v>
      </c>
      <c r="D351" s="18" t="s">
        <v>64</v>
      </c>
      <c r="E351" s="6">
        <v>9000000</v>
      </c>
      <c r="F351" s="19">
        <v>0.53</v>
      </c>
      <c r="G351" s="18">
        <v>79</v>
      </c>
      <c r="H351" s="20">
        <v>19.3</v>
      </c>
      <c r="I351" s="21" t="str">
        <f t="shared" si="20"/>
        <v>No cumple</v>
      </c>
      <c r="J351" s="22" t="str">
        <f t="shared" si="21"/>
        <v>Sin bono</v>
      </c>
      <c r="K351" s="23" t="str">
        <f t="shared" si="22"/>
        <v>ALERTA</v>
      </c>
      <c r="L351" s="24" t="str">
        <f t="shared" si="23"/>
        <v>Revisar</v>
      </c>
    </row>
    <row r="352" spans="1:12" ht="18" customHeight="1" x14ac:dyDescent="0.3">
      <c r="A352" s="25" t="s">
        <v>751</v>
      </c>
      <c r="B352" s="8" t="s">
        <v>752</v>
      </c>
      <c r="C352" s="25" t="s">
        <v>77</v>
      </c>
      <c r="D352" s="25" t="s">
        <v>68</v>
      </c>
      <c r="E352" s="9">
        <v>11800000</v>
      </c>
      <c r="F352" s="26">
        <v>0.91</v>
      </c>
      <c r="G352" s="25">
        <v>92</v>
      </c>
      <c r="H352" s="27">
        <v>3.3</v>
      </c>
      <c r="I352" s="21" t="str">
        <f t="shared" si="20"/>
        <v>Cumple</v>
      </c>
      <c r="J352" s="22" t="str">
        <f t="shared" si="21"/>
        <v>BONO</v>
      </c>
      <c r="K352" s="23" t="str">
        <f t="shared" si="22"/>
        <v>OK</v>
      </c>
      <c r="L352" s="24" t="str">
        <f t="shared" si="23"/>
        <v>Excelente</v>
      </c>
    </row>
    <row r="353" spans="1:12" ht="18" customHeight="1" x14ac:dyDescent="0.3">
      <c r="A353" s="18" t="s">
        <v>753</v>
      </c>
      <c r="B353" s="5" t="s">
        <v>754</v>
      </c>
      <c r="C353" s="18" t="s">
        <v>67</v>
      </c>
      <c r="D353" s="18" t="s">
        <v>88</v>
      </c>
      <c r="E353" s="6">
        <v>3200000</v>
      </c>
      <c r="F353" s="19">
        <v>0.6</v>
      </c>
      <c r="G353" s="18">
        <v>98</v>
      </c>
      <c r="H353" s="20">
        <v>5.8</v>
      </c>
      <c r="I353" s="21" t="str">
        <f t="shared" si="20"/>
        <v>No cumple</v>
      </c>
      <c r="J353" s="22" t="str">
        <f t="shared" si="21"/>
        <v>Sin bono</v>
      </c>
      <c r="K353" s="23" t="str">
        <f t="shared" si="22"/>
        <v>OK</v>
      </c>
      <c r="L353" s="24" t="str">
        <f t="shared" si="23"/>
        <v>Revisar</v>
      </c>
    </row>
    <row r="354" spans="1:12" ht="18" customHeight="1" x14ac:dyDescent="0.3">
      <c r="A354" s="25" t="s">
        <v>755</v>
      </c>
      <c r="B354" s="8" t="s">
        <v>756</v>
      </c>
      <c r="C354" s="25" t="s">
        <v>77</v>
      </c>
      <c r="D354" s="25" t="s">
        <v>78</v>
      </c>
      <c r="E354" s="9">
        <v>10100000</v>
      </c>
      <c r="F354" s="26">
        <v>0.51</v>
      </c>
      <c r="G354" s="25">
        <v>99</v>
      </c>
      <c r="H354" s="27">
        <v>16.5</v>
      </c>
      <c r="I354" s="21" t="str">
        <f t="shared" si="20"/>
        <v>No cumple</v>
      </c>
      <c r="J354" s="22" t="str">
        <f t="shared" si="21"/>
        <v>Sin bono</v>
      </c>
      <c r="K354" s="23" t="str">
        <f t="shared" si="22"/>
        <v>ALERTA</v>
      </c>
      <c r="L354" s="24" t="str">
        <f t="shared" si="23"/>
        <v>Revisar</v>
      </c>
    </row>
    <row r="355" spans="1:12" ht="18" customHeight="1" x14ac:dyDescent="0.3">
      <c r="A355" s="18" t="s">
        <v>757</v>
      </c>
      <c r="B355" s="5" t="s">
        <v>758</v>
      </c>
      <c r="C355" s="18" t="s">
        <v>91</v>
      </c>
      <c r="D355" s="18" t="s">
        <v>105</v>
      </c>
      <c r="E355" s="6">
        <v>9700000</v>
      </c>
      <c r="F355" s="19">
        <v>0.56999999999999995</v>
      </c>
      <c r="G355" s="18">
        <v>84</v>
      </c>
      <c r="H355" s="20">
        <v>2</v>
      </c>
      <c r="I355" s="21" t="str">
        <f t="shared" si="20"/>
        <v>No cumple</v>
      </c>
      <c r="J355" s="22" t="str">
        <f t="shared" si="21"/>
        <v>Sin bono</v>
      </c>
      <c r="K355" s="23" t="str">
        <f t="shared" si="22"/>
        <v>ALERTA</v>
      </c>
      <c r="L355" s="24" t="str">
        <f t="shared" si="23"/>
        <v>Revisar</v>
      </c>
    </row>
    <row r="356" spans="1:12" ht="18" customHeight="1" x14ac:dyDescent="0.3">
      <c r="A356" s="25" t="s">
        <v>759</v>
      </c>
      <c r="B356" s="8" t="s">
        <v>760</v>
      </c>
      <c r="C356" s="25" t="s">
        <v>59</v>
      </c>
      <c r="D356" s="25" t="s">
        <v>92</v>
      </c>
      <c r="E356" s="9">
        <v>3900000</v>
      </c>
      <c r="F356" s="26">
        <v>0.69</v>
      </c>
      <c r="G356" s="25">
        <v>45</v>
      </c>
      <c r="H356" s="27">
        <v>15.5</v>
      </c>
      <c r="I356" s="21" t="str">
        <f t="shared" si="20"/>
        <v>No cumple</v>
      </c>
      <c r="J356" s="22" t="str">
        <f t="shared" si="21"/>
        <v>Sin bono</v>
      </c>
      <c r="K356" s="23" t="str">
        <f t="shared" si="22"/>
        <v>ALERTA</v>
      </c>
      <c r="L356" s="24" t="str">
        <f t="shared" si="23"/>
        <v>Revisar</v>
      </c>
    </row>
    <row r="357" spans="1:12" ht="18" customHeight="1" x14ac:dyDescent="0.3">
      <c r="A357" s="18" t="s">
        <v>761</v>
      </c>
      <c r="B357" s="5" t="s">
        <v>762</v>
      </c>
      <c r="C357" s="18" t="s">
        <v>81</v>
      </c>
      <c r="D357" s="18" t="s">
        <v>68</v>
      </c>
      <c r="E357" s="6">
        <v>4900000</v>
      </c>
      <c r="F357" s="19">
        <v>0.79</v>
      </c>
      <c r="G357" s="18">
        <v>56</v>
      </c>
      <c r="H357" s="20">
        <v>16.3</v>
      </c>
      <c r="I357" s="21" t="str">
        <f t="shared" si="20"/>
        <v>No cumple</v>
      </c>
      <c r="J357" s="22" t="str">
        <f t="shared" si="21"/>
        <v>Sin bono</v>
      </c>
      <c r="K357" s="23" t="str">
        <f t="shared" si="22"/>
        <v>OK</v>
      </c>
      <c r="L357" s="24" t="str">
        <f t="shared" si="23"/>
        <v>Revisar</v>
      </c>
    </row>
    <row r="358" spans="1:12" ht="18" customHeight="1" x14ac:dyDescent="0.3">
      <c r="A358" s="25" t="s">
        <v>763</v>
      </c>
      <c r="B358" s="8" t="s">
        <v>764</v>
      </c>
      <c r="C358" s="25" t="s">
        <v>81</v>
      </c>
      <c r="D358" s="25" t="s">
        <v>88</v>
      </c>
      <c r="E358" s="9">
        <v>10400000</v>
      </c>
      <c r="F358" s="26">
        <v>0.75</v>
      </c>
      <c r="G358" s="25">
        <v>71</v>
      </c>
      <c r="H358" s="27">
        <v>19.600000000000001</v>
      </c>
      <c r="I358" s="21" t="str">
        <f t="shared" si="20"/>
        <v>No cumple</v>
      </c>
      <c r="J358" s="22" t="str">
        <f t="shared" si="21"/>
        <v>Sin bono</v>
      </c>
      <c r="K358" s="23" t="str">
        <f t="shared" si="22"/>
        <v>OK</v>
      </c>
      <c r="L358" s="24" t="str">
        <f t="shared" si="23"/>
        <v>Revisar</v>
      </c>
    </row>
    <row r="359" spans="1:12" ht="18" customHeight="1" x14ac:dyDescent="0.3">
      <c r="A359" s="18" t="s">
        <v>765</v>
      </c>
      <c r="B359" s="5" t="s">
        <v>766</v>
      </c>
      <c r="C359" s="18" t="s">
        <v>59</v>
      </c>
      <c r="D359" s="18" t="s">
        <v>78</v>
      </c>
      <c r="E359" s="6">
        <v>4500000</v>
      </c>
      <c r="F359" s="19">
        <v>0.98</v>
      </c>
      <c r="G359" s="18">
        <v>82</v>
      </c>
      <c r="H359" s="20">
        <v>18.399999999999999</v>
      </c>
      <c r="I359" s="21" t="str">
        <f t="shared" si="20"/>
        <v>Cumple</v>
      </c>
      <c r="J359" s="22" t="str">
        <f t="shared" si="21"/>
        <v>BONO</v>
      </c>
      <c r="K359" s="23" t="str">
        <f t="shared" si="22"/>
        <v>OK</v>
      </c>
      <c r="L359" s="24" t="str">
        <f t="shared" si="23"/>
        <v>Bueno</v>
      </c>
    </row>
    <row r="360" spans="1:12" ht="18" customHeight="1" x14ac:dyDescent="0.3">
      <c r="A360" s="25" t="s">
        <v>767</v>
      </c>
      <c r="B360" s="8" t="s">
        <v>768</v>
      </c>
      <c r="C360" s="25" t="s">
        <v>71</v>
      </c>
      <c r="D360" s="25" t="s">
        <v>114</v>
      </c>
      <c r="E360" s="9">
        <v>5900000</v>
      </c>
      <c r="F360" s="26">
        <v>0.53</v>
      </c>
      <c r="G360" s="25">
        <v>71</v>
      </c>
      <c r="H360" s="27">
        <v>16.600000000000001</v>
      </c>
      <c r="I360" s="21" t="str">
        <f t="shared" si="20"/>
        <v>No cumple</v>
      </c>
      <c r="J360" s="22" t="str">
        <f t="shared" si="21"/>
        <v>Sin bono</v>
      </c>
      <c r="K360" s="23" t="str">
        <f t="shared" si="22"/>
        <v>ALERTA</v>
      </c>
      <c r="L360" s="24" t="str">
        <f t="shared" si="23"/>
        <v>Revisar</v>
      </c>
    </row>
    <row r="361" spans="1:12" ht="18" customHeight="1" x14ac:dyDescent="0.3">
      <c r="A361" s="18" t="s">
        <v>769</v>
      </c>
      <c r="B361" s="5" t="s">
        <v>770</v>
      </c>
      <c r="C361" s="18" t="s">
        <v>71</v>
      </c>
      <c r="D361" s="18" t="s">
        <v>88</v>
      </c>
      <c r="E361" s="6">
        <v>10800000</v>
      </c>
      <c r="F361" s="19">
        <v>0.68</v>
      </c>
      <c r="G361" s="18">
        <v>87</v>
      </c>
      <c r="H361" s="20">
        <v>1.5</v>
      </c>
      <c r="I361" s="21" t="str">
        <f t="shared" si="20"/>
        <v>No cumple</v>
      </c>
      <c r="J361" s="22" t="str">
        <f t="shared" si="21"/>
        <v>Sin bono</v>
      </c>
      <c r="K361" s="23" t="str">
        <f t="shared" si="22"/>
        <v>OK</v>
      </c>
      <c r="L361" s="24" t="str">
        <f t="shared" si="23"/>
        <v>Revisar</v>
      </c>
    </row>
    <row r="362" spans="1:12" ht="18" customHeight="1" x14ac:dyDescent="0.3">
      <c r="A362" s="25" t="s">
        <v>771</v>
      </c>
      <c r="B362" s="8" t="s">
        <v>772</v>
      </c>
      <c r="C362" s="25" t="s">
        <v>59</v>
      </c>
      <c r="D362" s="25" t="s">
        <v>92</v>
      </c>
      <c r="E362" s="9">
        <v>8600000</v>
      </c>
      <c r="F362" s="26">
        <v>0.97</v>
      </c>
      <c r="G362" s="25">
        <v>71</v>
      </c>
      <c r="H362" s="27">
        <v>11.6</v>
      </c>
      <c r="I362" s="21" t="str">
        <f t="shared" si="20"/>
        <v>Cumple</v>
      </c>
      <c r="J362" s="22" t="str">
        <f t="shared" si="21"/>
        <v>BONO</v>
      </c>
      <c r="K362" s="23" t="str">
        <f t="shared" si="22"/>
        <v>OK</v>
      </c>
      <c r="L362" s="24" t="str">
        <f t="shared" si="23"/>
        <v>Bueno</v>
      </c>
    </row>
    <row r="363" spans="1:12" ht="18" customHeight="1" x14ac:dyDescent="0.3">
      <c r="A363" s="18" t="s">
        <v>773</v>
      </c>
      <c r="B363" s="5" t="s">
        <v>774</v>
      </c>
      <c r="C363" s="18" t="s">
        <v>77</v>
      </c>
      <c r="D363" s="18" t="s">
        <v>92</v>
      </c>
      <c r="E363" s="6">
        <v>3600000</v>
      </c>
      <c r="F363" s="19">
        <v>0.89</v>
      </c>
      <c r="G363" s="18">
        <v>80</v>
      </c>
      <c r="H363" s="20">
        <v>4.4000000000000004</v>
      </c>
      <c r="I363" s="21" t="str">
        <f t="shared" si="20"/>
        <v>Cumple</v>
      </c>
      <c r="J363" s="22" t="str">
        <f t="shared" si="21"/>
        <v>BONO</v>
      </c>
      <c r="K363" s="23" t="str">
        <f t="shared" si="22"/>
        <v>OK</v>
      </c>
      <c r="L363" s="24" t="str">
        <f t="shared" si="23"/>
        <v>Bueno</v>
      </c>
    </row>
    <row r="364" spans="1:12" ht="18" customHeight="1" x14ac:dyDescent="0.3">
      <c r="A364" s="25" t="s">
        <v>775</v>
      </c>
      <c r="B364" s="8" t="s">
        <v>776</v>
      </c>
      <c r="C364" s="25" t="s">
        <v>67</v>
      </c>
      <c r="D364" s="25" t="s">
        <v>105</v>
      </c>
      <c r="E364" s="9">
        <v>6200000</v>
      </c>
      <c r="F364" s="26">
        <v>0.63</v>
      </c>
      <c r="G364" s="25">
        <v>66</v>
      </c>
      <c r="H364" s="27">
        <v>6.8</v>
      </c>
      <c r="I364" s="21" t="str">
        <f t="shared" si="20"/>
        <v>No cumple</v>
      </c>
      <c r="J364" s="22" t="str">
        <f t="shared" si="21"/>
        <v>Sin bono</v>
      </c>
      <c r="K364" s="23" t="str">
        <f t="shared" si="22"/>
        <v>OK</v>
      </c>
      <c r="L364" s="24" t="str">
        <f t="shared" si="23"/>
        <v>Revisar</v>
      </c>
    </row>
    <row r="365" spans="1:12" ht="18" customHeight="1" x14ac:dyDescent="0.3">
      <c r="A365" s="18" t="s">
        <v>777</v>
      </c>
      <c r="B365" s="5" t="s">
        <v>778</v>
      </c>
      <c r="C365" s="18" t="s">
        <v>77</v>
      </c>
      <c r="D365" s="18" t="s">
        <v>92</v>
      </c>
      <c r="E365" s="6">
        <v>11500000</v>
      </c>
      <c r="F365" s="19">
        <v>0.87</v>
      </c>
      <c r="G365" s="18">
        <v>35</v>
      </c>
      <c r="H365" s="20">
        <v>2</v>
      </c>
      <c r="I365" s="21" t="str">
        <f t="shared" si="20"/>
        <v>Cumple</v>
      </c>
      <c r="J365" s="22" t="str">
        <f t="shared" si="21"/>
        <v>Sin bono</v>
      </c>
      <c r="K365" s="23" t="str">
        <f t="shared" si="22"/>
        <v>ALERTA</v>
      </c>
      <c r="L365" s="24" t="str">
        <f t="shared" si="23"/>
        <v>Revisar</v>
      </c>
    </row>
    <row r="366" spans="1:12" ht="18" customHeight="1" x14ac:dyDescent="0.3">
      <c r="A366" s="25" t="s">
        <v>779</v>
      </c>
      <c r="B366" s="8" t="s">
        <v>780</v>
      </c>
      <c r="C366" s="25" t="s">
        <v>74</v>
      </c>
      <c r="D366" s="25" t="s">
        <v>114</v>
      </c>
      <c r="E366" s="9">
        <v>8400000</v>
      </c>
      <c r="F366" s="26">
        <v>0.7</v>
      </c>
      <c r="G366" s="25">
        <v>84</v>
      </c>
      <c r="H366" s="27">
        <v>4</v>
      </c>
      <c r="I366" s="21" t="str">
        <f t="shared" si="20"/>
        <v>No cumple</v>
      </c>
      <c r="J366" s="22" t="str">
        <f t="shared" si="21"/>
        <v>Sin bono</v>
      </c>
      <c r="K366" s="23" t="str">
        <f t="shared" si="22"/>
        <v>OK</v>
      </c>
      <c r="L366" s="24" t="str">
        <f t="shared" si="23"/>
        <v>Revisar</v>
      </c>
    </row>
    <row r="367" spans="1:12" ht="18" customHeight="1" x14ac:dyDescent="0.3">
      <c r="A367" s="18" t="s">
        <v>781</v>
      </c>
      <c r="B367" s="5" t="s">
        <v>782</v>
      </c>
      <c r="C367" s="18" t="s">
        <v>59</v>
      </c>
      <c r="D367" s="18" t="s">
        <v>114</v>
      </c>
      <c r="E367" s="6">
        <v>6300000</v>
      </c>
      <c r="F367" s="19">
        <v>0.5</v>
      </c>
      <c r="G367" s="18">
        <v>76</v>
      </c>
      <c r="H367" s="20">
        <v>5</v>
      </c>
      <c r="I367" s="21" t="str">
        <f t="shared" si="20"/>
        <v>No cumple</v>
      </c>
      <c r="J367" s="22" t="str">
        <f t="shared" si="21"/>
        <v>Sin bono</v>
      </c>
      <c r="K367" s="23" t="str">
        <f t="shared" si="22"/>
        <v>ALERTA</v>
      </c>
      <c r="L367" s="24" t="str">
        <f t="shared" si="23"/>
        <v>Revisar</v>
      </c>
    </row>
    <row r="368" spans="1:12" ht="18" customHeight="1" x14ac:dyDescent="0.3">
      <c r="A368" s="25" t="s">
        <v>783</v>
      </c>
      <c r="B368" s="8" t="s">
        <v>784</v>
      </c>
      <c r="C368" s="25" t="s">
        <v>71</v>
      </c>
      <c r="D368" s="25" t="s">
        <v>64</v>
      </c>
      <c r="E368" s="9">
        <v>7800000</v>
      </c>
      <c r="F368" s="26">
        <v>0.79</v>
      </c>
      <c r="G368" s="25">
        <v>59</v>
      </c>
      <c r="H368" s="27">
        <v>8.6</v>
      </c>
      <c r="I368" s="21" t="str">
        <f t="shared" si="20"/>
        <v>No cumple</v>
      </c>
      <c r="J368" s="22" t="str">
        <f t="shared" si="21"/>
        <v>Sin bono</v>
      </c>
      <c r="K368" s="23" t="str">
        <f t="shared" si="22"/>
        <v>OK</v>
      </c>
      <c r="L368" s="24" t="str">
        <f t="shared" si="23"/>
        <v>Revisar</v>
      </c>
    </row>
    <row r="369" spans="1:12" ht="18" customHeight="1" x14ac:dyDescent="0.3">
      <c r="A369" s="18" t="s">
        <v>785</v>
      </c>
      <c r="B369" s="5" t="s">
        <v>786</v>
      </c>
      <c r="C369" s="18" t="s">
        <v>74</v>
      </c>
      <c r="D369" s="18" t="s">
        <v>64</v>
      </c>
      <c r="E369" s="6">
        <v>5500000</v>
      </c>
      <c r="F369" s="19">
        <v>0.71</v>
      </c>
      <c r="G369" s="18">
        <v>46</v>
      </c>
      <c r="H369" s="20">
        <v>11.9</v>
      </c>
      <c r="I369" s="21" t="str">
        <f t="shared" si="20"/>
        <v>No cumple</v>
      </c>
      <c r="J369" s="22" t="str">
        <f t="shared" si="21"/>
        <v>Sin bono</v>
      </c>
      <c r="K369" s="23" t="str">
        <f t="shared" si="22"/>
        <v>ALERTA</v>
      </c>
      <c r="L369" s="24" t="str">
        <f t="shared" si="23"/>
        <v>Revisar</v>
      </c>
    </row>
    <row r="370" spans="1:12" ht="18" customHeight="1" x14ac:dyDescent="0.3">
      <c r="A370" s="25" t="s">
        <v>787</v>
      </c>
      <c r="B370" s="8" t="s">
        <v>788</v>
      </c>
      <c r="C370" s="25" t="s">
        <v>77</v>
      </c>
      <c r="D370" s="25" t="s">
        <v>64</v>
      </c>
      <c r="E370" s="9">
        <v>2900000</v>
      </c>
      <c r="F370" s="26">
        <v>0.83</v>
      </c>
      <c r="G370" s="25">
        <v>45</v>
      </c>
      <c r="H370" s="27">
        <v>19.8</v>
      </c>
      <c r="I370" s="21" t="str">
        <f t="shared" si="20"/>
        <v>Cumple</v>
      </c>
      <c r="J370" s="22" t="str">
        <f t="shared" si="21"/>
        <v>Sin bono</v>
      </c>
      <c r="K370" s="23" t="str">
        <f t="shared" si="22"/>
        <v>ALERTA</v>
      </c>
      <c r="L370" s="24" t="str">
        <f t="shared" si="23"/>
        <v>Revisar</v>
      </c>
    </row>
    <row r="371" spans="1:12" ht="18" customHeight="1" x14ac:dyDescent="0.3">
      <c r="A371" s="18" t="s">
        <v>789</v>
      </c>
      <c r="B371" s="5" t="s">
        <v>790</v>
      </c>
      <c r="C371" s="18" t="s">
        <v>71</v>
      </c>
      <c r="D371" s="18" t="s">
        <v>105</v>
      </c>
      <c r="E371" s="6">
        <v>3700000</v>
      </c>
      <c r="F371" s="19">
        <v>0.57999999999999996</v>
      </c>
      <c r="G371" s="18">
        <v>41</v>
      </c>
      <c r="H371" s="20">
        <v>14.6</v>
      </c>
      <c r="I371" s="21" t="str">
        <f t="shared" si="20"/>
        <v>No cumple</v>
      </c>
      <c r="J371" s="22" t="str">
        <f t="shared" si="21"/>
        <v>Sin bono</v>
      </c>
      <c r="K371" s="23" t="str">
        <f t="shared" si="22"/>
        <v>ALERTA</v>
      </c>
      <c r="L371" s="24" t="str">
        <f t="shared" si="23"/>
        <v>Revisar</v>
      </c>
    </row>
    <row r="372" spans="1:12" ht="18" customHeight="1" x14ac:dyDescent="0.3">
      <c r="A372" s="25" t="s">
        <v>791</v>
      </c>
      <c r="B372" s="8" t="s">
        <v>792</v>
      </c>
      <c r="C372" s="25" t="s">
        <v>81</v>
      </c>
      <c r="D372" s="25" t="s">
        <v>92</v>
      </c>
      <c r="E372" s="9">
        <v>6600000</v>
      </c>
      <c r="F372" s="26">
        <v>0.53</v>
      </c>
      <c r="G372" s="25">
        <v>47</v>
      </c>
      <c r="H372" s="27">
        <v>12.8</v>
      </c>
      <c r="I372" s="21" t="str">
        <f t="shared" si="20"/>
        <v>No cumple</v>
      </c>
      <c r="J372" s="22" t="str">
        <f t="shared" si="21"/>
        <v>Sin bono</v>
      </c>
      <c r="K372" s="23" t="str">
        <f t="shared" si="22"/>
        <v>ALERTA</v>
      </c>
      <c r="L372" s="24" t="str">
        <f t="shared" si="23"/>
        <v>Revisar</v>
      </c>
    </row>
    <row r="373" spans="1:12" ht="18" customHeight="1" x14ac:dyDescent="0.3">
      <c r="A373" s="18" t="s">
        <v>793</v>
      </c>
      <c r="B373" s="5" t="s">
        <v>794</v>
      </c>
      <c r="C373" s="18" t="s">
        <v>91</v>
      </c>
      <c r="D373" s="18" t="s">
        <v>114</v>
      </c>
      <c r="E373" s="6">
        <v>8400000</v>
      </c>
      <c r="F373" s="19">
        <v>0.64</v>
      </c>
      <c r="G373" s="18">
        <v>57</v>
      </c>
      <c r="H373" s="20">
        <v>12.6</v>
      </c>
      <c r="I373" s="21" t="str">
        <f t="shared" si="20"/>
        <v>No cumple</v>
      </c>
      <c r="J373" s="22" t="str">
        <f t="shared" si="21"/>
        <v>Sin bono</v>
      </c>
      <c r="K373" s="23" t="str">
        <f t="shared" si="22"/>
        <v>OK</v>
      </c>
      <c r="L373" s="24" t="str">
        <f t="shared" si="23"/>
        <v>Revisar</v>
      </c>
    </row>
    <row r="374" spans="1:12" ht="18" customHeight="1" x14ac:dyDescent="0.3">
      <c r="A374" s="25" t="s">
        <v>795</v>
      </c>
      <c r="B374" s="8" t="s">
        <v>796</v>
      </c>
      <c r="C374" s="25" t="s">
        <v>63</v>
      </c>
      <c r="D374" s="25" t="s">
        <v>105</v>
      </c>
      <c r="E374" s="9">
        <v>5500000</v>
      </c>
      <c r="F374" s="26">
        <v>0.5</v>
      </c>
      <c r="G374" s="25">
        <v>42</v>
      </c>
      <c r="H374" s="27">
        <v>2.8</v>
      </c>
      <c r="I374" s="21" t="str">
        <f t="shared" si="20"/>
        <v>No cumple</v>
      </c>
      <c r="J374" s="22" t="str">
        <f t="shared" si="21"/>
        <v>Sin bono</v>
      </c>
      <c r="K374" s="23" t="str">
        <f t="shared" si="22"/>
        <v>ALERTA</v>
      </c>
      <c r="L374" s="24" t="str">
        <f t="shared" si="23"/>
        <v>Revisar</v>
      </c>
    </row>
    <row r="375" spans="1:12" ht="18" customHeight="1" x14ac:dyDescent="0.3">
      <c r="A375" s="18" t="s">
        <v>797</v>
      </c>
      <c r="B375" s="5" t="s">
        <v>798</v>
      </c>
      <c r="C375" s="18" t="s">
        <v>63</v>
      </c>
      <c r="D375" s="18" t="s">
        <v>92</v>
      </c>
      <c r="E375" s="6">
        <v>8200000</v>
      </c>
      <c r="F375" s="19">
        <v>0.62</v>
      </c>
      <c r="G375" s="18">
        <v>47</v>
      </c>
      <c r="H375" s="20">
        <v>5</v>
      </c>
      <c r="I375" s="21" t="str">
        <f t="shared" si="20"/>
        <v>No cumple</v>
      </c>
      <c r="J375" s="22" t="str">
        <f t="shared" si="21"/>
        <v>Sin bono</v>
      </c>
      <c r="K375" s="23" t="str">
        <f t="shared" si="22"/>
        <v>ALERTA</v>
      </c>
      <c r="L375" s="24" t="str">
        <f t="shared" si="23"/>
        <v>Revisar</v>
      </c>
    </row>
    <row r="376" spans="1:12" ht="18" customHeight="1" x14ac:dyDescent="0.3">
      <c r="A376" s="25" t="s">
        <v>799</v>
      </c>
      <c r="B376" s="8" t="s">
        <v>800</v>
      </c>
      <c r="C376" s="25" t="s">
        <v>59</v>
      </c>
      <c r="D376" s="25" t="s">
        <v>64</v>
      </c>
      <c r="E376" s="9">
        <v>11200000</v>
      </c>
      <c r="F376" s="26">
        <v>0.93</v>
      </c>
      <c r="G376" s="25">
        <v>56</v>
      </c>
      <c r="H376" s="27">
        <v>10.4</v>
      </c>
      <c r="I376" s="21" t="str">
        <f t="shared" si="20"/>
        <v>Cumple</v>
      </c>
      <c r="J376" s="22" t="str">
        <f t="shared" si="21"/>
        <v>Sin bono</v>
      </c>
      <c r="K376" s="23" t="str">
        <f t="shared" si="22"/>
        <v>OK</v>
      </c>
      <c r="L376" s="24" t="str">
        <f t="shared" si="23"/>
        <v>Revisar</v>
      </c>
    </row>
    <row r="377" spans="1:12" ht="18" customHeight="1" x14ac:dyDescent="0.3">
      <c r="A377" s="18" t="s">
        <v>801</v>
      </c>
      <c r="B377" s="5" t="s">
        <v>802</v>
      </c>
      <c r="C377" s="18" t="s">
        <v>67</v>
      </c>
      <c r="D377" s="18" t="s">
        <v>105</v>
      </c>
      <c r="E377" s="6">
        <v>10900000</v>
      </c>
      <c r="F377" s="19">
        <v>0.78</v>
      </c>
      <c r="G377" s="18">
        <v>97</v>
      </c>
      <c r="H377" s="20">
        <v>17.8</v>
      </c>
      <c r="I377" s="21" t="str">
        <f t="shared" si="20"/>
        <v>No cumple</v>
      </c>
      <c r="J377" s="22" t="str">
        <f t="shared" si="21"/>
        <v>Sin bono</v>
      </c>
      <c r="K377" s="23" t="str">
        <f t="shared" si="22"/>
        <v>OK</v>
      </c>
      <c r="L377" s="24" t="str">
        <f t="shared" si="23"/>
        <v>Revisar</v>
      </c>
    </row>
    <row r="378" spans="1:12" ht="18" customHeight="1" x14ac:dyDescent="0.3">
      <c r="A378" s="25" t="s">
        <v>803</v>
      </c>
      <c r="B378" s="8" t="s">
        <v>804</v>
      </c>
      <c r="C378" s="25" t="s">
        <v>81</v>
      </c>
      <c r="D378" s="25" t="s">
        <v>114</v>
      </c>
      <c r="E378" s="9">
        <v>7700000</v>
      </c>
      <c r="F378" s="26">
        <v>0.92</v>
      </c>
      <c r="G378" s="25">
        <v>83</v>
      </c>
      <c r="H378" s="27">
        <v>7.3</v>
      </c>
      <c r="I378" s="21" t="str">
        <f t="shared" si="20"/>
        <v>Cumple</v>
      </c>
      <c r="J378" s="22" t="str">
        <f t="shared" si="21"/>
        <v>BONO</v>
      </c>
      <c r="K378" s="23" t="str">
        <f t="shared" si="22"/>
        <v>OK</v>
      </c>
      <c r="L378" s="24" t="str">
        <f t="shared" si="23"/>
        <v>Bueno</v>
      </c>
    </row>
    <row r="379" spans="1:12" ht="18" customHeight="1" x14ac:dyDescent="0.3">
      <c r="A379" s="18" t="s">
        <v>805</v>
      </c>
      <c r="B379" s="5" t="s">
        <v>806</v>
      </c>
      <c r="C379" s="18" t="s">
        <v>77</v>
      </c>
      <c r="D379" s="18" t="s">
        <v>78</v>
      </c>
      <c r="E379" s="6">
        <v>3000000</v>
      </c>
      <c r="F379" s="19">
        <v>0.77</v>
      </c>
      <c r="G379" s="18">
        <v>31</v>
      </c>
      <c r="H379" s="20">
        <v>5.2</v>
      </c>
      <c r="I379" s="21" t="str">
        <f t="shared" si="20"/>
        <v>No cumple</v>
      </c>
      <c r="J379" s="22" t="str">
        <f t="shared" si="21"/>
        <v>Sin bono</v>
      </c>
      <c r="K379" s="23" t="str">
        <f t="shared" si="22"/>
        <v>ALERTA</v>
      </c>
      <c r="L379" s="24" t="str">
        <f t="shared" si="23"/>
        <v>Revisar</v>
      </c>
    </row>
    <row r="380" spans="1:12" ht="18" customHeight="1" x14ac:dyDescent="0.3">
      <c r="A380" s="25" t="s">
        <v>807</v>
      </c>
      <c r="B380" s="8" t="s">
        <v>808</v>
      </c>
      <c r="C380" s="25" t="s">
        <v>91</v>
      </c>
      <c r="D380" s="25" t="s">
        <v>68</v>
      </c>
      <c r="E380" s="9">
        <v>9200000</v>
      </c>
      <c r="F380" s="26">
        <v>0.61</v>
      </c>
      <c r="G380" s="25">
        <v>94</v>
      </c>
      <c r="H380" s="27">
        <v>15.3</v>
      </c>
      <c r="I380" s="21" t="str">
        <f t="shared" si="20"/>
        <v>No cumple</v>
      </c>
      <c r="J380" s="22" t="str">
        <f t="shared" si="21"/>
        <v>Sin bono</v>
      </c>
      <c r="K380" s="23" t="str">
        <f t="shared" si="22"/>
        <v>OK</v>
      </c>
      <c r="L380" s="24" t="str">
        <f t="shared" si="23"/>
        <v>Revisar</v>
      </c>
    </row>
    <row r="381" spans="1:12" ht="18" customHeight="1" x14ac:dyDescent="0.3">
      <c r="A381" s="18" t="s">
        <v>809</v>
      </c>
      <c r="B381" s="5" t="s">
        <v>810</v>
      </c>
      <c r="C381" s="18" t="s">
        <v>71</v>
      </c>
      <c r="D381" s="18" t="s">
        <v>88</v>
      </c>
      <c r="E381" s="6">
        <v>3800000</v>
      </c>
      <c r="F381" s="19">
        <v>0.62</v>
      </c>
      <c r="G381" s="18">
        <v>95</v>
      </c>
      <c r="H381" s="20">
        <v>18.399999999999999</v>
      </c>
      <c r="I381" s="21" t="str">
        <f t="shared" si="20"/>
        <v>No cumple</v>
      </c>
      <c r="J381" s="22" t="str">
        <f t="shared" si="21"/>
        <v>Sin bono</v>
      </c>
      <c r="K381" s="23" t="str">
        <f t="shared" si="22"/>
        <v>OK</v>
      </c>
      <c r="L381" s="24" t="str">
        <f t="shared" si="23"/>
        <v>Revisar</v>
      </c>
    </row>
    <row r="382" spans="1:12" ht="18" customHeight="1" x14ac:dyDescent="0.3">
      <c r="A382" s="25" t="s">
        <v>811</v>
      </c>
      <c r="B382" s="8" t="s">
        <v>812</v>
      </c>
      <c r="C382" s="25" t="s">
        <v>81</v>
      </c>
      <c r="D382" s="25" t="s">
        <v>68</v>
      </c>
      <c r="E382" s="9">
        <v>10300000</v>
      </c>
      <c r="F382" s="26">
        <v>0.8</v>
      </c>
      <c r="G382" s="25">
        <v>38</v>
      </c>
      <c r="H382" s="27">
        <v>6.2</v>
      </c>
      <c r="I382" s="21" t="str">
        <f t="shared" si="20"/>
        <v>Cumple</v>
      </c>
      <c r="J382" s="22" t="str">
        <f t="shared" si="21"/>
        <v>Sin bono</v>
      </c>
      <c r="K382" s="23" t="str">
        <f t="shared" si="22"/>
        <v>ALERTA</v>
      </c>
      <c r="L382" s="24" t="str">
        <f t="shared" si="23"/>
        <v>Revisar</v>
      </c>
    </row>
    <row r="383" spans="1:12" ht="18" customHeight="1" x14ac:dyDescent="0.3">
      <c r="A383" s="18" t="s">
        <v>813</v>
      </c>
      <c r="B383" s="5" t="s">
        <v>814</v>
      </c>
      <c r="C383" s="18" t="s">
        <v>67</v>
      </c>
      <c r="D383" s="18" t="s">
        <v>64</v>
      </c>
      <c r="E383" s="6">
        <v>5900000</v>
      </c>
      <c r="F383" s="19">
        <v>0.5</v>
      </c>
      <c r="G383" s="18">
        <v>85</v>
      </c>
      <c r="H383" s="20">
        <v>2.2999999999999998</v>
      </c>
      <c r="I383" s="21" t="str">
        <f t="shared" si="20"/>
        <v>No cumple</v>
      </c>
      <c r="J383" s="22" t="str">
        <f t="shared" si="21"/>
        <v>Sin bono</v>
      </c>
      <c r="K383" s="23" t="str">
        <f t="shared" si="22"/>
        <v>ALERTA</v>
      </c>
      <c r="L383" s="24" t="str">
        <f t="shared" si="23"/>
        <v>Revisar</v>
      </c>
    </row>
    <row r="384" spans="1:12" ht="18" customHeight="1" x14ac:dyDescent="0.3">
      <c r="A384" s="25" t="s">
        <v>815</v>
      </c>
      <c r="B384" s="8" t="s">
        <v>816</v>
      </c>
      <c r="C384" s="25" t="s">
        <v>71</v>
      </c>
      <c r="D384" s="25" t="s">
        <v>78</v>
      </c>
      <c r="E384" s="9">
        <v>2900000</v>
      </c>
      <c r="F384" s="26">
        <v>0.84</v>
      </c>
      <c r="G384" s="25">
        <v>31</v>
      </c>
      <c r="H384" s="27">
        <v>3.3</v>
      </c>
      <c r="I384" s="21" t="str">
        <f t="shared" si="20"/>
        <v>Cumple</v>
      </c>
      <c r="J384" s="22" t="str">
        <f t="shared" si="21"/>
        <v>Sin bono</v>
      </c>
      <c r="K384" s="23" t="str">
        <f t="shared" si="22"/>
        <v>ALERTA</v>
      </c>
      <c r="L384" s="24" t="str">
        <f t="shared" si="23"/>
        <v>Revisar</v>
      </c>
    </row>
    <row r="385" spans="1:12" ht="18" customHeight="1" x14ac:dyDescent="0.3">
      <c r="A385" s="18" t="s">
        <v>817</v>
      </c>
      <c r="B385" s="5" t="s">
        <v>818</v>
      </c>
      <c r="C385" s="18" t="s">
        <v>59</v>
      </c>
      <c r="D385" s="18" t="s">
        <v>114</v>
      </c>
      <c r="E385" s="6">
        <v>7500000</v>
      </c>
      <c r="F385" s="19">
        <v>0.52</v>
      </c>
      <c r="G385" s="18">
        <v>64</v>
      </c>
      <c r="H385" s="20">
        <v>14.7</v>
      </c>
      <c r="I385" s="21" t="str">
        <f t="shared" si="20"/>
        <v>No cumple</v>
      </c>
      <c r="J385" s="22" t="str">
        <f t="shared" si="21"/>
        <v>Sin bono</v>
      </c>
      <c r="K385" s="23" t="str">
        <f t="shared" si="22"/>
        <v>ALERTA</v>
      </c>
      <c r="L385" s="24" t="str">
        <f t="shared" si="23"/>
        <v>Revisar</v>
      </c>
    </row>
    <row r="386" spans="1:12" ht="18" customHeight="1" x14ac:dyDescent="0.3">
      <c r="A386" s="25" t="s">
        <v>819</v>
      </c>
      <c r="B386" s="8" t="s">
        <v>820</v>
      </c>
      <c r="C386" s="25" t="s">
        <v>91</v>
      </c>
      <c r="D386" s="25" t="s">
        <v>92</v>
      </c>
      <c r="E386" s="9">
        <v>8200000</v>
      </c>
      <c r="F386" s="26">
        <v>0.6</v>
      </c>
      <c r="G386" s="25">
        <v>38</v>
      </c>
      <c r="H386" s="27">
        <v>5.3</v>
      </c>
      <c r="I386" s="21" t="str">
        <f t="shared" si="20"/>
        <v>No cumple</v>
      </c>
      <c r="J386" s="22" t="str">
        <f t="shared" si="21"/>
        <v>Sin bono</v>
      </c>
      <c r="K386" s="23" t="str">
        <f t="shared" si="22"/>
        <v>ALERTA</v>
      </c>
      <c r="L386" s="24" t="str">
        <f t="shared" si="23"/>
        <v>Revisar</v>
      </c>
    </row>
    <row r="387" spans="1:12" ht="18" customHeight="1" x14ac:dyDescent="0.3">
      <c r="A387" s="18" t="s">
        <v>821</v>
      </c>
      <c r="B387" s="5" t="s">
        <v>822</v>
      </c>
      <c r="C387" s="18" t="s">
        <v>77</v>
      </c>
      <c r="D387" s="18" t="s">
        <v>92</v>
      </c>
      <c r="E387" s="6">
        <v>3500000</v>
      </c>
      <c r="F387" s="19">
        <v>0.72</v>
      </c>
      <c r="G387" s="18">
        <v>51</v>
      </c>
      <c r="H387" s="20">
        <v>7.4</v>
      </c>
      <c r="I387" s="21" t="str">
        <f t="shared" si="20"/>
        <v>No cumple</v>
      </c>
      <c r="J387" s="22" t="str">
        <f t="shared" si="21"/>
        <v>Sin bono</v>
      </c>
      <c r="K387" s="23" t="str">
        <f t="shared" si="22"/>
        <v>OK</v>
      </c>
      <c r="L387" s="24" t="str">
        <f t="shared" si="23"/>
        <v>Revisar</v>
      </c>
    </row>
    <row r="388" spans="1:12" ht="18" customHeight="1" x14ac:dyDescent="0.3">
      <c r="A388" s="25" t="s">
        <v>823</v>
      </c>
      <c r="B388" s="8" t="s">
        <v>824</v>
      </c>
      <c r="C388" s="25" t="s">
        <v>74</v>
      </c>
      <c r="D388" s="25" t="s">
        <v>60</v>
      </c>
      <c r="E388" s="9">
        <v>9300000</v>
      </c>
      <c r="F388" s="26">
        <v>0.45</v>
      </c>
      <c r="G388" s="25">
        <v>31</v>
      </c>
      <c r="H388" s="27">
        <v>4.9000000000000004</v>
      </c>
      <c r="I388" s="21" t="str">
        <f t="shared" si="20"/>
        <v>No cumple</v>
      </c>
      <c r="J388" s="22" t="str">
        <f t="shared" si="21"/>
        <v>Sin bono</v>
      </c>
      <c r="K388" s="23" t="str">
        <f t="shared" si="22"/>
        <v>ALERTA</v>
      </c>
      <c r="L388" s="24" t="str">
        <f t="shared" si="23"/>
        <v>Revisar</v>
      </c>
    </row>
    <row r="389" spans="1:12" ht="18" customHeight="1" x14ac:dyDescent="0.3">
      <c r="A389" s="18" t="s">
        <v>825</v>
      </c>
      <c r="B389" s="5" t="s">
        <v>826</v>
      </c>
      <c r="C389" s="18" t="s">
        <v>91</v>
      </c>
      <c r="D389" s="18" t="s">
        <v>68</v>
      </c>
      <c r="E389" s="6">
        <v>5600000</v>
      </c>
      <c r="F389" s="19">
        <v>0.63</v>
      </c>
      <c r="G389" s="18">
        <v>83</v>
      </c>
      <c r="H389" s="20">
        <v>18.3</v>
      </c>
      <c r="I389" s="21" t="str">
        <f t="shared" si="20"/>
        <v>No cumple</v>
      </c>
      <c r="J389" s="22" t="str">
        <f t="shared" si="21"/>
        <v>Sin bono</v>
      </c>
      <c r="K389" s="23" t="str">
        <f t="shared" si="22"/>
        <v>OK</v>
      </c>
      <c r="L389" s="24" t="str">
        <f t="shared" si="23"/>
        <v>Revisar</v>
      </c>
    </row>
    <row r="390" spans="1:12" ht="18" customHeight="1" x14ac:dyDescent="0.3">
      <c r="A390" s="25" t="s">
        <v>827</v>
      </c>
      <c r="B390" s="8" t="s">
        <v>828</v>
      </c>
      <c r="C390" s="25" t="s">
        <v>74</v>
      </c>
      <c r="D390" s="25" t="s">
        <v>92</v>
      </c>
      <c r="E390" s="9">
        <v>4300000</v>
      </c>
      <c r="F390" s="26">
        <v>0.73</v>
      </c>
      <c r="G390" s="25">
        <v>36</v>
      </c>
      <c r="H390" s="27">
        <v>3.6</v>
      </c>
      <c r="I390" s="21" t="str">
        <f t="shared" si="20"/>
        <v>No cumple</v>
      </c>
      <c r="J390" s="22" t="str">
        <f t="shared" si="21"/>
        <v>Sin bono</v>
      </c>
      <c r="K390" s="23" t="str">
        <f t="shared" si="22"/>
        <v>ALERTA</v>
      </c>
      <c r="L390" s="24" t="str">
        <f t="shared" si="23"/>
        <v>Revisar</v>
      </c>
    </row>
    <row r="391" spans="1:12" ht="18" customHeight="1" x14ac:dyDescent="0.3">
      <c r="A391" s="18" t="s">
        <v>829</v>
      </c>
      <c r="B391" s="5" t="s">
        <v>830</v>
      </c>
      <c r="C391" s="18" t="s">
        <v>63</v>
      </c>
      <c r="D391" s="18" t="s">
        <v>78</v>
      </c>
      <c r="E391" s="6">
        <v>8700000</v>
      </c>
      <c r="F391" s="19">
        <v>0.93</v>
      </c>
      <c r="G391" s="18">
        <v>69</v>
      </c>
      <c r="H391" s="20">
        <v>6.5</v>
      </c>
      <c r="I391" s="21" t="str">
        <f t="shared" si="20"/>
        <v>Cumple</v>
      </c>
      <c r="J391" s="22" t="str">
        <f t="shared" si="21"/>
        <v>Sin bono</v>
      </c>
      <c r="K391" s="23" t="str">
        <f t="shared" si="22"/>
        <v>OK</v>
      </c>
      <c r="L391" s="24" t="str">
        <f t="shared" si="23"/>
        <v>Revisar</v>
      </c>
    </row>
    <row r="392" spans="1:12" ht="18" customHeight="1" x14ac:dyDescent="0.3">
      <c r="A392" s="25" t="s">
        <v>831</v>
      </c>
      <c r="B392" s="8" t="s">
        <v>832</v>
      </c>
      <c r="C392" s="25" t="s">
        <v>91</v>
      </c>
      <c r="D392" s="25" t="s">
        <v>92</v>
      </c>
      <c r="E392" s="9">
        <v>5300000</v>
      </c>
      <c r="F392" s="26">
        <v>0.61</v>
      </c>
      <c r="G392" s="25">
        <v>68</v>
      </c>
      <c r="H392" s="27">
        <v>14.8</v>
      </c>
      <c r="I392" s="21" t="str">
        <f t="shared" si="20"/>
        <v>No cumple</v>
      </c>
      <c r="J392" s="22" t="str">
        <f t="shared" si="21"/>
        <v>Sin bono</v>
      </c>
      <c r="K392" s="23" t="str">
        <f t="shared" si="22"/>
        <v>OK</v>
      </c>
      <c r="L392" s="24" t="str">
        <f t="shared" si="23"/>
        <v>Revisar</v>
      </c>
    </row>
    <row r="393" spans="1:12" ht="18" customHeight="1" x14ac:dyDescent="0.3">
      <c r="A393" s="18" t="s">
        <v>833</v>
      </c>
      <c r="B393" s="5" t="s">
        <v>834</v>
      </c>
      <c r="C393" s="18" t="s">
        <v>81</v>
      </c>
      <c r="D393" s="18" t="s">
        <v>105</v>
      </c>
      <c r="E393" s="6">
        <v>5300000</v>
      </c>
      <c r="F393" s="19">
        <v>0.85</v>
      </c>
      <c r="G393" s="18">
        <v>99</v>
      </c>
      <c r="H393" s="20">
        <v>15.2</v>
      </c>
      <c r="I393" s="21" t="str">
        <f t="shared" si="20"/>
        <v>Cumple</v>
      </c>
      <c r="J393" s="22" t="str">
        <f t="shared" si="21"/>
        <v>BONO</v>
      </c>
      <c r="K393" s="23" t="str">
        <f t="shared" si="22"/>
        <v>OK</v>
      </c>
      <c r="L393" s="24" t="str">
        <f t="shared" si="23"/>
        <v>Bueno</v>
      </c>
    </row>
    <row r="394" spans="1:12" ht="18" customHeight="1" x14ac:dyDescent="0.3">
      <c r="A394" s="25" t="s">
        <v>835</v>
      </c>
      <c r="B394" s="8" t="s">
        <v>836</v>
      </c>
      <c r="C394" s="25" t="s">
        <v>91</v>
      </c>
      <c r="D394" s="25" t="s">
        <v>68</v>
      </c>
      <c r="E394" s="9">
        <v>3100000</v>
      </c>
      <c r="F394" s="26">
        <v>0.57999999999999996</v>
      </c>
      <c r="G394" s="25">
        <v>74</v>
      </c>
      <c r="H394" s="27">
        <v>12.7</v>
      </c>
      <c r="I394" s="21" t="str">
        <f t="shared" si="20"/>
        <v>No cumple</v>
      </c>
      <c r="J394" s="22" t="str">
        <f t="shared" si="21"/>
        <v>Sin bono</v>
      </c>
      <c r="K394" s="23" t="str">
        <f t="shared" si="22"/>
        <v>ALERTA</v>
      </c>
      <c r="L394" s="24" t="str">
        <f t="shared" si="23"/>
        <v>Revisar</v>
      </c>
    </row>
    <row r="395" spans="1:12" ht="18" customHeight="1" x14ac:dyDescent="0.3">
      <c r="A395" s="18" t="s">
        <v>837</v>
      </c>
      <c r="B395" s="5" t="s">
        <v>838</v>
      </c>
      <c r="C395" s="18" t="s">
        <v>91</v>
      </c>
      <c r="D395" s="18" t="s">
        <v>68</v>
      </c>
      <c r="E395" s="6">
        <v>6700000</v>
      </c>
      <c r="F395" s="19">
        <v>0.51</v>
      </c>
      <c r="G395" s="18">
        <v>97</v>
      </c>
      <c r="H395" s="20">
        <v>19.7</v>
      </c>
      <c r="I395" s="21" t="str">
        <f t="shared" si="20"/>
        <v>No cumple</v>
      </c>
      <c r="J395" s="22" t="str">
        <f t="shared" si="21"/>
        <v>Sin bono</v>
      </c>
      <c r="K395" s="23" t="str">
        <f t="shared" si="22"/>
        <v>ALERTA</v>
      </c>
      <c r="L395" s="24" t="str">
        <f t="shared" si="23"/>
        <v>Revisar</v>
      </c>
    </row>
    <row r="396" spans="1:12" ht="18" customHeight="1" x14ac:dyDescent="0.3">
      <c r="A396" s="25" t="s">
        <v>839</v>
      </c>
      <c r="B396" s="8" t="s">
        <v>840</v>
      </c>
      <c r="C396" s="25" t="s">
        <v>59</v>
      </c>
      <c r="D396" s="25" t="s">
        <v>78</v>
      </c>
      <c r="E396" s="9">
        <v>3300000</v>
      </c>
      <c r="F396" s="26">
        <v>0.96</v>
      </c>
      <c r="G396" s="25">
        <v>96</v>
      </c>
      <c r="H396" s="27">
        <v>8.3000000000000007</v>
      </c>
      <c r="I396" s="21" t="str">
        <f t="shared" si="20"/>
        <v>Cumple</v>
      </c>
      <c r="J396" s="22" t="str">
        <f t="shared" si="21"/>
        <v>BONO</v>
      </c>
      <c r="K396" s="23" t="str">
        <f t="shared" si="22"/>
        <v>OK</v>
      </c>
      <c r="L396" s="24" t="str">
        <f t="shared" si="23"/>
        <v>Excelente</v>
      </c>
    </row>
    <row r="397" spans="1:12" ht="18" customHeight="1" x14ac:dyDescent="0.3">
      <c r="A397" s="18" t="s">
        <v>841</v>
      </c>
      <c r="B397" s="5" t="s">
        <v>842</v>
      </c>
      <c r="C397" s="18" t="s">
        <v>74</v>
      </c>
      <c r="D397" s="18" t="s">
        <v>78</v>
      </c>
      <c r="E397" s="6">
        <v>9200000</v>
      </c>
      <c r="F397" s="19">
        <v>0.52</v>
      </c>
      <c r="G397" s="18">
        <v>80</v>
      </c>
      <c r="H397" s="20">
        <v>1.5</v>
      </c>
      <c r="I397" s="21" t="str">
        <f t="shared" ref="I397:I460" si="24">IF(F397&gt;=0.8,"Cumple","No cumple")</f>
        <v>No cumple</v>
      </c>
      <c r="J397" s="22" t="str">
        <f t="shared" ref="J397:J460" si="25">IF(AND(F397&gt;=0.8,G397&gt;=70),"BONO","Sin bono")</f>
        <v>Sin bono</v>
      </c>
      <c r="K397" s="23" t="str">
        <f t="shared" ref="K397:K460" si="26">IF(OR(F397&lt;0.6,G397&lt;50),"ALERTA","OK")</f>
        <v>ALERTA</v>
      </c>
      <c r="L397" s="24" t="str">
        <f t="shared" ref="L397:L460" si="27">IF(AND(F397&gt;=0.9,G397&gt;=85),"Excelente",IF(AND(F397&gt;=0.8,G397&gt;=70),"Bueno","Revisar"))</f>
        <v>Revisar</v>
      </c>
    </row>
    <row r="398" spans="1:12" ht="18" customHeight="1" x14ac:dyDescent="0.3">
      <c r="A398" s="25" t="s">
        <v>843</v>
      </c>
      <c r="B398" s="8" t="s">
        <v>844</v>
      </c>
      <c r="C398" s="25" t="s">
        <v>71</v>
      </c>
      <c r="D398" s="25" t="s">
        <v>60</v>
      </c>
      <c r="E398" s="9">
        <v>6500000</v>
      </c>
      <c r="F398" s="26">
        <v>0.59</v>
      </c>
      <c r="G398" s="25">
        <v>70</v>
      </c>
      <c r="H398" s="27">
        <v>18.5</v>
      </c>
      <c r="I398" s="21" t="str">
        <f t="shared" si="24"/>
        <v>No cumple</v>
      </c>
      <c r="J398" s="22" t="str">
        <f t="shared" si="25"/>
        <v>Sin bono</v>
      </c>
      <c r="K398" s="23" t="str">
        <f t="shared" si="26"/>
        <v>ALERTA</v>
      </c>
      <c r="L398" s="24" t="str">
        <f t="shared" si="27"/>
        <v>Revisar</v>
      </c>
    </row>
    <row r="399" spans="1:12" ht="18" customHeight="1" x14ac:dyDescent="0.3">
      <c r="A399" s="18" t="s">
        <v>845</v>
      </c>
      <c r="B399" s="5" t="s">
        <v>846</v>
      </c>
      <c r="C399" s="18" t="s">
        <v>81</v>
      </c>
      <c r="D399" s="18" t="s">
        <v>92</v>
      </c>
      <c r="E399" s="6">
        <v>8500000</v>
      </c>
      <c r="F399" s="19">
        <v>0.6</v>
      </c>
      <c r="G399" s="18">
        <v>39</v>
      </c>
      <c r="H399" s="20">
        <v>18.899999999999999</v>
      </c>
      <c r="I399" s="21" t="str">
        <f t="shared" si="24"/>
        <v>No cumple</v>
      </c>
      <c r="J399" s="22" t="str">
        <f t="shared" si="25"/>
        <v>Sin bono</v>
      </c>
      <c r="K399" s="23" t="str">
        <f t="shared" si="26"/>
        <v>ALERTA</v>
      </c>
      <c r="L399" s="24" t="str">
        <f t="shared" si="27"/>
        <v>Revisar</v>
      </c>
    </row>
    <row r="400" spans="1:12" ht="18" customHeight="1" x14ac:dyDescent="0.3">
      <c r="A400" s="25" t="s">
        <v>847</v>
      </c>
      <c r="B400" s="8" t="s">
        <v>848</v>
      </c>
      <c r="C400" s="25" t="s">
        <v>71</v>
      </c>
      <c r="D400" s="25" t="s">
        <v>78</v>
      </c>
      <c r="E400" s="9">
        <v>4900000</v>
      </c>
      <c r="F400" s="26">
        <v>0.7</v>
      </c>
      <c r="G400" s="25">
        <v>70</v>
      </c>
      <c r="H400" s="27">
        <v>8.1</v>
      </c>
      <c r="I400" s="21" t="str">
        <f t="shared" si="24"/>
        <v>No cumple</v>
      </c>
      <c r="J400" s="22" t="str">
        <f t="shared" si="25"/>
        <v>Sin bono</v>
      </c>
      <c r="K400" s="23" t="str">
        <f t="shared" si="26"/>
        <v>OK</v>
      </c>
      <c r="L400" s="24" t="str">
        <f t="shared" si="27"/>
        <v>Revisar</v>
      </c>
    </row>
    <row r="401" spans="1:12" ht="18" customHeight="1" x14ac:dyDescent="0.3">
      <c r="A401" s="18" t="s">
        <v>849</v>
      </c>
      <c r="B401" s="5" t="s">
        <v>850</v>
      </c>
      <c r="C401" s="18" t="s">
        <v>67</v>
      </c>
      <c r="D401" s="18" t="s">
        <v>105</v>
      </c>
      <c r="E401" s="6">
        <v>6700000</v>
      </c>
      <c r="F401" s="19">
        <v>0.7</v>
      </c>
      <c r="G401" s="18">
        <v>45</v>
      </c>
      <c r="H401" s="20">
        <v>1.8</v>
      </c>
      <c r="I401" s="21" t="str">
        <f t="shared" si="24"/>
        <v>No cumple</v>
      </c>
      <c r="J401" s="22" t="str">
        <f t="shared" si="25"/>
        <v>Sin bono</v>
      </c>
      <c r="K401" s="23" t="str">
        <f t="shared" si="26"/>
        <v>ALERTA</v>
      </c>
      <c r="L401" s="24" t="str">
        <f t="shared" si="27"/>
        <v>Revisar</v>
      </c>
    </row>
    <row r="402" spans="1:12" ht="18" customHeight="1" x14ac:dyDescent="0.3">
      <c r="A402" s="25" t="s">
        <v>851</v>
      </c>
      <c r="B402" s="8" t="s">
        <v>852</v>
      </c>
      <c r="C402" s="25" t="s">
        <v>91</v>
      </c>
      <c r="D402" s="25" t="s">
        <v>60</v>
      </c>
      <c r="E402" s="9">
        <v>6900000</v>
      </c>
      <c r="F402" s="26">
        <v>0.53</v>
      </c>
      <c r="G402" s="25">
        <v>61</v>
      </c>
      <c r="H402" s="27">
        <v>19.399999999999999</v>
      </c>
      <c r="I402" s="21" t="str">
        <f t="shared" si="24"/>
        <v>No cumple</v>
      </c>
      <c r="J402" s="22" t="str">
        <f t="shared" si="25"/>
        <v>Sin bono</v>
      </c>
      <c r="K402" s="23" t="str">
        <f t="shared" si="26"/>
        <v>ALERTA</v>
      </c>
      <c r="L402" s="24" t="str">
        <f t="shared" si="27"/>
        <v>Revisar</v>
      </c>
    </row>
    <row r="403" spans="1:12" ht="18" customHeight="1" x14ac:dyDescent="0.3">
      <c r="A403" s="18" t="s">
        <v>853</v>
      </c>
      <c r="B403" s="5" t="s">
        <v>854</v>
      </c>
      <c r="C403" s="18" t="s">
        <v>91</v>
      </c>
      <c r="D403" s="18" t="s">
        <v>88</v>
      </c>
      <c r="E403" s="6">
        <v>6100000</v>
      </c>
      <c r="F403" s="19">
        <v>0.9</v>
      </c>
      <c r="G403" s="18">
        <v>52</v>
      </c>
      <c r="H403" s="20">
        <v>0.6</v>
      </c>
      <c r="I403" s="21" t="str">
        <f t="shared" si="24"/>
        <v>Cumple</v>
      </c>
      <c r="J403" s="22" t="str">
        <f t="shared" si="25"/>
        <v>Sin bono</v>
      </c>
      <c r="K403" s="23" t="str">
        <f t="shared" si="26"/>
        <v>OK</v>
      </c>
      <c r="L403" s="24" t="str">
        <f t="shared" si="27"/>
        <v>Revisar</v>
      </c>
    </row>
    <row r="404" spans="1:12" ht="18" customHeight="1" x14ac:dyDescent="0.3">
      <c r="A404" s="25" t="s">
        <v>855</v>
      </c>
      <c r="B404" s="8" t="s">
        <v>856</v>
      </c>
      <c r="C404" s="25" t="s">
        <v>71</v>
      </c>
      <c r="D404" s="25" t="s">
        <v>78</v>
      </c>
      <c r="E404" s="9">
        <v>2900000</v>
      </c>
      <c r="F404" s="26">
        <v>0.48</v>
      </c>
      <c r="G404" s="25">
        <v>58</v>
      </c>
      <c r="H404" s="27">
        <v>2.6</v>
      </c>
      <c r="I404" s="21" t="str">
        <f t="shared" si="24"/>
        <v>No cumple</v>
      </c>
      <c r="J404" s="22" t="str">
        <f t="shared" si="25"/>
        <v>Sin bono</v>
      </c>
      <c r="K404" s="23" t="str">
        <f t="shared" si="26"/>
        <v>ALERTA</v>
      </c>
      <c r="L404" s="24" t="str">
        <f t="shared" si="27"/>
        <v>Revisar</v>
      </c>
    </row>
    <row r="405" spans="1:12" ht="18" customHeight="1" x14ac:dyDescent="0.3">
      <c r="A405" s="18" t="s">
        <v>857</v>
      </c>
      <c r="B405" s="5" t="s">
        <v>858</v>
      </c>
      <c r="C405" s="18" t="s">
        <v>59</v>
      </c>
      <c r="D405" s="18" t="s">
        <v>78</v>
      </c>
      <c r="E405" s="6">
        <v>3000000</v>
      </c>
      <c r="F405" s="19">
        <v>1</v>
      </c>
      <c r="G405" s="18">
        <v>55</v>
      </c>
      <c r="H405" s="20">
        <v>18</v>
      </c>
      <c r="I405" s="21" t="str">
        <f t="shared" si="24"/>
        <v>Cumple</v>
      </c>
      <c r="J405" s="22" t="str">
        <f t="shared" si="25"/>
        <v>Sin bono</v>
      </c>
      <c r="K405" s="23" t="str">
        <f t="shared" si="26"/>
        <v>OK</v>
      </c>
      <c r="L405" s="24" t="str">
        <f t="shared" si="27"/>
        <v>Revisar</v>
      </c>
    </row>
    <row r="406" spans="1:12" ht="18" customHeight="1" x14ac:dyDescent="0.3">
      <c r="A406" s="25" t="s">
        <v>859</v>
      </c>
      <c r="B406" s="8" t="s">
        <v>860</v>
      </c>
      <c r="C406" s="25" t="s">
        <v>71</v>
      </c>
      <c r="D406" s="25" t="s">
        <v>78</v>
      </c>
      <c r="E406" s="9">
        <v>7000000</v>
      </c>
      <c r="F406" s="26">
        <v>0.52</v>
      </c>
      <c r="G406" s="25">
        <v>89</v>
      </c>
      <c r="H406" s="27">
        <v>1</v>
      </c>
      <c r="I406" s="21" t="str">
        <f t="shared" si="24"/>
        <v>No cumple</v>
      </c>
      <c r="J406" s="22" t="str">
        <f t="shared" si="25"/>
        <v>Sin bono</v>
      </c>
      <c r="K406" s="23" t="str">
        <f t="shared" si="26"/>
        <v>ALERTA</v>
      </c>
      <c r="L406" s="24" t="str">
        <f t="shared" si="27"/>
        <v>Revisar</v>
      </c>
    </row>
    <row r="407" spans="1:12" ht="18" customHeight="1" x14ac:dyDescent="0.3">
      <c r="A407" s="18" t="s">
        <v>861</v>
      </c>
      <c r="B407" s="5" t="s">
        <v>862</v>
      </c>
      <c r="C407" s="18" t="s">
        <v>63</v>
      </c>
      <c r="D407" s="18" t="s">
        <v>114</v>
      </c>
      <c r="E407" s="6">
        <v>7300000</v>
      </c>
      <c r="F407" s="19">
        <v>0.56999999999999995</v>
      </c>
      <c r="G407" s="18">
        <v>53</v>
      </c>
      <c r="H407" s="20">
        <v>5.5</v>
      </c>
      <c r="I407" s="21" t="str">
        <f t="shared" si="24"/>
        <v>No cumple</v>
      </c>
      <c r="J407" s="22" t="str">
        <f t="shared" si="25"/>
        <v>Sin bono</v>
      </c>
      <c r="K407" s="23" t="str">
        <f t="shared" si="26"/>
        <v>ALERTA</v>
      </c>
      <c r="L407" s="24" t="str">
        <f t="shared" si="27"/>
        <v>Revisar</v>
      </c>
    </row>
    <row r="408" spans="1:12" ht="18" customHeight="1" x14ac:dyDescent="0.3">
      <c r="A408" s="25" t="s">
        <v>863</v>
      </c>
      <c r="B408" s="8" t="s">
        <v>864</v>
      </c>
      <c r="C408" s="25" t="s">
        <v>67</v>
      </c>
      <c r="D408" s="25" t="s">
        <v>88</v>
      </c>
      <c r="E408" s="9">
        <v>9100000</v>
      </c>
      <c r="F408" s="26">
        <v>0.68</v>
      </c>
      <c r="G408" s="25">
        <v>100</v>
      </c>
      <c r="H408" s="27">
        <v>9.6</v>
      </c>
      <c r="I408" s="21" t="str">
        <f t="shared" si="24"/>
        <v>No cumple</v>
      </c>
      <c r="J408" s="22" t="str">
        <f t="shared" si="25"/>
        <v>Sin bono</v>
      </c>
      <c r="K408" s="23" t="str">
        <f t="shared" si="26"/>
        <v>OK</v>
      </c>
      <c r="L408" s="24" t="str">
        <f t="shared" si="27"/>
        <v>Revisar</v>
      </c>
    </row>
    <row r="409" spans="1:12" ht="18" customHeight="1" x14ac:dyDescent="0.3">
      <c r="A409" s="18" t="s">
        <v>865</v>
      </c>
      <c r="B409" s="5" t="s">
        <v>866</v>
      </c>
      <c r="C409" s="18" t="s">
        <v>63</v>
      </c>
      <c r="D409" s="18" t="s">
        <v>114</v>
      </c>
      <c r="E409" s="6">
        <v>8100000</v>
      </c>
      <c r="F409" s="19">
        <v>0.56000000000000005</v>
      </c>
      <c r="G409" s="18">
        <v>97</v>
      </c>
      <c r="H409" s="20">
        <v>5</v>
      </c>
      <c r="I409" s="21" t="str">
        <f t="shared" si="24"/>
        <v>No cumple</v>
      </c>
      <c r="J409" s="22" t="str">
        <f t="shared" si="25"/>
        <v>Sin bono</v>
      </c>
      <c r="K409" s="23" t="str">
        <f t="shared" si="26"/>
        <v>ALERTA</v>
      </c>
      <c r="L409" s="24" t="str">
        <f t="shared" si="27"/>
        <v>Revisar</v>
      </c>
    </row>
    <row r="410" spans="1:12" ht="18" customHeight="1" x14ac:dyDescent="0.3">
      <c r="A410" s="25" t="s">
        <v>867</v>
      </c>
      <c r="B410" s="8" t="s">
        <v>868</v>
      </c>
      <c r="C410" s="25" t="s">
        <v>77</v>
      </c>
      <c r="D410" s="25" t="s">
        <v>92</v>
      </c>
      <c r="E410" s="9">
        <v>10000000</v>
      </c>
      <c r="F410" s="26">
        <v>0.73</v>
      </c>
      <c r="G410" s="25">
        <v>79</v>
      </c>
      <c r="H410" s="27">
        <v>5.4</v>
      </c>
      <c r="I410" s="21" t="str">
        <f t="shared" si="24"/>
        <v>No cumple</v>
      </c>
      <c r="J410" s="22" t="str">
        <f t="shared" si="25"/>
        <v>Sin bono</v>
      </c>
      <c r="K410" s="23" t="str">
        <f t="shared" si="26"/>
        <v>OK</v>
      </c>
      <c r="L410" s="24" t="str">
        <f t="shared" si="27"/>
        <v>Revisar</v>
      </c>
    </row>
    <row r="411" spans="1:12" ht="18" customHeight="1" x14ac:dyDescent="0.3">
      <c r="A411" s="18" t="s">
        <v>869</v>
      </c>
      <c r="B411" s="5" t="s">
        <v>870</v>
      </c>
      <c r="C411" s="18" t="s">
        <v>91</v>
      </c>
      <c r="D411" s="18" t="s">
        <v>88</v>
      </c>
      <c r="E411" s="6">
        <v>3500000</v>
      </c>
      <c r="F411" s="19">
        <v>0.89</v>
      </c>
      <c r="G411" s="18">
        <v>90</v>
      </c>
      <c r="H411" s="20">
        <v>10.6</v>
      </c>
      <c r="I411" s="21" t="str">
        <f t="shared" si="24"/>
        <v>Cumple</v>
      </c>
      <c r="J411" s="22" t="str">
        <f t="shared" si="25"/>
        <v>BONO</v>
      </c>
      <c r="K411" s="23" t="str">
        <f t="shared" si="26"/>
        <v>OK</v>
      </c>
      <c r="L411" s="24" t="str">
        <f t="shared" si="27"/>
        <v>Bueno</v>
      </c>
    </row>
    <row r="412" spans="1:12" ht="18" customHeight="1" x14ac:dyDescent="0.3">
      <c r="A412" s="25" t="s">
        <v>871</v>
      </c>
      <c r="B412" s="8" t="s">
        <v>872</v>
      </c>
      <c r="C412" s="25" t="s">
        <v>71</v>
      </c>
      <c r="D412" s="25" t="s">
        <v>78</v>
      </c>
      <c r="E412" s="9">
        <v>5900000</v>
      </c>
      <c r="F412" s="26">
        <v>0.81</v>
      </c>
      <c r="G412" s="25">
        <v>64</v>
      </c>
      <c r="H412" s="27">
        <v>10.7</v>
      </c>
      <c r="I412" s="21" t="str">
        <f t="shared" si="24"/>
        <v>Cumple</v>
      </c>
      <c r="J412" s="22" t="str">
        <f t="shared" si="25"/>
        <v>Sin bono</v>
      </c>
      <c r="K412" s="23" t="str">
        <f t="shared" si="26"/>
        <v>OK</v>
      </c>
      <c r="L412" s="24" t="str">
        <f t="shared" si="27"/>
        <v>Revisar</v>
      </c>
    </row>
    <row r="413" spans="1:12" ht="18" customHeight="1" x14ac:dyDescent="0.3">
      <c r="A413" s="18" t="s">
        <v>873</v>
      </c>
      <c r="B413" s="5" t="s">
        <v>874</v>
      </c>
      <c r="C413" s="18" t="s">
        <v>67</v>
      </c>
      <c r="D413" s="18" t="s">
        <v>68</v>
      </c>
      <c r="E413" s="6">
        <v>7300000</v>
      </c>
      <c r="F413" s="19">
        <v>0.96</v>
      </c>
      <c r="G413" s="18">
        <v>52</v>
      </c>
      <c r="H413" s="20">
        <v>3.5</v>
      </c>
      <c r="I413" s="21" t="str">
        <f t="shared" si="24"/>
        <v>Cumple</v>
      </c>
      <c r="J413" s="22" t="str">
        <f t="shared" si="25"/>
        <v>Sin bono</v>
      </c>
      <c r="K413" s="23" t="str">
        <f t="shared" si="26"/>
        <v>OK</v>
      </c>
      <c r="L413" s="24" t="str">
        <f t="shared" si="27"/>
        <v>Revisar</v>
      </c>
    </row>
    <row r="414" spans="1:12" ht="18" customHeight="1" x14ac:dyDescent="0.3">
      <c r="A414" s="25" t="s">
        <v>875</v>
      </c>
      <c r="B414" s="8" t="s">
        <v>876</v>
      </c>
      <c r="C414" s="25" t="s">
        <v>81</v>
      </c>
      <c r="D414" s="25" t="s">
        <v>64</v>
      </c>
      <c r="E414" s="9">
        <v>11800000</v>
      </c>
      <c r="F414" s="26">
        <v>0.84</v>
      </c>
      <c r="G414" s="25">
        <v>48</v>
      </c>
      <c r="H414" s="27">
        <v>11.3</v>
      </c>
      <c r="I414" s="21" t="str">
        <f t="shared" si="24"/>
        <v>Cumple</v>
      </c>
      <c r="J414" s="22" t="str">
        <f t="shared" si="25"/>
        <v>Sin bono</v>
      </c>
      <c r="K414" s="23" t="str">
        <f t="shared" si="26"/>
        <v>ALERTA</v>
      </c>
      <c r="L414" s="24" t="str">
        <f t="shared" si="27"/>
        <v>Revisar</v>
      </c>
    </row>
    <row r="415" spans="1:12" ht="18" customHeight="1" x14ac:dyDescent="0.3">
      <c r="A415" s="18" t="s">
        <v>877</v>
      </c>
      <c r="B415" s="5" t="s">
        <v>878</v>
      </c>
      <c r="C415" s="18" t="s">
        <v>77</v>
      </c>
      <c r="D415" s="18" t="s">
        <v>88</v>
      </c>
      <c r="E415" s="6">
        <v>5000000</v>
      </c>
      <c r="F415" s="19">
        <v>0.72</v>
      </c>
      <c r="G415" s="18">
        <v>41</v>
      </c>
      <c r="H415" s="20">
        <v>1.1000000000000001</v>
      </c>
      <c r="I415" s="21" t="str">
        <f t="shared" si="24"/>
        <v>No cumple</v>
      </c>
      <c r="J415" s="22" t="str">
        <f t="shared" si="25"/>
        <v>Sin bono</v>
      </c>
      <c r="K415" s="23" t="str">
        <f t="shared" si="26"/>
        <v>ALERTA</v>
      </c>
      <c r="L415" s="24" t="str">
        <f t="shared" si="27"/>
        <v>Revisar</v>
      </c>
    </row>
    <row r="416" spans="1:12" ht="18" customHeight="1" x14ac:dyDescent="0.3">
      <c r="A416" s="25" t="s">
        <v>879</v>
      </c>
      <c r="B416" s="8" t="s">
        <v>880</v>
      </c>
      <c r="C416" s="25" t="s">
        <v>81</v>
      </c>
      <c r="D416" s="25" t="s">
        <v>60</v>
      </c>
      <c r="E416" s="9">
        <v>4400000</v>
      </c>
      <c r="F416" s="26">
        <v>0.64</v>
      </c>
      <c r="G416" s="25">
        <v>52</v>
      </c>
      <c r="H416" s="27">
        <v>18.399999999999999</v>
      </c>
      <c r="I416" s="21" t="str">
        <f t="shared" si="24"/>
        <v>No cumple</v>
      </c>
      <c r="J416" s="22" t="str">
        <f t="shared" si="25"/>
        <v>Sin bono</v>
      </c>
      <c r="K416" s="23" t="str">
        <f t="shared" si="26"/>
        <v>OK</v>
      </c>
      <c r="L416" s="24" t="str">
        <f t="shared" si="27"/>
        <v>Revisar</v>
      </c>
    </row>
    <row r="417" spans="1:12" ht="18" customHeight="1" x14ac:dyDescent="0.3">
      <c r="A417" s="18" t="s">
        <v>881</v>
      </c>
      <c r="B417" s="5" t="s">
        <v>882</v>
      </c>
      <c r="C417" s="18" t="s">
        <v>91</v>
      </c>
      <c r="D417" s="18" t="s">
        <v>114</v>
      </c>
      <c r="E417" s="6">
        <v>10300000</v>
      </c>
      <c r="F417" s="19">
        <v>0.84</v>
      </c>
      <c r="G417" s="18">
        <v>48</v>
      </c>
      <c r="H417" s="20">
        <v>15.5</v>
      </c>
      <c r="I417" s="21" t="str">
        <f t="shared" si="24"/>
        <v>Cumple</v>
      </c>
      <c r="J417" s="22" t="str">
        <f t="shared" si="25"/>
        <v>Sin bono</v>
      </c>
      <c r="K417" s="23" t="str">
        <f t="shared" si="26"/>
        <v>ALERTA</v>
      </c>
      <c r="L417" s="24" t="str">
        <f t="shared" si="27"/>
        <v>Revisar</v>
      </c>
    </row>
    <row r="418" spans="1:12" ht="18" customHeight="1" x14ac:dyDescent="0.3">
      <c r="A418" s="25" t="s">
        <v>883</v>
      </c>
      <c r="B418" s="8" t="s">
        <v>884</v>
      </c>
      <c r="C418" s="25" t="s">
        <v>81</v>
      </c>
      <c r="D418" s="25" t="s">
        <v>68</v>
      </c>
      <c r="E418" s="9">
        <v>10300000</v>
      </c>
      <c r="F418" s="26">
        <v>0.51</v>
      </c>
      <c r="G418" s="25">
        <v>68</v>
      </c>
      <c r="H418" s="27">
        <v>6.5</v>
      </c>
      <c r="I418" s="21" t="str">
        <f t="shared" si="24"/>
        <v>No cumple</v>
      </c>
      <c r="J418" s="22" t="str">
        <f t="shared" si="25"/>
        <v>Sin bono</v>
      </c>
      <c r="K418" s="23" t="str">
        <f t="shared" si="26"/>
        <v>ALERTA</v>
      </c>
      <c r="L418" s="24" t="str">
        <f t="shared" si="27"/>
        <v>Revisar</v>
      </c>
    </row>
    <row r="419" spans="1:12" ht="18" customHeight="1" x14ac:dyDescent="0.3">
      <c r="A419" s="18" t="s">
        <v>885</v>
      </c>
      <c r="B419" s="5" t="s">
        <v>886</v>
      </c>
      <c r="C419" s="18" t="s">
        <v>63</v>
      </c>
      <c r="D419" s="18" t="s">
        <v>105</v>
      </c>
      <c r="E419" s="6">
        <v>11100000</v>
      </c>
      <c r="F419" s="19">
        <v>0.62</v>
      </c>
      <c r="G419" s="18">
        <v>75</v>
      </c>
      <c r="H419" s="20">
        <v>4.5</v>
      </c>
      <c r="I419" s="21" t="str">
        <f t="shared" si="24"/>
        <v>No cumple</v>
      </c>
      <c r="J419" s="22" t="str">
        <f t="shared" si="25"/>
        <v>Sin bono</v>
      </c>
      <c r="K419" s="23" t="str">
        <f t="shared" si="26"/>
        <v>OK</v>
      </c>
      <c r="L419" s="24" t="str">
        <f t="shared" si="27"/>
        <v>Revisar</v>
      </c>
    </row>
    <row r="420" spans="1:12" ht="18" customHeight="1" x14ac:dyDescent="0.3">
      <c r="A420" s="25" t="s">
        <v>887</v>
      </c>
      <c r="B420" s="8" t="s">
        <v>888</v>
      </c>
      <c r="C420" s="25" t="s">
        <v>71</v>
      </c>
      <c r="D420" s="25" t="s">
        <v>68</v>
      </c>
      <c r="E420" s="9">
        <v>6700000</v>
      </c>
      <c r="F420" s="26">
        <v>0.85</v>
      </c>
      <c r="G420" s="25">
        <v>67</v>
      </c>
      <c r="H420" s="27">
        <v>2.5</v>
      </c>
      <c r="I420" s="21" t="str">
        <f t="shared" si="24"/>
        <v>Cumple</v>
      </c>
      <c r="J420" s="22" t="str">
        <f t="shared" si="25"/>
        <v>Sin bono</v>
      </c>
      <c r="K420" s="23" t="str">
        <f t="shared" si="26"/>
        <v>OK</v>
      </c>
      <c r="L420" s="24" t="str">
        <f t="shared" si="27"/>
        <v>Revisar</v>
      </c>
    </row>
    <row r="421" spans="1:12" ht="18" customHeight="1" x14ac:dyDescent="0.3">
      <c r="A421" s="18" t="s">
        <v>889</v>
      </c>
      <c r="B421" s="5" t="s">
        <v>890</v>
      </c>
      <c r="C421" s="18" t="s">
        <v>91</v>
      </c>
      <c r="D421" s="18" t="s">
        <v>114</v>
      </c>
      <c r="E421" s="6">
        <v>10500000</v>
      </c>
      <c r="F421" s="19">
        <v>0.63</v>
      </c>
      <c r="G421" s="18">
        <v>58</v>
      </c>
      <c r="H421" s="20">
        <v>12.8</v>
      </c>
      <c r="I421" s="21" t="str">
        <f t="shared" si="24"/>
        <v>No cumple</v>
      </c>
      <c r="J421" s="22" t="str">
        <f t="shared" si="25"/>
        <v>Sin bono</v>
      </c>
      <c r="K421" s="23" t="str">
        <f t="shared" si="26"/>
        <v>OK</v>
      </c>
      <c r="L421" s="24" t="str">
        <f t="shared" si="27"/>
        <v>Revisar</v>
      </c>
    </row>
    <row r="422" spans="1:12" ht="18" customHeight="1" x14ac:dyDescent="0.3">
      <c r="A422" s="25" t="s">
        <v>891</v>
      </c>
      <c r="B422" s="8" t="s">
        <v>892</v>
      </c>
      <c r="C422" s="25" t="s">
        <v>77</v>
      </c>
      <c r="D422" s="25" t="s">
        <v>114</v>
      </c>
      <c r="E422" s="9">
        <v>7000000</v>
      </c>
      <c r="F422" s="26">
        <v>0.86</v>
      </c>
      <c r="G422" s="25">
        <v>60</v>
      </c>
      <c r="H422" s="27">
        <v>6.9</v>
      </c>
      <c r="I422" s="21" t="str">
        <f t="shared" si="24"/>
        <v>Cumple</v>
      </c>
      <c r="J422" s="22" t="str">
        <f t="shared" si="25"/>
        <v>Sin bono</v>
      </c>
      <c r="K422" s="23" t="str">
        <f t="shared" si="26"/>
        <v>OK</v>
      </c>
      <c r="L422" s="24" t="str">
        <f t="shared" si="27"/>
        <v>Revisar</v>
      </c>
    </row>
    <row r="423" spans="1:12" ht="18" customHeight="1" x14ac:dyDescent="0.3">
      <c r="A423" s="18" t="s">
        <v>893</v>
      </c>
      <c r="B423" s="5" t="s">
        <v>894</v>
      </c>
      <c r="C423" s="18" t="s">
        <v>74</v>
      </c>
      <c r="D423" s="18" t="s">
        <v>92</v>
      </c>
      <c r="E423" s="6">
        <v>8500000</v>
      </c>
      <c r="F423" s="19">
        <v>0.46</v>
      </c>
      <c r="G423" s="18">
        <v>56</v>
      </c>
      <c r="H423" s="20">
        <v>5</v>
      </c>
      <c r="I423" s="21" t="str">
        <f t="shared" si="24"/>
        <v>No cumple</v>
      </c>
      <c r="J423" s="22" t="str">
        <f t="shared" si="25"/>
        <v>Sin bono</v>
      </c>
      <c r="K423" s="23" t="str">
        <f t="shared" si="26"/>
        <v>ALERTA</v>
      </c>
      <c r="L423" s="24" t="str">
        <f t="shared" si="27"/>
        <v>Revisar</v>
      </c>
    </row>
    <row r="424" spans="1:12" ht="18" customHeight="1" x14ac:dyDescent="0.3">
      <c r="A424" s="25" t="s">
        <v>895</v>
      </c>
      <c r="B424" s="8" t="s">
        <v>896</v>
      </c>
      <c r="C424" s="25" t="s">
        <v>59</v>
      </c>
      <c r="D424" s="25" t="s">
        <v>78</v>
      </c>
      <c r="E424" s="9">
        <v>12000000</v>
      </c>
      <c r="F424" s="26">
        <v>0.45</v>
      </c>
      <c r="G424" s="25">
        <v>79</v>
      </c>
      <c r="H424" s="27">
        <v>8.8000000000000007</v>
      </c>
      <c r="I424" s="21" t="str">
        <f t="shared" si="24"/>
        <v>No cumple</v>
      </c>
      <c r="J424" s="22" t="str">
        <f t="shared" si="25"/>
        <v>Sin bono</v>
      </c>
      <c r="K424" s="23" t="str">
        <f t="shared" si="26"/>
        <v>ALERTA</v>
      </c>
      <c r="L424" s="24" t="str">
        <f t="shared" si="27"/>
        <v>Revisar</v>
      </c>
    </row>
    <row r="425" spans="1:12" ht="18" customHeight="1" x14ac:dyDescent="0.3">
      <c r="A425" s="18" t="s">
        <v>897</v>
      </c>
      <c r="B425" s="5" t="s">
        <v>898</v>
      </c>
      <c r="C425" s="18" t="s">
        <v>63</v>
      </c>
      <c r="D425" s="18" t="s">
        <v>78</v>
      </c>
      <c r="E425" s="6">
        <v>8900000</v>
      </c>
      <c r="F425" s="19">
        <v>0.88</v>
      </c>
      <c r="G425" s="18">
        <v>58</v>
      </c>
      <c r="H425" s="20">
        <v>3.3</v>
      </c>
      <c r="I425" s="21" t="str">
        <f t="shared" si="24"/>
        <v>Cumple</v>
      </c>
      <c r="J425" s="22" t="str">
        <f t="shared" si="25"/>
        <v>Sin bono</v>
      </c>
      <c r="K425" s="23" t="str">
        <f t="shared" si="26"/>
        <v>OK</v>
      </c>
      <c r="L425" s="24" t="str">
        <f t="shared" si="27"/>
        <v>Revisar</v>
      </c>
    </row>
    <row r="426" spans="1:12" ht="18" customHeight="1" x14ac:dyDescent="0.3">
      <c r="A426" s="25" t="s">
        <v>899</v>
      </c>
      <c r="B426" s="8" t="s">
        <v>900</v>
      </c>
      <c r="C426" s="25" t="s">
        <v>91</v>
      </c>
      <c r="D426" s="25" t="s">
        <v>88</v>
      </c>
      <c r="E426" s="9">
        <v>3000000</v>
      </c>
      <c r="F426" s="26">
        <v>0.63</v>
      </c>
      <c r="G426" s="25">
        <v>43</v>
      </c>
      <c r="H426" s="27">
        <v>1.5</v>
      </c>
      <c r="I426" s="21" t="str">
        <f t="shared" si="24"/>
        <v>No cumple</v>
      </c>
      <c r="J426" s="22" t="str">
        <f t="shared" si="25"/>
        <v>Sin bono</v>
      </c>
      <c r="K426" s="23" t="str">
        <f t="shared" si="26"/>
        <v>ALERTA</v>
      </c>
      <c r="L426" s="24" t="str">
        <f t="shared" si="27"/>
        <v>Revisar</v>
      </c>
    </row>
    <row r="427" spans="1:12" ht="18" customHeight="1" x14ac:dyDescent="0.3">
      <c r="A427" s="18" t="s">
        <v>901</v>
      </c>
      <c r="B427" s="5" t="s">
        <v>902</v>
      </c>
      <c r="C427" s="18" t="s">
        <v>63</v>
      </c>
      <c r="D427" s="18" t="s">
        <v>114</v>
      </c>
      <c r="E427" s="6">
        <v>3700000</v>
      </c>
      <c r="F427" s="19">
        <v>0.75</v>
      </c>
      <c r="G427" s="18">
        <v>41</v>
      </c>
      <c r="H427" s="20">
        <v>6.8</v>
      </c>
      <c r="I427" s="21" t="str">
        <f t="shared" si="24"/>
        <v>No cumple</v>
      </c>
      <c r="J427" s="22" t="str">
        <f t="shared" si="25"/>
        <v>Sin bono</v>
      </c>
      <c r="K427" s="23" t="str">
        <f t="shared" si="26"/>
        <v>ALERTA</v>
      </c>
      <c r="L427" s="24" t="str">
        <f t="shared" si="27"/>
        <v>Revisar</v>
      </c>
    </row>
    <row r="428" spans="1:12" ht="18" customHeight="1" x14ac:dyDescent="0.3">
      <c r="A428" s="25" t="s">
        <v>903</v>
      </c>
      <c r="B428" s="8" t="s">
        <v>904</v>
      </c>
      <c r="C428" s="25" t="s">
        <v>71</v>
      </c>
      <c r="D428" s="25" t="s">
        <v>68</v>
      </c>
      <c r="E428" s="9">
        <v>4800000</v>
      </c>
      <c r="F428" s="26">
        <v>0.48</v>
      </c>
      <c r="G428" s="25">
        <v>72</v>
      </c>
      <c r="H428" s="27">
        <v>4.0999999999999996</v>
      </c>
      <c r="I428" s="21" t="str">
        <f t="shared" si="24"/>
        <v>No cumple</v>
      </c>
      <c r="J428" s="22" t="str">
        <f t="shared" si="25"/>
        <v>Sin bono</v>
      </c>
      <c r="K428" s="23" t="str">
        <f t="shared" si="26"/>
        <v>ALERTA</v>
      </c>
      <c r="L428" s="24" t="str">
        <f t="shared" si="27"/>
        <v>Revisar</v>
      </c>
    </row>
    <row r="429" spans="1:12" ht="18" customHeight="1" x14ac:dyDescent="0.3">
      <c r="A429" s="18" t="s">
        <v>905</v>
      </c>
      <c r="B429" s="5" t="s">
        <v>906</v>
      </c>
      <c r="C429" s="18" t="s">
        <v>59</v>
      </c>
      <c r="D429" s="18" t="s">
        <v>88</v>
      </c>
      <c r="E429" s="6">
        <v>6600000</v>
      </c>
      <c r="F429" s="19">
        <v>0.57999999999999996</v>
      </c>
      <c r="G429" s="18">
        <v>36</v>
      </c>
      <c r="H429" s="20">
        <v>7.9</v>
      </c>
      <c r="I429" s="21" t="str">
        <f t="shared" si="24"/>
        <v>No cumple</v>
      </c>
      <c r="J429" s="22" t="str">
        <f t="shared" si="25"/>
        <v>Sin bono</v>
      </c>
      <c r="K429" s="23" t="str">
        <f t="shared" si="26"/>
        <v>ALERTA</v>
      </c>
      <c r="L429" s="24" t="str">
        <f t="shared" si="27"/>
        <v>Revisar</v>
      </c>
    </row>
    <row r="430" spans="1:12" ht="18" customHeight="1" x14ac:dyDescent="0.3">
      <c r="A430" s="25" t="s">
        <v>907</v>
      </c>
      <c r="B430" s="8" t="s">
        <v>908</v>
      </c>
      <c r="C430" s="25" t="s">
        <v>77</v>
      </c>
      <c r="D430" s="25" t="s">
        <v>114</v>
      </c>
      <c r="E430" s="9">
        <v>3400000</v>
      </c>
      <c r="F430" s="26">
        <v>0.65</v>
      </c>
      <c r="G430" s="25">
        <v>84</v>
      </c>
      <c r="H430" s="27">
        <v>1.8</v>
      </c>
      <c r="I430" s="21" t="str">
        <f t="shared" si="24"/>
        <v>No cumple</v>
      </c>
      <c r="J430" s="22" t="str">
        <f t="shared" si="25"/>
        <v>Sin bono</v>
      </c>
      <c r="K430" s="23" t="str">
        <f t="shared" si="26"/>
        <v>OK</v>
      </c>
      <c r="L430" s="24" t="str">
        <f t="shared" si="27"/>
        <v>Revisar</v>
      </c>
    </row>
    <row r="431" spans="1:12" ht="18" customHeight="1" x14ac:dyDescent="0.3">
      <c r="A431" s="18" t="s">
        <v>909</v>
      </c>
      <c r="B431" s="5" t="s">
        <v>910</v>
      </c>
      <c r="C431" s="18" t="s">
        <v>67</v>
      </c>
      <c r="D431" s="18" t="s">
        <v>78</v>
      </c>
      <c r="E431" s="6">
        <v>3100000</v>
      </c>
      <c r="F431" s="19">
        <v>0.56000000000000005</v>
      </c>
      <c r="G431" s="18">
        <v>67</v>
      </c>
      <c r="H431" s="20">
        <v>19.5</v>
      </c>
      <c r="I431" s="21" t="str">
        <f t="shared" si="24"/>
        <v>No cumple</v>
      </c>
      <c r="J431" s="22" t="str">
        <f t="shared" si="25"/>
        <v>Sin bono</v>
      </c>
      <c r="K431" s="23" t="str">
        <f t="shared" si="26"/>
        <v>ALERTA</v>
      </c>
      <c r="L431" s="24" t="str">
        <f t="shared" si="27"/>
        <v>Revisar</v>
      </c>
    </row>
    <row r="432" spans="1:12" ht="18" customHeight="1" x14ac:dyDescent="0.3">
      <c r="A432" s="25" t="s">
        <v>911</v>
      </c>
      <c r="B432" s="8" t="s">
        <v>912</v>
      </c>
      <c r="C432" s="25" t="s">
        <v>74</v>
      </c>
      <c r="D432" s="25" t="s">
        <v>88</v>
      </c>
      <c r="E432" s="9">
        <v>7800000</v>
      </c>
      <c r="F432" s="26">
        <v>0.71</v>
      </c>
      <c r="G432" s="25">
        <v>63</v>
      </c>
      <c r="H432" s="27">
        <v>1.8</v>
      </c>
      <c r="I432" s="21" t="str">
        <f t="shared" si="24"/>
        <v>No cumple</v>
      </c>
      <c r="J432" s="22" t="str">
        <f t="shared" si="25"/>
        <v>Sin bono</v>
      </c>
      <c r="K432" s="23" t="str">
        <f t="shared" si="26"/>
        <v>OK</v>
      </c>
      <c r="L432" s="24" t="str">
        <f t="shared" si="27"/>
        <v>Revisar</v>
      </c>
    </row>
    <row r="433" spans="1:12" ht="18" customHeight="1" x14ac:dyDescent="0.3">
      <c r="A433" s="18" t="s">
        <v>913</v>
      </c>
      <c r="B433" s="5" t="s">
        <v>914</v>
      </c>
      <c r="C433" s="18" t="s">
        <v>71</v>
      </c>
      <c r="D433" s="18" t="s">
        <v>92</v>
      </c>
      <c r="E433" s="6">
        <v>7600000</v>
      </c>
      <c r="F433" s="19">
        <v>0.65</v>
      </c>
      <c r="G433" s="18">
        <v>87</v>
      </c>
      <c r="H433" s="20">
        <v>0.9</v>
      </c>
      <c r="I433" s="21" t="str">
        <f t="shared" si="24"/>
        <v>No cumple</v>
      </c>
      <c r="J433" s="22" t="str">
        <f t="shared" si="25"/>
        <v>Sin bono</v>
      </c>
      <c r="K433" s="23" t="str">
        <f t="shared" si="26"/>
        <v>OK</v>
      </c>
      <c r="L433" s="24" t="str">
        <f t="shared" si="27"/>
        <v>Revisar</v>
      </c>
    </row>
    <row r="434" spans="1:12" ht="18" customHeight="1" x14ac:dyDescent="0.3">
      <c r="A434" s="25" t="s">
        <v>915</v>
      </c>
      <c r="B434" s="8" t="s">
        <v>916</v>
      </c>
      <c r="C434" s="25" t="s">
        <v>59</v>
      </c>
      <c r="D434" s="25" t="s">
        <v>60</v>
      </c>
      <c r="E434" s="9">
        <v>6200000</v>
      </c>
      <c r="F434" s="26">
        <v>0.76</v>
      </c>
      <c r="G434" s="25">
        <v>49</v>
      </c>
      <c r="H434" s="27">
        <v>15</v>
      </c>
      <c r="I434" s="21" t="str">
        <f t="shared" si="24"/>
        <v>No cumple</v>
      </c>
      <c r="J434" s="22" t="str">
        <f t="shared" si="25"/>
        <v>Sin bono</v>
      </c>
      <c r="K434" s="23" t="str">
        <f t="shared" si="26"/>
        <v>ALERTA</v>
      </c>
      <c r="L434" s="24" t="str">
        <f t="shared" si="27"/>
        <v>Revisar</v>
      </c>
    </row>
    <row r="435" spans="1:12" ht="18" customHeight="1" x14ac:dyDescent="0.3">
      <c r="A435" s="18" t="s">
        <v>917</v>
      </c>
      <c r="B435" s="5" t="s">
        <v>918</v>
      </c>
      <c r="C435" s="18" t="s">
        <v>81</v>
      </c>
      <c r="D435" s="18" t="s">
        <v>68</v>
      </c>
      <c r="E435" s="6">
        <v>10300000</v>
      </c>
      <c r="F435" s="19">
        <v>0.57999999999999996</v>
      </c>
      <c r="G435" s="18">
        <v>37</v>
      </c>
      <c r="H435" s="20">
        <v>16.8</v>
      </c>
      <c r="I435" s="21" t="str">
        <f t="shared" si="24"/>
        <v>No cumple</v>
      </c>
      <c r="J435" s="22" t="str">
        <f t="shared" si="25"/>
        <v>Sin bono</v>
      </c>
      <c r="K435" s="23" t="str">
        <f t="shared" si="26"/>
        <v>ALERTA</v>
      </c>
      <c r="L435" s="24" t="str">
        <f t="shared" si="27"/>
        <v>Revisar</v>
      </c>
    </row>
    <row r="436" spans="1:12" ht="18" customHeight="1" x14ac:dyDescent="0.3">
      <c r="A436" s="25" t="s">
        <v>919</v>
      </c>
      <c r="B436" s="8" t="s">
        <v>920</v>
      </c>
      <c r="C436" s="25" t="s">
        <v>77</v>
      </c>
      <c r="D436" s="25" t="s">
        <v>60</v>
      </c>
      <c r="E436" s="9">
        <v>8800000</v>
      </c>
      <c r="F436" s="26">
        <v>0.61</v>
      </c>
      <c r="G436" s="25">
        <v>80</v>
      </c>
      <c r="H436" s="27">
        <v>18.100000000000001</v>
      </c>
      <c r="I436" s="21" t="str">
        <f t="shared" si="24"/>
        <v>No cumple</v>
      </c>
      <c r="J436" s="22" t="str">
        <f t="shared" si="25"/>
        <v>Sin bono</v>
      </c>
      <c r="K436" s="23" t="str">
        <f t="shared" si="26"/>
        <v>OK</v>
      </c>
      <c r="L436" s="24" t="str">
        <f t="shared" si="27"/>
        <v>Revisar</v>
      </c>
    </row>
    <row r="437" spans="1:12" ht="18" customHeight="1" x14ac:dyDescent="0.3">
      <c r="A437" s="18" t="s">
        <v>921</v>
      </c>
      <c r="B437" s="5" t="s">
        <v>922</v>
      </c>
      <c r="C437" s="18" t="s">
        <v>71</v>
      </c>
      <c r="D437" s="18" t="s">
        <v>78</v>
      </c>
      <c r="E437" s="6">
        <v>8500000</v>
      </c>
      <c r="F437" s="19">
        <v>0.55000000000000004</v>
      </c>
      <c r="G437" s="18">
        <v>51</v>
      </c>
      <c r="H437" s="20">
        <v>19.399999999999999</v>
      </c>
      <c r="I437" s="21" t="str">
        <f t="shared" si="24"/>
        <v>No cumple</v>
      </c>
      <c r="J437" s="22" t="str">
        <f t="shared" si="25"/>
        <v>Sin bono</v>
      </c>
      <c r="K437" s="23" t="str">
        <f t="shared" si="26"/>
        <v>ALERTA</v>
      </c>
      <c r="L437" s="24" t="str">
        <f t="shared" si="27"/>
        <v>Revisar</v>
      </c>
    </row>
    <row r="438" spans="1:12" ht="18" customHeight="1" x14ac:dyDescent="0.3">
      <c r="A438" s="25" t="s">
        <v>923</v>
      </c>
      <c r="B438" s="8" t="s">
        <v>924</v>
      </c>
      <c r="C438" s="25" t="s">
        <v>91</v>
      </c>
      <c r="D438" s="25" t="s">
        <v>68</v>
      </c>
      <c r="E438" s="9">
        <v>3800000</v>
      </c>
      <c r="F438" s="26">
        <v>0.99</v>
      </c>
      <c r="G438" s="25">
        <v>85</v>
      </c>
      <c r="H438" s="27">
        <v>4</v>
      </c>
      <c r="I438" s="21" t="str">
        <f t="shared" si="24"/>
        <v>Cumple</v>
      </c>
      <c r="J438" s="22" t="str">
        <f t="shared" si="25"/>
        <v>BONO</v>
      </c>
      <c r="K438" s="23" t="str">
        <f t="shared" si="26"/>
        <v>OK</v>
      </c>
      <c r="L438" s="24" t="str">
        <f t="shared" si="27"/>
        <v>Excelente</v>
      </c>
    </row>
    <row r="439" spans="1:12" ht="18" customHeight="1" x14ac:dyDescent="0.3">
      <c r="A439" s="18" t="s">
        <v>925</v>
      </c>
      <c r="B439" s="5" t="s">
        <v>926</v>
      </c>
      <c r="C439" s="18" t="s">
        <v>59</v>
      </c>
      <c r="D439" s="18" t="s">
        <v>92</v>
      </c>
      <c r="E439" s="6">
        <v>3600000</v>
      </c>
      <c r="F439" s="19">
        <v>0.5</v>
      </c>
      <c r="G439" s="18">
        <v>80</v>
      </c>
      <c r="H439" s="20">
        <v>11</v>
      </c>
      <c r="I439" s="21" t="str">
        <f t="shared" si="24"/>
        <v>No cumple</v>
      </c>
      <c r="J439" s="22" t="str">
        <f t="shared" si="25"/>
        <v>Sin bono</v>
      </c>
      <c r="K439" s="23" t="str">
        <f t="shared" si="26"/>
        <v>ALERTA</v>
      </c>
      <c r="L439" s="24" t="str">
        <f t="shared" si="27"/>
        <v>Revisar</v>
      </c>
    </row>
    <row r="440" spans="1:12" ht="18" customHeight="1" x14ac:dyDescent="0.3">
      <c r="A440" s="25" t="s">
        <v>927</v>
      </c>
      <c r="B440" s="8" t="s">
        <v>928</v>
      </c>
      <c r="C440" s="25" t="s">
        <v>77</v>
      </c>
      <c r="D440" s="25" t="s">
        <v>64</v>
      </c>
      <c r="E440" s="9">
        <v>11700000</v>
      </c>
      <c r="F440" s="26">
        <v>0.79</v>
      </c>
      <c r="G440" s="25">
        <v>96</v>
      </c>
      <c r="H440" s="27">
        <v>15.6</v>
      </c>
      <c r="I440" s="21" t="str">
        <f t="shared" si="24"/>
        <v>No cumple</v>
      </c>
      <c r="J440" s="22" t="str">
        <f t="shared" si="25"/>
        <v>Sin bono</v>
      </c>
      <c r="K440" s="23" t="str">
        <f t="shared" si="26"/>
        <v>OK</v>
      </c>
      <c r="L440" s="24" t="str">
        <f t="shared" si="27"/>
        <v>Revisar</v>
      </c>
    </row>
    <row r="441" spans="1:12" ht="18" customHeight="1" x14ac:dyDescent="0.3">
      <c r="A441" s="18" t="s">
        <v>929</v>
      </c>
      <c r="B441" s="5" t="s">
        <v>930</v>
      </c>
      <c r="C441" s="18" t="s">
        <v>71</v>
      </c>
      <c r="D441" s="18" t="s">
        <v>114</v>
      </c>
      <c r="E441" s="6">
        <v>10000000</v>
      </c>
      <c r="F441" s="19">
        <v>0.77</v>
      </c>
      <c r="G441" s="18">
        <v>42</v>
      </c>
      <c r="H441" s="20">
        <v>18.5</v>
      </c>
      <c r="I441" s="21" t="str">
        <f t="shared" si="24"/>
        <v>No cumple</v>
      </c>
      <c r="J441" s="22" t="str">
        <f t="shared" si="25"/>
        <v>Sin bono</v>
      </c>
      <c r="K441" s="23" t="str">
        <f t="shared" si="26"/>
        <v>ALERTA</v>
      </c>
      <c r="L441" s="24" t="str">
        <f t="shared" si="27"/>
        <v>Revisar</v>
      </c>
    </row>
    <row r="442" spans="1:12" ht="18" customHeight="1" x14ac:dyDescent="0.3">
      <c r="A442" s="25" t="s">
        <v>931</v>
      </c>
      <c r="B442" s="8" t="s">
        <v>932</v>
      </c>
      <c r="C442" s="25" t="s">
        <v>74</v>
      </c>
      <c r="D442" s="25" t="s">
        <v>88</v>
      </c>
      <c r="E442" s="9">
        <v>9600000</v>
      </c>
      <c r="F442" s="26">
        <v>0.93</v>
      </c>
      <c r="G442" s="25">
        <v>82</v>
      </c>
      <c r="H442" s="27">
        <v>5.3</v>
      </c>
      <c r="I442" s="21" t="str">
        <f t="shared" si="24"/>
        <v>Cumple</v>
      </c>
      <c r="J442" s="22" t="str">
        <f t="shared" si="25"/>
        <v>BONO</v>
      </c>
      <c r="K442" s="23" t="str">
        <f t="shared" si="26"/>
        <v>OK</v>
      </c>
      <c r="L442" s="24" t="str">
        <f t="shared" si="27"/>
        <v>Bueno</v>
      </c>
    </row>
    <row r="443" spans="1:12" ht="18" customHeight="1" x14ac:dyDescent="0.3">
      <c r="A443" s="18" t="s">
        <v>933</v>
      </c>
      <c r="B443" s="5" t="s">
        <v>934</v>
      </c>
      <c r="C443" s="18" t="s">
        <v>71</v>
      </c>
      <c r="D443" s="18" t="s">
        <v>68</v>
      </c>
      <c r="E443" s="6">
        <v>3200000</v>
      </c>
      <c r="F443" s="19">
        <v>0.67</v>
      </c>
      <c r="G443" s="18">
        <v>72</v>
      </c>
      <c r="H443" s="20">
        <v>13.8</v>
      </c>
      <c r="I443" s="21" t="str">
        <f t="shared" si="24"/>
        <v>No cumple</v>
      </c>
      <c r="J443" s="22" t="str">
        <f t="shared" si="25"/>
        <v>Sin bono</v>
      </c>
      <c r="K443" s="23" t="str">
        <f t="shared" si="26"/>
        <v>OK</v>
      </c>
      <c r="L443" s="24" t="str">
        <f t="shared" si="27"/>
        <v>Revisar</v>
      </c>
    </row>
    <row r="444" spans="1:12" ht="18" customHeight="1" x14ac:dyDescent="0.3">
      <c r="A444" s="25" t="s">
        <v>935</v>
      </c>
      <c r="B444" s="8" t="s">
        <v>936</v>
      </c>
      <c r="C444" s="25" t="s">
        <v>77</v>
      </c>
      <c r="D444" s="25" t="s">
        <v>88</v>
      </c>
      <c r="E444" s="9">
        <v>7500000</v>
      </c>
      <c r="F444" s="26">
        <v>0.46</v>
      </c>
      <c r="G444" s="25">
        <v>68</v>
      </c>
      <c r="H444" s="27">
        <v>6.2</v>
      </c>
      <c r="I444" s="21" t="str">
        <f t="shared" si="24"/>
        <v>No cumple</v>
      </c>
      <c r="J444" s="22" t="str">
        <f t="shared" si="25"/>
        <v>Sin bono</v>
      </c>
      <c r="K444" s="23" t="str">
        <f t="shared" si="26"/>
        <v>ALERTA</v>
      </c>
      <c r="L444" s="24" t="str">
        <f t="shared" si="27"/>
        <v>Revisar</v>
      </c>
    </row>
    <row r="445" spans="1:12" ht="18" customHeight="1" x14ac:dyDescent="0.3">
      <c r="A445" s="18" t="s">
        <v>937</v>
      </c>
      <c r="B445" s="5" t="s">
        <v>938</v>
      </c>
      <c r="C445" s="18" t="s">
        <v>67</v>
      </c>
      <c r="D445" s="18" t="s">
        <v>114</v>
      </c>
      <c r="E445" s="6">
        <v>6600000</v>
      </c>
      <c r="F445" s="19">
        <v>0.99</v>
      </c>
      <c r="G445" s="18">
        <v>86</v>
      </c>
      <c r="H445" s="20">
        <v>15.5</v>
      </c>
      <c r="I445" s="21" t="str">
        <f t="shared" si="24"/>
        <v>Cumple</v>
      </c>
      <c r="J445" s="22" t="str">
        <f t="shared" si="25"/>
        <v>BONO</v>
      </c>
      <c r="K445" s="23" t="str">
        <f t="shared" si="26"/>
        <v>OK</v>
      </c>
      <c r="L445" s="24" t="str">
        <f t="shared" si="27"/>
        <v>Excelente</v>
      </c>
    </row>
    <row r="446" spans="1:12" ht="18" customHeight="1" x14ac:dyDescent="0.3">
      <c r="A446" s="25" t="s">
        <v>939</v>
      </c>
      <c r="B446" s="8" t="s">
        <v>940</v>
      </c>
      <c r="C446" s="25" t="s">
        <v>74</v>
      </c>
      <c r="D446" s="25" t="s">
        <v>60</v>
      </c>
      <c r="E446" s="9">
        <v>8400000</v>
      </c>
      <c r="F446" s="26">
        <v>0.56999999999999995</v>
      </c>
      <c r="G446" s="25">
        <v>82</v>
      </c>
      <c r="H446" s="27">
        <v>14.8</v>
      </c>
      <c r="I446" s="21" t="str">
        <f t="shared" si="24"/>
        <v>No cumple</v>
      </c>
      <c r="J446" s="22" t="str">
        <f t="shared" si="25"/>
        <v>Sin bono</v>
      </c>
      <c r="K446" s="23" t="str">
        <f t="shared" si="26"/>
        <v>ALERTA</v>
      </c>
      <c r="L446" s="24" t="str">
        <f t="shared" si="27"/>
        <v>Revisar</v>
      </c>
    </row>
    <row r="447" spans="1:12" ht="18" customHeight="1" x14ac:dyDescent="0.3">
      <c r="A447" s="18" t="s">
        <v>941</v>
      </c>
      <c r="B447" s="5" t="s">
        <v>942</v>
      </c>
      <c r="C447" s="18" t="s">
        <v>91</v>
      </c>
      <c r="D447" s="18" t="s">
        <v>114</v>
      </c>
      <c r="E447" s="6">
        <v>3600000</v>
      </c>
      <c r="F447" s="19">
        <v>0.62</v>
      </c>
      <c r="G447" s="18">
        <v>94</v>
      </c>
      <c r="H447" s="20">
        <v>8.1</v>
      </c>
      <c r="I447" s="21" t="str">
        <f t="shared" si="24"/>
        <v>No cumple</v>
      </c>
      <c r="J447" s="22" t="str">
        <f t="shared" si="25"/>
        <v>Sin bono</v>
      </c>
      <c r="K447" s="23" t="str">
        <f t="shared" si="26"/>
        <v>OK</v>
      </c>
      <c r="L447" s="24" t="str">
        <f t="shared" si="27"/>
        <v>Revisar</v>
      </c>
    </row>
    <row r="448" spans="1:12" ht="18" customHeight="1" x14ac:dyDescent="0.3">
      <c r="A448" s="25" t="s">
        <v>943</v>
      </c>
      <c r="B448" s="8" t="s">
        <v>944</v>
      </c>
      <c r="C448" s="25" t="s">
        <v>67</v>
      </c>
      <c r="D448" s="25" t="s">
        <v>88</v>
      </c>
      <c r="E448" s="9">
        <v>7500000</v>
      </c>
      <c r="F448" s="26">
        <v>0.9</v>
      </c>
      <c r="G448" s="25">
        <v>94</v>
      </c>
      <c r="H448" s="27">
        <v>7.9</v>
      </c>
      <c r="I448" s="21" t="str">
        <f t="shared" si="24"/>
        <v>Cumple</v>
      </c>
      <c r="J448" s="22" t="str">
        <f t="shared" si="25"/>
        <v>BONO</v>
      </c>
      <c r="K448" s="23" t="str">
        <f t="shared" si="26"/>
        <v>OK</v>
      </c>
      <c r="L448" s="24" t="str">
        <f t="shared" si="27"/>
        <v>Excelente</v>
      </c>
    </row>
    <row r="449" spans="1:12" ht="18" customHeight="1" x14ac:dyDescent="0.3">
      <c r="A449" s="18" t="s">
        <v>945</v>
      </c>
      <c r="B449" s="5" t="s">
        <v>946</v>
      </c>
      <c r="C449" s="18" t="s">
        <v>91</v>
      </c>
      <c r="D449" s="18" t="s">
        <v>60</v>
      </c>
      <c r="E449" s="6">
        <v>7500000</v>
      </c>
      <c r="F449" s="19">
        <v>0.72</v>
      </c>
      <c r="G449" s="18">
        <v>87</v>
      </c>
      <c r="H449" s="20">
        <v>3.6</v>
      </c>
      <c r="I449" s="21" t="str">
        <f t="shared" si="24"/>
        <v>No cumple</v>
      </c>
      <c r="J449" s="22" t="str">
        <f t="shared" si="25"/>
        <v>Sin bono</v>
      </c>
      <c r="K449" s="23" t="str">
        <f t="shared" si="26"/>
        <v>OK</v>
      </c>
      <c r="L449" s="24" t="str">
        <f t="shared" si="27"/>
        <v>Revisar</v>
      </c>
    </row>
    <row r="450" spans="1:12" ht="18" customHeight="1" x14ac:dyDescent="0.3">
      <c r="A450" s="25" t="s">
        <v>947</v>
      </c>
      <c r="B450" s="8" t="s">
        <v>948</v>
      </c>
      <c r="C450" s="25" t="s">
        <v>81</v>
      </c>
      <c r="D450" s="25" t="s">
        <v>92</v>
      </c>
      <c r="E450" s="9">
        <v>4800000</v>
      </c>
      <c r="F450" s="26">
        <v>0.91</v>
      </c>
      <c r="G450" s="25">
        <v>63</v>
      </c>
      <c r="H450" s="27">
        <v>15</v>
      </c>
      <c r="I450" s="21" t="str">
        <f t="shared" si="24"/>
        <v>Cumple</v>
      </c>
      <c r="J450" s="22" t="str">
        <f t="shared" si="25"/>
        <v>Sin bono</v>
      </c>
      <c r="K450" s="23" t="str">
        <f t="shared" si="26"/>
        <v>OK</v>
      </c>
      <c r="L450" s="24" t="str">
        <f t="shared" si="27"/>
        <v>Revisar</v>
      </c>
    </row>
    <row r="451" spans="1:12" ht="18" customHeight="1" x14ac:dyDescent="0.3">
      <c r="A451" s="18" t="s">
        <v>949</v>
      </c>
      <c r="B451" s="5" t="s">
        <v>950</v>
      </c>
      <c r="C451" s="18" t="s">
        <v>67</v>
      </c>
      <c r="D451" s="18" t="s">
        <v>60</v>
      </c>
      <c r="E451" s="6">
        <v>11000000</v>
      </c>
      <c r="F451" s="19">
        <v>0.56999999999999995</v>
      </c>
      <c r="G451" s="18">
        <v>56</v>
      </c>
      <c r="H451" s="20">
        <v>5.4</v>
      </c>
      <c r="I451" s="21" t="str">
        <f t="shared" si="24"/>
        <v>No cumple</v>
      </c>
      <c r="J451" s="22" t="str">
        <f t="shared" si="25"/>
        <v>Sin bono</v>
      </c>
      <c r="K451" s="23" t="str">
        <f t="shared" si="26"/>
        <v>ALERTA</v>
      </c>
      <c r="L451" s="24" t="str">
        <f t="shared" si="27"/>
        <v>Revisar</v>
      </c>
    </row>
    <row r="452" spans="1:12" ht="18" customHeight="1" x14ac:dyDescent="0.3">
      <c r="A452" s="25" t="s">
        <v>951</v>
      </c>
      <c r="B452" s="8" t="s">
        <v>952</v>
      </c>
      <c r="C452" s="25" t="s">
        <v>91</v>
      </c>
      <c r="D452" s="25" t="s">
        <v>105</v>
      </c>
      <c r="E452" s="9">
        <v>4400000</v>
      </c>
      <c r="F452" s="26">
        <v>0.81</v>
      </c>
      <c r="G452" s="25">
        <v>31</v>
      </c>
      <c r="H452" s="27">
        <v>4.5</v>
      </c>
      <c r="I452" s="21" t="str">
        <f t="shared" si="24"/>
        <v>Cumple</v>
      </c>
      <c r="J452" s="22" t="str">
        <f t="shared" si="25"/>
        <v>Sin bono</v>
      </c>
      <c r="K452" s="23" t="str">
        <f t="shared" si="26"/>
        <v>ALERTA</v>
      </c>
      <c r="L452" s="24" t="str">
        <f t="shared" si="27"/>
        <v>Revisar</v>
      </c>
    </row>
    <row r="453" spans="1:12" ht="18" customHeight="1" x14ac:dyDescent="0.3">
      <c r="A453" s="18" t="s">
        <v>953</v>
      </c>
      <c r="B453" s="5" t="s">
        <v>954</v>
      </c>
      <c r="C453" s="18" t="s">
        <v>59</v>
      </c>
      <c r="D453" s="18" t="s">
        <v>88</v>
      </c>
      <c r="E453" s="6">
        <v>8200000</v>
      </c>
      <c r="F453" s="19">
        <v>0.94</v>
      </c>
      <c r="G453" s="18">
        <v>74</v>
      </c>
      <c r="H453" s="20">
        <v>9.1999999999999993</v>
      </c>
      <c r="I453" s="21" t="str">
        <f t="shared" si="24"/>
        <v>Cumple</v>
      </c>
      <c r="J453" s="22" t="str">
        <f t="shared" si="25"/>
        <v>BONO</v>
      </c>
      <c r="K453" s="23" t="str">
        <f t="shared" si="26"/>
        <v>OK</v>
      </c>
      <c r="L453" s="24" t="str">
        <f t="shared" si="27"/>
        <v>Bueno</v>
      </c>
    </row>
    <row r="454" spans="1:12" ht="18" customHeight="1" x14ac:dyDescent="0.3">
      <c r="A454" s="25" t="s">
        <v>955</v>
      </c>
      <c r="B454" s="8" t="s">
        <v>956</v>
      </c>
      <c r="C454" s="25" t="s">
        <v>59</v>
      </c>
      <c r="D454" s="25" t="s">
        <v>68</v>
      </c>
      <c r="E454" s="9">
        <v>10200000</v>
      </c>
      <c r="F454" s="26">
        <v>0.51</v>
      </c>
      <c r="G454" s="25">
        <v>95</v>
      </c>
      <c r="H454" s="27">
        <v>20</v>
      </c>
      <c r="I454" s="21" t="str">
        <f t="shared" si="24"/>
        <v>No cumple</v>
      </c>
      <c r="J454" s="22" t="str">
        <f t="shared" si="25"/>
        <v>Sin bono</v>
      </c>
      <c r="K454" s="23" t="str">
        <f t="shared" si="26"/>
        <v>ALERTA</v>
      </c>
      <c r="L454" s="24" t="str">
        <f t="shared" si="27"/>
        <v>Revisar</v>
      </c>
    </row>
    <row r="455" spans="1:12" ht="18" customHeight="1" x14ac:dyDescent="0.3">
      <c r="A455" s="18" t="s">
        <v>957</v>
      </c>
      <c r="B455" s="5" t="s">
        <v>958</v>
      </c>
      <c r="C455" s="18" t="s">
        <v>59</v>
      </c>
      <c r="D455" s="18" t="s">
        <v>88</v>
      </c>
      <c r="E455" s="6">
        <v>11500000</v>
      </c>
      <c r="F455" s="19">
        <v>0.51</v>
      </c>
      <c r="G455" s="18">
        <v>38</v>
      </c>
      <c r="H455" s="20">
        <v>6.7</v>
      </c>
      <c r="I455" s="21" t="str">
        <f t="shared" si="24"/>
        <v>No cumple</v>
      </c>
      <c r="J455" s="22" t="str">
        <f t="shared" si="25"/>
        <v>Sin bono</v>
      </c>
      <c r="K455" s="23" t="str">
        <f t="shared" si="26"/>
        <v>ALERTA</v>
      </c>
      <c r="L455" s="24" t="str">
        <f t="shared" si="27"/>
        <v>Revisar</v>
      </c>
    </row>
    <row r="456" spans="1:12" ht="18" customHeight="1" x14ac:dyDescent="0.3">
      <c r="A456" s="25" t="s">
        <v>959</v>
      </c>
      <c r="B456" s="8" t="s">
        <v>960</v>
      </c>
      <c r="C456" s="25" t="s">
        <v>81</v>
      </c>
      <c r="D456" s="25" t="s">
        <v>88</v>
      </c>
      <c r="E456" s="9">
        <v>6100000</v>
      </c>
      <c r="F456" s="26">
        <v>0.81</v>
      </c>
      <c r="G456" s="25">
        <v>68</v>
      </c>
      <c r="H456" s="27">
        <v>3.8</v>
      </c>
      <c r="I456" s="21" t="str">
        <f t="shared" si="24"/>
        <v>Cumple</v>
      </c>
      <c r="J456" s="22" t="str">
        <f t="shared" si="25"/>
        <v>Sin bono</v>
      </c>
      <c r="K456" s="23" t="str">
        <f t="shared" si="26"/>
        <v>OK</v>
      </c>
      <c r="L456" s="24" t="str">
        <f t="shared" si="27"/>
        <v>Revisar</v>
      </c>
    </row>
    <row r="457" spans="1:12" ht="18" customHeight="1" x14ac:dyDescent="0.3">
      <c r="A457" s="18" t="s">
        <v>961</v>
      </c>
      <c r="B457" s="5" t="s">
        <v>962</v>
      </c>
      <c r="C457" s="18" t="s">
        <v>67</v>
      </c>
      <c r="D457" s="18" t="s">
        <v>64</v>
      </c>
      <c r="E457" s="6">
        <v>10400000</v>
      </c>
      <c r="F457" s="19">
        <v>0.67</v>
      </c>
      <c r="G457" s="18">
        <v>70</v>
      </c>
      <c r="H457" s="20">
        <v>13.6</v>
      </c>
      <c r="I457" s="21" t="str">
        <f t="shared" si="24"/>
        <v>No cumple</v>
      </c>
      <c r="J457" s="22" t="str">
        <f t="shared" si="25"/>
        <v>Sin bono</v>
      </c>
      <c r="K457" s="23" t="str">
        <f t="shared" si="26"/>
        <v>OK</v>
      </c>
      <c r="L457" s="24" t="str">
        <f t="shared" si="27"/>
        <v>Revisar</v>
      </c>
    </row>
    <row r="458" spans="1:12" ht="18" customHeight="1" x14ac:dyDescent="0.3">
      <c r="A458" s="25" t="s">
        <v>963</v>
      </c>
      <c r="B458" s="8" t="s">
        <v>964</v>
      </c>
      <c r="C458" s="25" t="s">
        <v>91</v>
      </c>
      <c r="D458" s="25" t="s">
        <v>60</v>
      </c>
      <c r="E458" s="9">
        <v>7100000</v>
      </c>
      <c r="F458" s="26">
        <v>0.85</v>
      </c>
      <c r="G458" s="25">
        <v>58</v>
      </c>
      <c r="H458" s="27">
        <v>13.7</v>
      </c>
      <c r="I458" s="21" t="str">
        <f t="shared" si="24"/>
        <v>Cumple</v>
      </c>
      <c r="J458" s="22" t="str">
        <f t="shared" si="25"/>
        <v>Sin bono</v>
      </c>
      <c r="K458" s="23" t="str">
        <f t="shared" si="26"/>
        <v>OK</v>
      </c>
      <c r="L458" s="24" t="str">
        <f t="shared" si="27"/>
        <v>Revisar</v>
      </c>
    </row>
    <row r="459" spans="1:12" ht="18" customHeight="1" x14ac:dyDescent="0.3">
      <c r="A459" s="18" t="s">
        <v>965</v>
      </c>
      <c r="B459" s="5" t="s">
        <v>966</v>
      </c>
      <c r="C459" s="18" t="s">
        <v>71</v>
      </c>
      <c r="D459" s="18" t="s">
        <v>114</v>
      </c>
      <c r="E459" s="6">
        <v>6500000</v>
      </c>
      <c r="F459" s="19">
        <v>0.5</v>
      </c>
      <c r="G459" s="18">
        <v>46</v>
      </c>
      <c r="H459" s="20">
        <v>14.8</v>
      </c>
      <c r="I459" s="21" t="str">
        <f t="shared" si="24"/>
        <v>No cumple</v>
      </c>
      <c r="J459" s="22" t="str">
        <f t="shared" si="25"/>
        <v>Sin bono</v>
      </c>
      <c r="K459" s="23" t="str">
        <f t="shared" si="26"/>
        <v>ALERTA</v>
      </c>
      <c r="L459" s="24" t="str">
        <f t="shared" si="27"/>
        <v>Revisar</v>
      </c>
    </row>
    <row r="460" spans="1:12" ht="18" customHeight="1" x14ac:dyDescent="0.3">
      <c r="A460" s="25" t="s">
        <v>967</v>
      </c>
      <c r="B460" s="8" t="s">
        <v>968</v>
      </c>
      <c r="C460" s="25" t="s">
        <v>71</v>
      </c>
      <c r="D460" s="25" t="s">
        <v>92</v>
      </c>
      <c r="E460" s="9">
        <v>11100000</v>
      </c>
      <c r="F460" s="26">
        <v>0.5</v>
      </c>
      <c r="G460" s="25">
        <v>75</v>
      </c>
      <c r="H460" s="27">
        <v>4.5</v>
      </c>
      <c r="I460" s="21" t="str">
        <f t="shared" si="24"/>
        <v>No cumple</v>
      </c>
      <c r="J460" s="22" t="str">
        <f t="shared" si="25"/>
        <v>Sin bono</v>
      </c>
      <c r="K460" s="23" t="str">
        <f t="shared" si="26"/>
        <v>ALERTA</v>
      </c>
      <c r="L460" s="24" t="str">
        <f t="shared" si="27"/>
        <v>Revisar</v>
      </c>
    </row>
    <row r="461" spans="1:12" ht="18" customHeight="1" x14ac:dyDescent="0.3">
      <c r="A461" s="18" t="s">
        <v>969</v>
      </c>
      <c r="B461" s="5" t="s">
        <v>970</v>
      </c>
      <c r="C461" s="18" t="s">
        <v>81</v>
      </c>
      <c r="D461" s="18" t="s">
        <v>92</v>
      </c>
      <c r="E461" s="6">
        <v>6100000</v>
      </c>
      <c r="F461" s="19">
        <v>0.77</v>
      </c>
      <c r="G461" s="18">
        <v>89</v>
      </c>
      <c r="H461" s="20">
        <v>17</v>
      </c>
      <c r="I461" s="21" t="str">
        <f t="shared" ref="I461:I524" si="28">IF(F461&gt;=0.8,"Cumple","No cumple")</f>
        <v>No cumple</v>
      </c>
      <c r="J461" s="22" t="str">
        <f t="shared" ref="J461:J524" si="29">IF(AND(F461&gt;=0.8,G461&gt;=70),"BONO","Sin bono")</f>
        <v>Sin bono</v>
      </c>
      <c r="K461" s="23" t="str">
        <f t="shared" ref="K461:K524" si="30">IF(OR(F461&lt;0.6,G461&lt;50),"ALERTA","OK")</f>
        <v>OK</v>
      </c>
      <c r="L461" s="24" t="str">
        <f t="shared" ref="L461:L524" si="31">IF(AND(F461&gt;=0.9,G461&gt;=85),"Excelente",IF(AND(F461&gt;=0.8,G461&gt;=70),"Bueno","Revisar"))</f>
        <v>Revisar</v>
      </c>
    </row>
    <row r="462" spans="1:12" ht="18" customHeight="1" x14ac:dyDescent="0.3">
      <c r="A462" s="25" t="s">
        <v>971</v>
      </c>
      <c r="B462" s="8" t="s">
        <v>972</v>
      </c>
      <c r="C462" s="25" t="s">
        <v>74</v>
      </c>
      <c r="D462" s="25" t="s">
        <v>105</v>
      </c>
      <c r="E462" s="9">
        <v>5200000</v>
      </c>
      <c r="F462" s="26">
        <v>0.73</v>
      </c>
      <c r="G462" s="25">
        <v>78</v>
      </c>
      <c r="H462" s="27">
        <v>10.6</v>
      </c>
      <c r="I462" s="21" t="str">
        <f t="shared" si="28"/>
        <v>No cumple</v>
      </c>
      <c r="J462" s="22" t="str">
        <f t="shared" si="29"/>
        <v>Sin bono</v>
      </c>
      <c r="K462" s="23" t="str">
        <f t="shared" si="30"/>
        <v>OK</v>
      </c>
      <c r="L462" s="24" t="str">
        <f t="shared" si="31"/>
        <v>Revisar</v>
      </c>
    </row>
    <row r="463" spans="1:12" ht="18" customHeight="1" x14ac:dyDescent="0.3">
      <c r="A463" s="18" t="s">
        <v>973</v>
      </c>
      <c r="B463" s="5" t="s">
        <v>974</v>
      </c>
      <c r="C463" s="18" t="s">
        <v>67</v>
      </c>
      <c r="D463" s="18" t="s">
        <v>92</v>
      </c>
      <c r="E463" s="6">
        <v>8000000</v>
      </c>
      <c r="F463" s="19">
        <v>0.99</v>
      </c>
      <c r="G463" s="18">
        <v>88</v>
      </c>
      <c r="H463" s="20">
        <v>2.9</v>
      </c>
      <c r="I463" s="21" t="str">
        <f t="shared" si="28"/>
        <v>Cumple</v>
      </c>
      <c r="J463" s="22" t="str">
        <f t="shared" si="29"/>
        <v>BONO</v>
      </c>
      <c r="K463" s="23" t="str">
        <f t="shared" si="30"/>
        <v>OK</v>
      </c>
      <c r="L463" s="24" t="str">
        <f t="shared" si="31"/>
        <v>Excelente</v>
      </c>
    </row>
    <row r="464" spans="1:12" ht="18" customHeight="1" x14ac:dyDescent="0.3">
      <c r="A464" s="25" t="s">
        <v>975</v>
      </c>
      <c r="B464" s="8" t="s">
        <v>976</v>
      </c>
      <c r="C464" s="25" t="s">
        <v>81</v>
      </c>
      <c r="D464" s="25" t="s">
        <v>114</v>
      </c>
      <c r="E464" s="9">
        <v>6800000</v>
      </c>
      <c r="F464" s="26">
        <v>0.8</v>
      </c>
      <c r="G464" s="25">
        <v>30</v>
      </c>
      <c r="H464" s="27">
        <v>9</v>
      </c>
      <c r="I464" s="21" t="str">
        <f t="shared" si="28"/>
        <v>Cumple</v>
      </c>
      <c r="J464" s="22" t="str">
        <f t="shared" si="29"/>
        <v>Sin bono</v>
      </c>
      <c r="K464" s="23" t="str">
        <f t="shared" si="30"/>
        <v>ALERTA</v>
      </c>
      <c r="L464" s="24" t="str">
        <f t="shared" si="31"/>
        <v>Revisar</v>
      </c>
    </row>
    <row r="465" spans="1:12" ht="18" customHeight="1" x14ac:dyDescent="0.3">
      <c r="A465" s="18" t="s">
        <v>977</v>
      </c>
      <c r="B465" s="5" t="s">
        <v>978</v>
      </c>
      <c r="C465" s="18" t="s">
        <v>71</v>
      </c>
      <c r="D465" s="18" t="s">
        <v>105</v>
      </c>
      <c r="E465" s="6">
        <v>3900000</v>
      </c>
      <c r="F465" s="19">
        <v>0.52</v>
      </c>
      <c r="G465" s="18">
        <v>85</v>
      </c>
      <c r="H465" s="20">
        <v>12.7</v>
      </c>
      <c r="I465" s="21" t="str">
        <f t="shared" si="28"/>
        <v>No cumple</v>
      </c>
      <c r="J465" s="22" t="str">
        <f t="shared" si="29"/>
        <v>Sin bono</v>
      </c>
      <c r="K465" s="23" t="str">
        <f t="shared" si="30"/>
        <v>ALERTA</v>
      </c>
      <c r="L465" s="24" t="str">
        <f t="shared" si="31"/>
        <v>Revisar</v>
      </c>
    </row>
    <row r="466" spans="1:12" ht="18" customHeight="1" x14ac:dyDescent="0.3">
      <c r="A466" s="25" t="s">
        <v>979</v>
      </c>
      <c r="B466" s="8" t="s">
        <v>980</v>
      </c>
      <c r="C466" s="25" t="s">
        <v>77</v>
      </c>
      <c r="D466" s="25" t="s">
        <v>68</v>
      </c>
      <c r="E466" s="9">
        <v>2800000</v>
      </c>
      <c r="F466" s="26">
        <v>0.47</v>
      </c>
      <c r="G466" s="25">
        <v>55</v>
      </c>
      <c r="H466" s="27">
        <v>14.6</v>
      </c>
      <c r="I466" s="21" t="str">
        <f t="shared" si="28"/>
        <v>No cumple</v>
      </c>
      <c r="J466" s="22" t="str">
        <f t="shared" si="29"/>
        <v>Sin bono</v>
      </c>
      <c r="K466" s="23" t="str">
        <f t="shared" si="30"/>
        <v>ALERTA</v>
      </c>
      <c r="L466" s="24" t="str">
        <f t="shared" si="31"/>
        <v>Revisar</v>
      </c>
    </row>
    <row r="467" spans="1:12" ht="18" customHeight="1" x14ac:dyDescent="0.3">
      <c r="A467" s="18" t="s">
        <v>981</v>
      </c>
      <c r="B467" s="5" t="s">
        <v>982</v>
      </c>
      <c r="C467" s="18" t="s">
        <v>91</v>
      </c>
      <c r="D467" s="18" t="s">
        <v>60</v>
      </c>
      <c r="E467" s="6">
        <v>5600000</v>
      </c>
      <c r="F467" s="19">
        <v>0.83</v>
      </c>
      <c r="G467" s="18">
        <v>74</v>
      </c>
      <c r="H467" s="20">
        <v>6.2</v>
      </c>
      <c r="I467" s="21" t="str">
        <f t="shared" si="28"/>
        <v>Cumple</v>
      </c>
      <c r="J467" s="22" t="str">
        <f t="shared" si="29"/>
        <v>BONO</v>
      </c>
      <c r="K467" s="23" t="str">
        <f t="shared" si="30"/>
        <v>OK</v>
      </c>
      <c r="L467" s="24" t="str">
        <f t="shared" si="31"/>
        <v>Bueno</v>
      </c>
    </row>
    <row r="468" spans="1:12" ht="18" customHeight="1" x14ac:dyDescent="0.3">
      <c r="A468" s="25" t="s">
        <v>983</v>
      </c>
      <c r="B468" s="8" t="s">
        <v>984</v>
      </c>
      <c r="C468" s="25" t="s">
        <v>59</v>
      </c>
      <c r="D468" s="25" t="s">
        <v>114</v>
      </c>
      <c r="E468" s="9">
        <v>3600000</v>
      </c>
      <c r="F468" s="26">
        <v>0.9</v>
      </c>
      <c r="G468" s="25">
        <v>68</v>
      </c>
      <c r="H468" s="27">
        <v>19</v>
      </c>
      <c r="I468" s="21" t="str">
        <f t="shared" si="28"/>
        <v>Cumple</v>
      </c>
      <c r="J468" s="22" t="str">
        <f t="shared" si="29"/>
        <v>Sin bono</v>
      </c>
      <c r="K468" s="23" t="str">
        <f t="shared" si="30"/>
        <v>OK</v>
      </c>
      <c r="L468" s="24" t="str">
        <f t="shared" si="31"/>
        <v>Revisar</v>
      </c>
    </row>
    <row r="469" spans="1:12" ht="18" customHeight="1" x14ac:dyDescent="0.3">
      <c r="A469" s="18" t="s">
        <v>985</v>
      </c>
      <c r="B469" s="5" t="s">
        <v>986</v>
      </c>
      <c r="C469" s="18" t="s">
        <v>81</v>
      </c>
      <c r="D469" s="18" t="s">
        <v>68</v>
      </c>
      <c r="E469" s="6">
        <v>11500000</v>
      </c>
      <c r="F469" s="19">
        <v>1</v>
      </c>
      <c r="G469" s="18">
        <v>73</v>
      </c>
      <c r="H469" s="20">
        <v>19.899999999999999</v>
      </c>
      <c r="I469" s="21" t="str">
        <f t="shared" si="28"/>
        <v>Cumple</v>
      </c>
      <c r="J469" s="22" t="str">
        <f t="shared" si="29"/>
        <v>BONO</v>
      </c>
      <c r="K469" s="23" t="str">
        <f t="shared" si="30"/>
        <v>OK</v>
      </c>
      <c r="L469" s="24" t="str">
        <f t="shared" si="31"/>
        <v>Bueno</v>
      </c>
    </row>
    <row r="470" spans="1:12" ht="18" customHeight="1" x14ac:dyDescent="0.3">
      <c r="A470" s="25" t="s">
        <v>987</v>
      </c>
      <c r="B470" s="8" t="s">
        <v>988</v>
      </c>
      <c r="C470" s="25" t="s">
        <v>67</v>
      </c>
      <c r="D470" s="25" t="s">
        <v>114</v>
      </c>
      <c r="E470" s="9">
        <v>7900000</v>
      </c>
      <c r="F470" s="26">
        <v>0.46</v>
      </c>
      <c r="G470" s="25">
        <v>58</v>
      </c>
      <c r="H470" s="27">
        <v>14.5</v>
      </c>
      <c r="I470" s="21" t="str">
        <f t="shared" si="28"/>
        <v>No cumple</v>
      </c>
      <c r="J470" s="22" t="str">
        <f t="shared" si="29"/>
        <v>Sin bono</v>
      </c>
      <c r="K470" s="23" t="str">
        <f t="shared" si="30"/>
        <v>ALERTA</v>
      </c>
      <c r="L470" s="24" t="str">
        <f t="shared" si="31"/>
        <v>Revisar</v>
      </c>
    </row>
    <row r="471" spans="1:12" ht="18" customHeight="1" x14ac:dyDescent="0.3">
      <c r="A471" s="18" t="s">
        <v>989</v>
      </c>
      <c r="B471" s="5" t="s">
        <v>990</v>
      </c>
      <c r="C471" s="18" t="s">
        <v>91</v>
      </c>
      <c r="D471" s="18" t="s">
        <v>114</v>
      </c>
      <c r="E471" s="6">
        <v>4300000</v>
      </c>
      <c r="F471" s="19">
        <v>0.65</v>
      </c>
      <c r="G471" s="18">
        <v>34</v>
      </c>
      <c r="H471" s="20">
        <v>7.5</v>
      </c>
      <c r="I471" s="21" t="str">
        <f t="shared" si="28"/>
        <v>No cumple</v>
      </c>
      <c r="J471" s="22" t="str">
        <f t="shared" si="29"/>
        <v>Sin bono</v>
      </c>
      <c r="K471" s="23" t="str">
        <f t="shared" si="30"/>
        <v>ALERTA</v>
      </c>
      <c r="L471" s="24" t="str">
        <f t="shared" si="31"/>
        <v>Revisar</v>
      </c>
    </row>
    <row r="472" spans="1:12" ht="18" customHeight="1" x14ac:dyDescent="0.3">
      <c r="A472" s="25" t="s">
        <v>991</v>
      </c>
      <c r="B472" s="8" t="s">
        <v>992</v>
      </c>
      <c r="C472" s="25" t="s">
        <v>91</v>
      </c>
      <c r="D472" s="25" t="s">
        <v>64</v>
      </c>
      <c r="E472" s="9">
        <v>11200000</v>
      </c>
      <c r="F472" s="26">
        <v>0.51</v>
      </c>
      <c r="G472" s="25">
        <v>32</v>
      </c>
      <c r="H472" s="27">
        <v>1</v>
      </c>
      <c r="I472" s="21" t="str">
        <f t="shared" si="28"/>
        <v>No cumple</v>
      </c>
      <c r="J472" s="22" t="str">
        <f t="shared" si="29"/>
        <v>Sin bono</v>
      </c>
      <c r="K472" s="23" t="str">
        <f t="shared" si="30"/>
        <v>ALERTA</v>
      </c>
      <c r="L472" s="24" t="str">
        <f t="shared" si="31"/>
        <v>Revisar</v>
      </c>
    </row>
    <row r="473" spans="1:12" ht="18" customHeight="1" x14ac:dyDescent="0.3">
      <c r="A473" s="18" t="s">
        <v>993</v>
      </c>
      <c r="B473" s="5" t="s">
        <v>994</v>
      </c>
      <c r="C473" s="18" t="s">
        <v>74</v>
      </c>
      <c r="D473" s="18" t="s">
        <v>88</v>
      </c>
      <c r="E473" s="6">
        <v>8800000</v>
      </c>
      <c r="F473" s="19">
        <v>0.84</v>
      </c>
      <c r="G473" s="18">
        <v>56</v>
      </c>
      <c r="H473" s="20">
        <v>13.9</v>
      </c>
      <c r="I473" s="21" t="str">
        <f t="shared" si="28"/>
        <v>Cumple</v>
      </c>
      <c r="J473" s="22" t="str">
        <f t="shared" si="29"/>
        <v>Sin bono</v>
      </c>
      <c r="K473" s="23" t="str">
        <f t="shared" si="30"/>
        <v>OK</v>
      </c>
      <c r="L473" s="24" t="str">
        <f t="shared" si="31"/>
        <v>Revisar</v>
      </c>
    </row>
    <row r="474" spans="1:12" ht="18" customHeight="1" x14ac:dyDescent="0.3">
      <c r="A474" s="25" t="s">
        <v>995</v>
      </c>
      <c r="B474" s="8" t="s">
        <v>996</v>
      </c>
      <c r="C474" s="25" t="s">
        <v>74</v>
      </c>
      <c r="D474" s="25" t="s">
        <v>88</v>
      </c>
      <c r="E474" s="9">
        <v>10700000</v>
      </c>
      <c r="F474" s="26">
        <v>0.78</v>
      </c>
      <c r="G474" s="25">
        <v>47</v>
      </c>
      <c r="H474" s="27">
        <v>8.4</v>
      </c>
      <c r="I474" s="21" t="str">
        <f t="shared" si="28"/>
        <v>No cumple</v>
      </c>
      <c r="J474" s="22" t="str">
        <f t="shared" si="29"/>
        <v>Sin bono</v>
      </c>
      <c r="K474" s="23" t="str">
        <f t="shared" si="30"/>
        <v>ALERTA</v>
      </c>
      <c r="L474" s="24" t="str">
        <f t="shared" si="31"/>
        <v>Revisar</v>
      </c>
    </row>
    <row r="475" spans="1:12" ht="18" customHeight="1" x14ac:dyDescent="0.3">
      <c r="A475" s="18" t="s">
        <v>997</v>
      </c>
      <c r="B475" s="5" t="s">
        <v>998</v>
      </c>
      <c r="C475" s="18" t="s">
        <v>59</v>
      </c>
      <c r="D475" s="18" t="s">
        <v>78</v>
      </c>
      <c r="E475" s="6">
        <v>4100000</v>
      </c>
      <c r="F475" s="19">
        <v>0.72</v>
      </c>
      <c r="G475" s="18">
        <v>55</v>
      </c>
      <c r="H475" s="20">
        <v>15.6</v>
      </c>
      <c r="I475" s="21" t="str">
        <f t="shared" si="28"/>
        <v>No cumple</v>
      </c>
      <c r="J475" s="22" t="str">
        <f t="shared" si="29"/>
        <v>Sin bono</v>
      </c>
      <c r="K475" s="23" t="str">
        <f t="shared" si="30"/>
        <v>OK</v>
      </c>
      <c r="L475" s="24" t="str">
        <f t="shared" si="31"/>
        <v>Revisar</v>
      </c>
    </row>
    <row r="476" spans="1:12" ht="18" customHeight="1" x14ac:dyDescent="0.3">
      <c r="A476" s="25" t="s">
        <v>999</v>
      </c>
      <c r="B476" s="8" t="s">
        <v>1000</v>
      </c>
      <c r="C476" s="25" t="s">
        <v>63</v>
      </c>
      <c r="D476" s="25" t="s">
        <v>88</v>
      </c>
      <c r="E476" s="9">
        <v>4800000</v>
      </c>
      <c r="F476" s="26">
        <v>0.47</v>
      </c>
      <c r="G476" s="25">
        <v>93</v>
      </c>
      <c r="H476" s="27">
        <v>18.2</v>
      </c>
      <c r="I476" s="21" t="str">
        <f t="shared" si="28"/>
        <v>No cumple</v>
      </c>
      <c r="J476" s="22" t="str">
        <f t="shared" si="29"/>
        <v>Sin bono</v>
      </c>
      <c r="K476" s="23" t="str">
        <f t="shared" si="30"/>
        <v>ALERTA</v>
      </c>
      <c r="L476" s="24" t="str">
        <f t="shared" si="31"/>
        <v>Revisar</v>
      </c>
    </row>
    <row r="477" spans="1:12" ht="18" customHeight="1" x14ac:dyDescent="0.3">
      <c r="A477" s="18" t="s">
        <v>1001</v>
      </c>
      <c r="B477" s="5" t="s">
        <v>1002</v>
      </c>
      <c r="C477" s="18" t="s">
        <v>67</v>
      </c>
      <c r="D477" s="18" t="s">
        <v>64</v>
      </c>
      <c r="E477" s="6">
        <v>2900000</v>
      </c>
      <c r="F477" s="19">
        <v>0.82</v>
      </c>
      <c r="G477" s="18">
        <v>44</v>
      </c>
      <c r="H477" s="20">
        <v>16.7</v>
      </c>
      <c r="I477" s="21" t="str">
        <f t="shared" si="28"/>
        <v>Cumple</v>
      </c>
      <c r="J477" s="22" t="str">
        <f t="shared" si="29"/>
        <v>Sin bono</v>
      </c>
      <c r="K477" s="23" t="str">
        <f t="shared" si="30"/>
        <v>ALERTA</v>
      </c>
      <c r="L477" s="24" t="str">
        <f t="shared" si="31"/>
        <v>Revisar</v>
      </c>
    </row>
    <row r="478" spans="1:12" ht="18" customHeight="1" x14ac:dyDescent="0.3">
      <c r="A478" s="25" t="s">
        <v>1003</v>
      </c>
      <c r="B478" s="8" t="s">
        <v>1004</v>
      </c>
      <c r="C478" s="25" t="s">
        <v>74</v>
      </c>
      <c r="D478" s="25" t="s">
        <v>78</v>
      </c>
      <c r="E478" s="9">
        <v>12000000</v>
      </c>
      <c r="F478" s="26">
        <v>0.85</v>
      </c>
      <c r="G478" s="25">
        <v>62</v>
      </c>
      <c r="H478" s="27">
        <v>12.9</v>
      </c>
      <c r="I478" s="21" t="str">
        <f t="shared" si="28"/>
        <v>Cumple</v>
      </c>
      <c r="J478" s="22" t="str">
        <f t="shared" si="29"/>
        <v>Sin bono</v>
      </c>
      <c r="K478" s="23" t="str">
        <f t="shared" si="30"/>
        <v>OK</v>
      </c>
      <c r="L478" s="24" t="str">
        <f t="shared" si="31"/>
        <v>Revisar</v>
      </c>
    </row>
    <row r="479" spans="1:12" ht="18" customHeight="1" x14ac:dyDescent="0.3">
      <c r="A479" s="18" t="s">
        <v>1005</v>
      </c>
      <c r="B479" s="5" t="s">
        <v>1006</v>
      </c>
      <c r="C479" s="18" t="s">
        <v>59</v>
      </c>
      <c r="D479" s="18" t="s">
        <v>105</v>
      </c>
      <c r="E479" s="6">
        <v>3400000</v>
      </c>
      <c r="F479" s="19">
        <v>0.5</v>
      </c>
      <c r="G479" s="18">
        <v>52</v>
      </c>
      <c r="H479" s="20">
        <v>17.5</v>
      </c>
      <c r="I479" s="21" t="str">
        <f t="shared" si="28"/>
        <v>No cumple</v>
      </c>
      <c r="J479" s="22" t="str">
        <f t="shared" si="29"/>
        <v>Sin bono</v>
      </c>
      <c r="K479" s="23" t="str">
        <f t="shared" si="30"/>
        <v>ALERTA</v>
      </c>
      <c r="L479" s="24" t="str">
        <f t="shared" si="31"/>
        <v>Revisar</v>
      </c>
    </row>
    <row r="480" spans="1:12" ht="18" customHeight="1" x14ac:dyDescent="0.3">
      <c r="A480" s="25" t="s">
        <v>1007</v>
      </c>
      <c r="B480" s="8" t="s">
        <v>1008</v>
      </c>
      <c r="C480" s="25" t="s">
        <v>81</v>
      </c>
      <c r="D480" s="25" t="s">
        <v>68</v>
      </c>
      <c r="E480" s="9">
        <v>4200000</v>
      </c>
      <c r="F480" s="26">
        <v>0.5</v>
      </c>
      <c r="G480" s="25">
        <v>35</v>
      </c>
      <c r="H480" s="27">
        <v>0.2</v>
      </c>
      <c r="I480" s="21" t="str">
        <f t="shared" si="28"/>
        <v>No cumple</v>
      </c>
      <c r="J480" s="22" t="str">
        <f t="shared" si="29"/>
        <v>Sin bono</v>
      </c>
      <c r="K480" s="23" t="str">
        <f t="shared" si="30"/>
        <v>ALERTA</v>
      </c>
      <c r="L480" s="24" t="str">
        <f t="shared" si="31"/>
        <v>Revisar</v>
      </c>
    </row>
    <row r="481" spans="1:12" ht="18" customHeight="1" x14ac:dyDescent="0.3">
      <c r="A481" s="18" t="s">
        <v>1009</v>
      </c>
      <c r="B481" s="5" t="s">
        <v>1010</v>
      </c>
      <c r="C481" s="18" t="s">
        <v>71</v>
      </c>
      <c r="D481" s="18" t="s">
        <v>92</v>
      </c>
      <c r="E481" s="6">
        <v>7300000</v>
      </c>
      <c r="F481" s="19">
        <v>0.94</v>
      </c>
      <c r="G481" s="18">
        <v>64</v>
      </c>
      <c r="H481" s="20">
        <v>17.600000000000001</v>
      </c>
      <c r="I481" s="21" t="str">
        <f t="shared" si="28"/>
        <v>Cumple</v>
      </c>
      <c r="J481" s="22" t="str">
        <f t="shared" si="29"/>
        <v>Sin bono</v>
      </c>
      <c r="K481" s="23" t="str">
        <f t="shared" si="30"/>
        <v>OK</v>
      </c>
      <c r="L481" s="24" t="str">
        <f t="shared" si="31"/>
        <v>Revisar</v>
      </c>
    </row>
    <row r="482" spans="1:12" ht="18" customHeight="1" x14ac:dyDescent="0.3">
      <c r="A482" s="25" t="s">
        <v>1011</v>
      </c>
      <c r="B482" s="8" t="s">
        <v>1012</v>
      </c>
      <c r="C482" s="25" t="s">
        <v>63</v>
      </c>
      <c r="D482" s="25" t="s">
        <v>105</v>
      </c>
      <c r="E482" s="9">
        <v>6200000</v>
      </c>
      <c r="F482" s="26">
        <v>0.91</v>
      </c>
      <c r="G482" s="25">
        <v>91</v>
      </c>
      <c r="H482" s="27">
        <v>16</v>
      </c>
      <c r="I482" s="21" t="str">
        <f t="shared" si="28"/>
        <v>Cumple</v>
      </c>
      <c r="J482" s="22" t="str">
        <f t="shared" si="29"/>
        <v>BONO</v>
      </c>
      <c r="K482" s="23" t="str">
        <f t="shared" si="30"/>
        <v>OK</v>
      </c>
      <c r="L482" s="24" t="str">
        <f t="shared" si="31"/>
        <v>Excelente</v>
      </c>
    </row>
    <row r="483" spans="1:12" ht="18" customHeight="1" x14ac:dyDescent="0.3">
      <c r="A483" s="18" t="s">
        <v>1013</v>
      </c>
      <c r="B483" s="5" t="s">
        <v>1014</v>
      </c>
      <c r="C483" s="18" t="s">
        <v>71</v>
      </c>
      <c r="D483" s="18" t="s">
        <v>64</v>
      </c>
      <c r="E483" s="6">
        <v>4800000</v>
      </c>
      <c r="F483" s="19">
        <v>0.51</v>
      </c>
      <c r="G483" s="18">
        <v>91</v>
      </c>
      <c r="H483" s="20">
        <v>16</v>
      </c>
      <c r="I483" s="21" t="str">
        <f t="shared" si="28"/>
        <v>No cumple</v>
      </c>
      <c r="J483" s="22" t="str">
        <f t="shared" si="29"/>
        <v>Sin bono</v>
      </c>
      <c r="K483" s="23" t="str">
        <f t="shared" si="30"/>
        <v>ALERTA</v>
      </c>
      <c r="L483" s="24" t="str">
        <f t="shared" si="31"/>
        <v>Revisar</v>
      </c>
    </row>
    <row r="484" spans="1:12" ht="18" customHeight="1" x14ac:dyDescent="0.3">
      <c r="A484" s="25" t="s">
        <v>1015</v>
      </c>
      <c r="B484" s="8" t="s">
        <v>1016</v>
      </c>
      <c r="C484" s="25" t="s">
        <v>63</v>
      </c>
      <c r="D484" s="25" t="s">
        <v>92</v>
      </c>
      <c r="E484" s="9">
        <v>10600000</v>
      </c>
      <c r="F484" s="26">
        <v>0.47</v>
      </c>
      <c r="G484" s="25">
        <v>46</v>
      </c>
      <c r="H484" s="27">
        <v>9.6999999999999993</v>
      </c>
      <c r="I484" s="21" t="str">
        <f t="shared" si="28"/>
        <v>No cumple</v>
      </c>
      <c r="J484" s="22" t="str">
        <f t="shared" si="29"/>
        <v>Sin bono</v>
      </c>
      <c r="K484" s="23" t="str">
        <f t="shared" si="30"/>
        <v>ALERTA</v>
      </c>
      <c r="L484" s="24" t="str">
        <f t="shared" si="31"/>
        <v>Revisar</v>
      </c>
    </row>
    <row r="485" spans="1:12" ht="18" customHeight="1" x14ac:dyDescent="0.3">
      <c r="A485" s="18" t="s">
        <v>1017</v>
      </c>
      <c r="B485" s="5" t="s">
        <v>1018</v>
      </c>
      <c r="C485" s="18" t="s">
        <v>91</v>
      </c>
      <c r="D485" s="18" t="s">
        <v>78</v>
      </c>
      <c r="E485" s="6">
        <v>6100000</v>
      </c>
      <c r="F485" s="19">
        <v>0.81</v>
      </c>
      <c r="G485" s="18">
        <v>31</v>
      </c>
      <c r="H485" s="20">
        <v>14.1</v>
      </c>
      <c r="I485" s="21" t="str">
        <f t="shared" si="28"/>
        <v>Cumple</v>
      </c>
      <c r="J485" s="22" t="str">
        <f t="shared" si="29"/>
        <v>Sin bono</v>
      </c>
      <c r="K485" s="23" t="str">
        <f t="shared" si="30"/>
        <v>ALERTA</v>
      </c>
      <c r="L485" s="24" t="str">
        <f t="shared" si="31"/>
        <v>Revisar</v>
      </c>
    </row>
    <row r="486" spans="1:12" ht="18" customHeight="1" x14ac:dyDescent="0.3">
      <c r="A486" s="25" t="s">
        <v>1019</v>
      </c>
      <c r="B486" s="8" t="s">
        <v>1020</v>
      </c>
      <c r="C486" s="25" t="s">
        <v>67</v>
      </c>
      <c r="D486" s="25" t="s">
        <v>92</v>
      </c>
      <c r="E486" s="9">
        <v>9400000</v>
      </c>
      <c r="F486" s="26">
        <v>0.74</v>
      </c>
      <c r="G486" s="25">
        <v>42</v>
      </c>
      <c r="H486" s="27">
        <v>8.6999999999999993</v>
      </c>
      <c r="I486" s="21" t="str">
        <f t="shared" si="28"/>
        <v>No cumple</v>
      </c>
      <c r="J486" s="22" t="str">
        <f t="shared" si="29"/>
        <v>Sin bono</v>
      </c>
      <c r="K486" s="23" t="str">
        <f t="shared" si="30"/>
        <v>ALERTA</v>
      </c>
      <c r="L486" s="24" t="str">
        <f t="shared" si="31"/>
        <v>Revisar</v>
      </c>
    </row>
    <row r="487" spans="1:12" ht="18" customHeight="1" x14ac:dyDescent="0.3">
      <c r="A487" s="18" t="s">
        <v>1021</v>
      </c>
      <c r="B487" s="5" t="s">
        <v>1022</v>
      </c>
      <c r="C487" s="18" t="s">
        <v>63</v>
      </c>
      <c r="D487" s="18" t="s">
        <v>114</v>
      </c>
      <c r="E487" s="6">
        <v>9900000</v>
      </c>
      <c r="F487" s="19">
        <v>0.94</v>
      </c>
      <c r="G487" s="18">
        <v>36</v>
      </c>
      <c r="H487" s="20">
        <v>0.2</v>
      </c>
      <c r="I487" s="21" t="str">
        <f t="shared" si="28"/>
        <v>Cumple</v>
      </c>
      <c r="J487" s="22" t="str">
        <f t="shared" si="29"/>
        <v>Sin bono</v>
      </c>
      <c r="K487" s="23" t="str">
        <f t="shared" si="30"/>
        <v>ALERTA</v>
      </c>
      <c r="L487" s="24" t="str">
        <f t="shared" si="31"/>
        <v>Revisar</v>
      </c>
    </row>
    <row r="488" spans="1:12" ht="18" customHeight="1" x14ac:dyDescent="0.3">
      <c r="A488" s="25" t="s">
        <v>1023</v>
      </c>
      <c r="B488" s="8" t="s">
        <v>1024</v>
      </c>
      <c r="C488" s="25" t="s">
        <v>77</v>
      </c>
      <c r="D488" s="25" t="s">
        <v>105</v>
      </c>
      <c r="E488" s="9">
        <v>4900000</v>
      </c>
      <c r="F488" s="26">
        <v>0.49</v>
      </c>
      <c r="G488" s="25">
        <v>92</v>
      </c>
      <c r="H488" s="27">
        <v>6.4</v>
      </c>
      <c r="I488" s="21" t="str">
        <f t="shared" si="28"/>
        <v>No cumple</v>
      </c>
      <c r="J488" s="22" t="str">
        <f t="shared" si="29"/>
        <v>Sin bono</v>
      </c>
      <c r="K488" s="23" t="str">
        <f t="shared" si="30"/>
        <v>ALERTA</v>
      </c>
      <c r="L488" s="24" t="str">
        <f t="shared" si="31"/>
        <v>Revisar</v>
      </c>
    </row>
    <row r="489" spans="1:12" ht="18" customHeight="1" x14ac:dyDescent="0.3">
      <c r="A489" s="18" t="s">
        <v>1025</v>
      </c>
      <c r="B489" s="5" t="s">
        <v>1026</v>
      </c>
      <c r="C489" s="18" t="s">
        <v>67</v>
      </c>
      <c r="D489" s="18" t="s">
        <v>68</v>
      </c>
      <c r="E489" s="6">
        <v>7900000</v>
      </c>
      <c r="F489" s="19">
        <v>0.9</v>
      </c>
      <c r="G489" s="18">
        <v>40</v>
      </c>
      <c r="H489" s="20">
        <v>9.1999999999999993</v>
      </c>
      <c r="I489" s="21" t="str">
        <f t="shared" si="28"/>
        <v>Cumple</v>
      </c>
      <c r="J489" s="22" t="str">
        <f t="shared" si="29"/>
        <v>Sin bono</v>
      </c>
      <c r="K489" s="23" t="str">
        <f t="shared" si="30"/>
        <v>ALERTA</v>
      </c>
      <c r="L489" s="24" t="str">
        <f t="shared" si="31"/>
        <v>Revisar</v>
      </c>
    </row>
    <row r="490" spans="1:12" ht="18" customHeight="1" x14ac:dyDescent="0.3">
      <c r="A490" s="25" t="s">
        <v>1027</v>
      </c>
      <c r="B490" s="8" t="s">
        <v>1028</v>
      </c>
      <c r="C490" s="25" t="s">
        <v>74</v>
      </c>
      <c r="D490" s="25" t="s">
        <v>105</v>
      </c>
      <c r="E490" s="9">
        <v>8500000</v>
      </c>
      <c r="F490" s="26">
        <v>0.62</v>
      </c>
      <c r="G490" s="25">
        <v>93</v>
      </c>
      <c r="H490" s="27">
        <v>14.9</v>
      </c>
      <c r="I490" s="21" t="str">
        <f t="shared" si="28"/>
        <v>No cumple</v>
      </c>
      <c r="J490" s="22" t="str">
        <f t="shared" si="29"/>
        <v>Sin bono</v>
      </c>
      <c r="K490" s="23" t="str">
        <f t="shared" si="30"/>
        <v>OK</v>
      </c>
      <c r="L490" s="24" t="str">
        <f t="shared" si="31"/>
        <v>Revisar</v>
      </c>
    </row>
    <row r="491" spans="1:12" ht="18" customHeight="1" x14ac:dyDescent="0.3">
      <c r="A491" s="18" t="s">
        <v>1029</v>
      </c>
      <c r="B491" s="5" t="s">
        <v>1030</v>
      </c>
      <c r="C491" s="18" t="s">
        <v>63</v>
      </c>
      <c r="D491" s="18" t="s">
        <v>68</v>
      </c>
      <c r="E491" s="6">
        <v>3200000</v>
      </c>
      <c r="F491" s="19">
        <v>0.76</v>
      </c>
      <c r="G491" s="18">
        <v>30</v>
      </c>
      <c r="H491" s="20">
        <v>16.5</v>
      </c>
      <c r="I491" s="21" t="str">
        <f t="shared" si="28"/>
        <v>No cumple</v>
      </c>
      <c r="J491" s="22" t="str">
        <f t="shared" si="29"/>
        <v>Sin bono</v>
      </c>
      <c r="K491" s="23" t="str">
        <f t="shared" si="30"/>
        <v>ALERTA</v>
      </c>
      <c r="L491" s="24" t="str">
        <f t="shared" si="31"/>
        <v>Revisar</v>
      </c>
    </row>
    <row r="492" spans="1:12" ht="18" customHeight="1" x14ac:dyDescent="0.3">
      <c r="A492" s="25" t="s">
        <v>1031</v>
      </c>
      <c r="B492" s="8" t="s">
        <v>1032</v>
      </c>
      <c r="C492" s="25" t="s">
        <v>67</v>
      </c>
      <c r="D492" s="25" t="s">
        <v>105</v>
      </c>
      <c r="E492" s="9">
        <v>7100000</v>
      </c>
      <c r="F492" s="26">
        <v>0.65</v>
      </c>
      <c r="G492" s="25">
        <v>36</v>
      </c>
      <c r="H492" s="27">
        <v>16.3</v>
      </c>
      <c r="I492" s="21" t="str">
        <f t="shared" si="28"/>
        <v>No cumple</v>
      </c>
      <c r="J492" s="22" t="str">
        <f t="shared" si="29"/>
        <v>Sin bono</v>
      </c>
      <c r="K492" s="23" t="str">
        <f t="shared" si="30"/>
        <v>ALERTA</v>
      </c>
      <c r="L492" s="24" t="str">
        <f t="shared" si="31"/>
        <v>Revisar</v>
      </c>
    </row>
    <row r="493" spans="1:12" ht="18" customHeight="1" x14ac:dyDescent="0.3">
      <c r="A493" s="18" t="s">
        <v>1033</v>
      </c>
      <c r="B493" s="5" t="s">
        <v>1034</v>
      </c>
      <c r="C493" s="18" t="s">
        <v>77</v>
      </c>
      <c r="D493" s="18" t="s">
        <v>92</v>
      </c>
      <c r="E493" s="6">
        <v>11900000</v>
      </c>
      <c r="F493" s="19">
        <v>0.7</v>
      </c>
      <c r="G493" s="18">
        <v>42</v>
      </c>
      <c r="H493" s="20">
        <v>15.2</v>
      </c>
      <c r="I493" s="21" t="str">
        <f t="shared" si="28"/>
        <v>No cumple</v>
      </c>
      <c r="J493" s="22" t="str">
        <f t="shared" si="29"/>
        <v>Sin bono</v>
      </c>
      <c r="K493" s="23" t="str">
        <f t="shared" si="30"/>
        <v>ALERTA</v>
      </c>
      <c r="L493" s="24" t="str">
        <f t="shared" si="31"/>
        <v>Revisar</v>
      </c>
    </row>
    <row r="494" spans="1:12" ht="18" customHeight="1" x14ac:dyDescent="0.3">
      <c r="A494" s="25" t="s">
        <v>1035</v>
      </c>
      <c r="B494" s="8" t="s">
        <v>1036</v>
      </c>
      <c r="C494" s="25" t="s">
        <v>81</v>
      </c>
      <c r="D494" s="25" t="s">
        <v>92</v>
      </c>
      <c r="E494" s="9">
        <v>10900000</v>
      </c>
      <c r="F494" s="26">
        <v>0.98</v>
      </c>
      <c r="G494" s="25">
        <v>67</v>
      </c>
      <c r="H494" s="27">
        <v>11</v>
      </c>
      <c r="I494" s="21" t="str">
        <f t="shared" si="28"/>
        <v>Cumple</v>
      </c>
      <c r="J494" s="22" t="str">
        <f t="shared" si="29"/>
        <v>Sin bono</v>
      </c>
      <c r="K494" s="23" t="str">
        <f t="shared" si="30"/>
        <v>OK</v>
      </c>
      <c r="L494" s="24" t="str">
        <f t="shared" si="31"/>
        <v>Revisar</v>
      </c>
    </row>
    <row r="495" spans="1:12" ht="18" customHeight="1" x14ac:dyDescent="0.3">
      <c r="A495" s="18" t="s">
        <v>1037</v>
      </c>
      <c r="B495" s="5" t="s">
        <v>1038</v>
      </c>
      <c r="C495" s="18" t="s">
        <v>63</v>
      </c>
      <c r="D495" s="18" t="s">
        <v>78</v>
      </c>
      <c r="E495" s="6">
        <v>6000000</v>
      </c>
      <c r="F495" s="19">
        <v>0.79</v>
      </c>
      <c r="G495" s="18">
        <v>54</v>
      </c>
      <c r="H495" s="20">
        <v>2.4</v>
      </c>
      <c r="I495" s="21" t="str">
        <f t="shared" si="28"/>
        <v>No cumple</v>
      </c>
      <c r="J495" s="22" t="str">
        <f t="shared" si="29"/>
        <v>Sin bono</v>
      </c>
      <c r="K495" s="23" t="str">
        <f t="shared" si="30"/>
        <v>OK</v>
      </c>
      <c r="L495" s="24" t="str">
        <f t="shared" si="31"/>
        <v>Revisar</v>
      </c>
    </row>
    <row r="496" spans="1:12" ht="18" customHeight="1" x14ac:dyDescent="0.3">
      <c r="A496" s="25" t="s">
        <v>1039</v>
      </c>
      <c r="B496" s="8" t="s">
        <v>1040</v>
      </c>
      <c r="C496" s="25" t="s">
        <v>77</v>
      </c>
      <c r="D496" s="25" t="s">
        <v>60</v>
      </c>
      <c r="E496" s="9">
        <v>11900000</v>
      </c>
      <c r="F496" s="26">
        <v>0.64</v>
      </c>
      <c r="G496" s="25">
        <v>83</v>
      </c>
      <c r="H496" s="27">
        <v>0.9</v>
      </c>
      <c r="I496" s="21" t="str">
        <f t="shared" si="28"/>
        <v>No cumple</v>
      </c>
      <c r="J496" s="22" t="str">
        <f t="shared" si="29"/>
        <v>Sin bono</v>
      </c>
      <c r="K496" s="23" t="str">
        <f t="shared" si="30"/>
        <v>OK</v>
      </c>
      <c r="L496" s="24" t="str">
        <f t="shared" si="31"/>
        <v>Revisar</v>
      </c>
    </row>
    <row r="497" spans="1:12" ht="18" customHeight="1" x14ac:dyDescent="0.3">
      <c r="A497" s="18" t="s">
        <v>1041</v>
      </c>
      <c r="B497" s="5" t="s">
        <v>1042</v>
      </c>
      <c r="C497" s="18" t="s">
        <v>71</v>
      </c>
      <c r="D497" s="18" t="s">
        <v>105</v>
      </c>
      <c r="E497" s="6">
        <v>2800000</v>
      </c>
      <c r="F497" s="19">
        <v>0.74</v>
      </c>
      <c r="G497" s="18">
        <v>36</v>
      </c>
      <c r="H497" s="20">
        <v>11.1</v>
      </c>
      <c r="I497" s="21" t="str">
        <f t="shared" si="28"/>
        <v>No cumple</v>
      </c>
      <c r="J497" s="22" t="str">
        <f t="shared" si="29"/>
        <v>Sin bono</v>
      </c>
      <c r="K497" s="23" t="str">
        <f t="shared" si="30"/>
        <v>ALERTA</v>
      </c>
      <c r="L497" s="24" t="str">
        <f t="shared" si="31"/>
        <v>Revisar</v>
      </c>
    </row>
    <row r="498" spans="1:12" ht="18" customHeight="1" x14ac:dyDescent="0.3">
      <c r="A498" s="25" t="s">
        <v>1043</v>
      </c>
      <c r="B498" s="8" t="s">
        <v>1044</v>
      </c>
      <c r="C498" s="25" t="s">
        <v>71</v>
      </c>
      <c r="D498" s="25" t="s">
        <v>114</v>
      </c>
      <c r="E498" s="9">
        <v>4400000</v>
      </c>
      <c r="F498" s="26">
        <v>0.51</v>
      </c>
      <c r="G498" s="25">
        <v>71</v>
      </c>
      <c r="H498" s="27">
        <v>10.1</v>
      </c>
      <c r="I498" s="21" t="str">
        <f t="shared" si="28"/>
        <v>No cumple</v>
      </c>
      <c r="J498" s="22" t="str">
        <f t="shared" si="29"/>
        <v>Sin bono</v>
      </c>
      <c r="K498" s="23" t="str">
        <f t="shared" si="30"/>
        <v>ALERTA</v>
      </c>
      <c r="L498" s="24" t="str">
        <f t="shared" si="31"/>
        <v>Revisar</v>
      </c>
    </row>
    <row r="499" spans="1:12" ht="18" customHeight="1" x14ac:dyDescent="0.3">
      <c r="A499" s="18" t="s">
        <v>1045</v>
      </c>
      <c r="B499" s="5" t="s">
        <v>1046</v>
      </c>
      <c r="C499" s="18" t="s">
        <v>67</v>
      </c>
      <c r="D499" s="18" t="s">
        <v>88</v>
      </c>
      <c r="E499" s="6">
        <v>7800000</v>
      </c>
      <c r="F499" s="19">
        <v>0.98</v>
      </c>
      <c r="G499" s="18">
        <v>67</v>
      </c>
      <c r="H499" s="20">
        <v>9.1</v>
      </c>
      <c r="I499" s="21" t="str">
        <f t="shared" si="28"/>
        <v>Cumple</v>
      </c>
      <c r="J499" s="22" t="str">
        <f t="shared" si="29"/>
        <v>Sin bono</v>
      </c>
      <c r="K499" s="23" t="str">
        <f t="shared" si="30"/>
        <v>OK</v>
      </c>
      <c r="L499" s="24" t="str">
        <f t="shared" si="31"/>
        <v>Revisar</v>
      </c>
    </row>
    <row r="500" spans="1:12" ht="18" customHeight="1" x14ac:dyDescent="0.3">
      <c r="A500" s="25" t="s">
        <v>1047</v>
      </c>
      <c r="B500" s="8" t="s">
        <v>1048</v>
      </c>
      <c r="C500" s="25" t="s">
        <v>81</v>
      </c>
      <c r="D500" s="25" t="s">
        <v>60</v>
      </c>
      <c r="E500" s="9">
        <v>5300000</v>
      </c>
      <c r="F500" s="26">
        <v>0.56999999999999995</v>
      </c>
      <c r="G500" s="25">
        <v>67</v>
      </c>
      <c r="H500" s="27">
        <v>13.7</v>
      </c>
      <c r="I500" s="21" t="str">
        <f t="shared" si="28"/>
        <v>No cumple</v>
      </c>
      <c r="J500" s="22" t="str">
        <f t="shared" si="29"/>
        <v>Sin bono</v>
      </c>
      <c r="K500" s="23" t="str">
        <f t="shared" si="30"/>
        <v>ALERTA</v>
      </c>
      <c r="L500" s="24" t="str">
        <f t="shared" si="31"/>
        <v>Revisar</v>
      </c>
    </row>
    <row r="501" spans="1:12" ht="18" customHeight="1" x14ac:dyDescent="0.3">
      <c r="A501" s="18" t="s">
        <v>1049</v>
      </c>
      <c r="B501" s="5" t="s">
        <v>1050</v>
      </c>
      <c r="C501" s="18" t="s">
        <v>81</v>
      </c>
      <c r="D501" s="18" t="s">
        <v>78</v>
      </c>
      <c r="E501" s="6">
        <v>7300000</v>
      </c>
      <c r="F501" s="19">
        <v>0.76</v>
      </c>
      <c r="G501" s="18">
        <v>83</v>
      </c>
      <c r="H501" s="20">
        <v>13.5</v>
      </c>
      <c r="I501" s="21" t="str">
        <f t="shared" si="28"/>
        <v>No cumple</v>
      </c>
      <c r="J501" s="22" t="str">
        <f t="shared" si="29"/>
        <v>Sin bono</v>
      </c>
      <c r="K501" s="23" t="str">
        <f t="shared" si="30"/>
        <v>OK</v>
      </c>
      <c r="L501" s="24" t="str">
        <f t="shared" si="31"/>
        <v>Revisar</v>
      </c>
    </row>
    <row r="502" spans="1:12" ht="18" customHeight="1" x14ac:dyDescent="0.3">
      <c r="A502" s="25" t="s">
        <v>1051</v>
      </c>
      <c r="B502" s="8" t="s">
        <v>1052</v>
      </c>
      <c r="C502" s="25" t="s">
        <v>63</v>
      </c>
      <c r="D502" s="25" t="s">
        <v>64</v>
      </c>
      <c r="E502" s="9">
        <v>9400000</v>
      </c>
      <c r="F502" s="26">
        <v>0.51</v>
      </c>
      <c r="G502" s="25">
        <v>78</v>
      </c>
      <c r="H502" s="27">
        <v>2.9</v>
      </c>
      <c r="I502" s="21" t="str">
        <f t="shared" si="28"/>
        <v>No cumple</v>
      </c>
      <c r="J502" s="22" t="str">
        <f t="shared" si="29"/>
        <v>Sin bono</v>
      </c>
      <c r="K502" s="23" t="str">
        <f t="shared" si="30"/>
        <v>ALERTA</v>
      </c>
      <c r="L502" s="24" t="str">
        <f t="shared" si="31"/>
        <v>Revisar</v>
      </c>
    </row>
    <row r="503" spans="1:12" ht="18" customHeight="1" x14ac:dyDescent="0.3">
      <c r="A503" s="18" t="s">
        <v>1053</v>
      </c>
      <c r="B503" s="5" t="s">
        <v>1054</v>
      </c>
      <c r="C503" s="18" t="s">
        <v>59</v>
      </c>
      <c r="D503" s="18" t="s">
        <v>114</v>
      </c>
      <c r="E503" s="6">
        <v>6400000</v>
      </c>
      <c r="F503" s="19">
        <v>0.83</v>
      </c>
      <c r="G503" s="18">
        <v>48</v>
      </c>
      <c r="H503" s="20">
        <v>16.8</v>
      </c>
      <c r="I503" s="21" t="str">
        <f t="shared" si="28"/>
        <v>Cumple</v>
      </c>
      <c r="J503" s="22" t="str">
        <f t="shared" si="29"/>
        <v>Sin bono</v>
      </c>
      <c r="K503" s="23" t="str">
        <f t="shared" si="30"/>
        <v>ALERTA</v>
      </c>
      <c r="L503" s="24" t="str">
        <f t="shared" si="31"/>
        <v>Revisar</v>
      </c>
    </row>
    <row r="504" spans="1:12" ht="18" customHeight="1" x14ac:dyDescent="0.3">
      <c r="A504" s="25" t="s">
        <v>1055</v>
      </c>
      <c r="B504" s="8" t="s">
        <v>1056</v>
      </c>
      <c r="C504" s="25" t="s">
        <v>81</v>
      </c>
      <c r="D504" s="25" t="s">
        <v>105</v>
      </c>
      <c r="E504" s="9">
        <v>4100000</v>
      </c>
      <c r="F504" s="26">
        <v>0.79</v>
      </c>
      <c r="G504" s="25">
        <v>58</v>
      </c>
      <c r="H504" s="27">
        <v>14.8</v>
      </c>
      <c r="I504" s="21" t="str">
        <f t="shared" si="28"/>
        <v>No cumple</v>
      </c>
      <c r="J504" s="22" t="str">
        <f t="shared" si="29"/>
        <v>Sin bono</v>
      </c>
      <c r="K504" s="23" t="str">
        <f t="shared" si="30"/>
        <v>OK</v>
      </c>
      <c r="L504" s="24" t="str">
        <f t="shared" si="31"/>
        <v>Revisar</v>
      </c>
    </row>
    <row r="505" spans="1:12" ht="18" customHeight="1" x14ac:dyDescent="0.3">
      <c r="A505" s="18" t="s">
        <v>1057</v>
      </c>
      <c r="B505" s="5" t="s">
        <v>1058</v>
      </c>
      <c r="C505" s="18" t="s">
        <v>67</v>
      </c>
      <c r="D505" s="18" t="s">
        <v>88</v>
      </c>
      <c r="E505" s="6">
        <v>11600000</v>
      </c>
      <c r="F505" s="19">
        <v>0.82</v>
      </c>
      <c r="G505" s="18">
        <v>78</v>
      </c>
      <c r="H505" s="20">
        <v>7.8</v>
      </c>
      <c r="I505" s="21" t="str">
        <f t="shared" si="28"/>
        <v>Cumple</v>
      </c>
      <c r="J505" s="22" t="str">
        <f t="shared" si="29"/>
        <v>BONO</v>
      </c>
      <c r="K505" s="23" t="str">
        <f t="shared" si="30"/>
        <v>OK</v>
      </c>
      <c r="L505" s="24" t="str">
        <f t="shared" si="31"/>
        <v>Bueno</v>
      </c>
    </row>
    <row r="506" spans="1:12" ht="18" customHeight="1" x14ac:dyDescent="0.3">
      <c r="A506" s="25" t="s">
        <v>1059</v>
      </c>
      <c r="B506" s="8" t="s">
        <v>1060</v>
      </c>
      <c r="C506" s="25" t="s">
        <v>91</v>
      </c>
      <c r="D506" s="25" t="s">
        <v>64</v>
      </c>
      <c r="E506" s="9">
        <v>6000000</v>
      </c>
      <c r="F506" s="26">
        <v>0.56000000000000005</v>
      </c>
      <c r="G506" s="25">
        <v>86</v>
      </c>
      <c r="H506" s="27">
        <v>16.600000000000001</v>
      </c>
      <c r="I506" s="21" t="str">
        <f t="shared" si="28"/>
        <v>No cumple</v>
      </c>
      <c r="J506" s="22" t="str">
        <f t="shared" si="29"/>
        <v>Sin bono</v>
      </c>
      <c r="K506" s="23" t="str">
        <f t="shared" si="30"/>
        <v>ALERTA</v>
      </c>
      <c r="L506" s="24" t="str">
        <f t="shared" si="31"/>
        <v>Revisar</v>
      </c>
    </row>
    <row r="507" spans="1:12" ht="18" customHeight="1" x14ac:dyDescent="0.3">
      <c r="A507" s="18" t="s">
        <v>1061</v>
      </c>
      <c r="B507" s="5" t="s">
        <v>1062</v>
      </c>
      <c r="C507" s="18" t="s">
        <v>67</v>
      </c>
      <c r="D507" s="18" t="s">
        <v>88</v>
      </c>
      <c r="E507" s="6">
        <v>8500000</v>
      </c>
      <c r="F507" s="19">
        <v>0.55000000000000004</v>
      </c>
      <c r="G507" s="18">
        <v>39</v>
      </c>
      <c r="H507" s="20">
        <v>3.7</v>
      </c>
      <c r="I507" s="21" t="str">
        <f t="shared" si="28"/>
        <v>No cumple</v>
      </c>
      <c r="J507" s="22" t="str">
        <f t="shared" si="29"/>
        <v>Sin bono</v>
      </c>
      <c r="K507" s="23" t="str">
        <f t="shared" si="30"/>
        <v>ALERTA</v>
      </c>
      <c r="L507" s="24" t="str">
        <f t="shared" si="31"/>
        <v>Revisar</v>
      </c>
    </row>
    <row r="508" spans="1:12" ht="18" customHeight="1" x14ac:dyDescent="0.3">
      <c r="A508" s="25" t="s">
        <v>1063</v>
      </c>
      <c r="B508" s="8" t="s">
        <v>1064</v>
      </c>
      <c r="C508" s="25" t="s">
        <v>74</v>
      </c>
      <c r="D508" s="25" t="s">
        <v>68</v>
      </c>
      <c r="E508" s="9">
        <v>3300000</v>
      </c>
      <c r="F508" s="26">
        <v>0.69</v>
      </c>
      <c r="G508" s="25">
        <v>63</v>
      </c>
      <c r="H508" s="27">
        <v>2.6</v>
      </c>
      <c r="I508" s="21" t="str">
        <f t="shared" si="28"/>
        <v>No cumple</v>
      </c>
      <c r="J508" s="22" t="str">
        <f t="shared" si="29"/>
        <v>Sin bono</v>
      </c>
      <c r="K508" s="23" t="str">
        <f t="shared" si="30"/>
        <v>OK</v>
      </c>
      <c r="L508" s="24" t="str">
        <f t="shared" si="31"/>
        <v>Revisar</v>
      </c>
    </row>
    <row r="509" spans="1:12" ht="18" customHeight="1" x14ac:dyDescent="0.3">
      <c r="A509" s="18" t="s">
        <v>1065</v>
      </c>
      <c r="B509" s="5" t="s">
        <v>1066</v>
      </c>
      <c r="C509" s="18" t="s">
        <v>59</v>
      </c>
      <c r="D509" s="18" t="s">
        <v>64</v>
      </c>
      <c r="E509" s="6">
        <v>7000000</v>
      </c>
      <c r="F509" s="19">
        <v>0.71</v>
      </c>
      <c r="G509" s="18">
        <v>49</v>
      </c>
      <c r="H509" s="20">
        <v>0.8</v>
      </c>
      <c r="I509" s="21" t="str">
        <f t="shared" si="28"/>
        <v>No cumple</v>
      </c>
      <c r="J509" s="22" t="str">
        <f t="shared" si="29"/>
        <v>Sin bono</v>
      </c>
      <c r="K509" s="23" t="str">
        <f t="shared" si="30"/>
        <v>ALERTA</v>
      </c>
      <c r="L509" s="24" t="str">
        <f t="shared" si="31"/>
        <v>Revisar</v>
      </c>
    </row>
    <row r="510" spans="1:12" ht="18" customHeight="1" x14ac:dyDescent="0.3">
      <c r="A510" s="25" t="s">
        <v>1067</v>
      </c>
      <c r="B510" s="8" t="s">
        <v>1068</v>
      </c>
      <c r="C510" s="25" t="s">
        <v>91</v>
      </c>
      <c r="D510" s="25" t="s">
        <v>88</v>
      </c>
      <c r="E510" s="9">
        <v>9000000</v>
      </c>
      <c r="F510" s="26">
        <v>0.88</v>
      </c>
      <c r="G510" s="25">
        <v>100</v>
      </c>
      <c r="H510" s="27">
        <v>7.2</v>
      </c>
      <c r="I510" s="21" t="str">
        <f t="shared" si="28"/>
        <v>Cumple</v>
      </c>
      <c r="J510" s="22" t="str">
        <f t="shared" si="29"/>
        <v>BONO</v>
      </c>
      <c r="K510" s="23" t="str">
        <f t="shared" si="30"/>
        <v>OK</v>
      </c>
      <c r="L510" s="24" t="str">
        <f t="shared" si="31"/>
        <v>Bueno</v>
      </c>
    </row>
    <row r="511" spans="1:12" ht="18" customHeight="1" x14ac:dyDescent="0.3">
      <c r="A511" s="18" t="s">
        <v>1069</v>
      </c>
      <c r="B511" s="5" t="s">
        <v>1070</v>
      </c>
      <c r="C511" s="18" t="s">
        <v>67</v>
      </c>
      <c r="D511" s="18" t="s">
        <v>114</v>
      </c>
      <c r="E511" s="6">
        <v>9400000</v>
      </c>
      <c r="F511" s="19">
        <v>0.49</v>
      </c>
      <c r="G511" s="18">
        <v>94</v>
      </c>
      <c r="H511" s="20">
        <v>3.2</v>
      </c>
      <c r="I511" s="21" t="str">
        <f t="shared" si="28"/>
        <v>No cumple</v>
      </c>
      <c r="J511" s="22" t="str">
        <f t="shared" si="29"/>
        <v>Sin bono</v>
      </c>
      <c r="K511" s="23" t="str">
        <f t="shared" si="30"/>
        <v>ALERTA</v>
      </c>
      <c r="L511" s="24" t="str">
        <f t="shared" si="31"/>
        <v>Revisar</v>
      </c>
    </row>
    <row r="512" spans="1:12" ht="18" customHeight="1" x14ac:dyDescent="0.3">
      <c r="A512" s="25" t="s">
        <v>1071</v>
      </c>
      <c r="B512" s="8" t="s">
        <v>1072</v>
      </c>
      <c r="C512" s="25" t="s">
        <v>63</v>
      </c>
      <c r="D512" s="25" t="s">
        <v>78</v>
      </c>
      <c r="E512" s="9">
        <v>7200000</v>
      </c>
      <c r="F512" s="26">
        <v>0.56999999999999995</v>
      </c>
      <c r="G512" s="25">
        <v>57</v>
      </c>
      <c r="H512" s="27">
        <v>13.3</v>
      </c>
      <c r="I512" s="21" t="str">
        <f t="shared" si="28"/>
        <v>No cumple</v>
      </c>
      <c r="J512" s="22" t="str">
        <f t="shared" si="29"/>
        <v>Sin bono</v>
      </c>
      <c r="K512" s="23" t="str">
        <f t="shared" si="30"/>
        <v>ALERTA</v>
      </c>
      <c r="L512" s="24" t="str">
        <f t="shared" si="31"/>
        <v>Revisar</v>
      </c>
    </row>
    <row r="513" spans="1:12" ht="18" customHeight="1" x14ac:dyDescent="0.3">
      <c r="A513" s="18" t="s">
        <v>1073</v>
      </c>
      <c r="B513" s="5" t="s">
        <v>1074</v>
      </c>
      <c r="C513" s="18" t="s">
        <v>59</v>
      </c>
      <c r="D513" s="18" t="s">
        <v>60</v>
      </c>
      <c r="E513" s="6">
        <v>10700000</v>
      </c>
      <c r="F513" s="19">
        <v>0.74</v>
      </c>
      <c r="G513" s="18">
        <v>31</v>
      </c>
      <c r="H513" s="20">
        <v>2.2999999999999998</v>
      </c>
      <c r="I513" s="21" t="str">
        <f t="shared" si="28"/>
        <v>No cumple</v>
      </c>
      <c r="J513" s="22" t="str">
        <f t="shared" si="29"/>
        <v>Sin bono</v>
      </c>
      <c r="K513" s="23" t="str">
        <f t="shared" si="30"/>
        <v>ALERTA</v>
      </c>
      <c r="L513" s="24" t="str">
        <f t="shared" si="31"/>
        <v>Revisar</v>
      </c>
    </row>
    <row r="514" spans="1:12" ht="18" customHeight="1" x14ac:dyDescent="0.3">
      <c r="A514" s="25" t="s">
        <v>1075</v>
      </c>
      <c r="B514" s="8" t="s">
        <v>1076</v>
      </c>
      <c r="C514" s="25" t="s">
        <v>67</v>
      </c>
      <c r="D514" s="25" t="s">
        <v>60</v>
      </c>
      <c r="E514" s="9">
        <v>3300000</v>
      </c>
      <c r="F514" s="26">
        <v>0.83</v>
      </c>
      <c r="G514" s="25">
        <v>71</v>
      </c>
      <c r="H514" s="27">
        <v>7.6</v>
      </c>
      <c r="I514" s="21" t="str">
        <f t="shared" si="28"/>
        <v>Cumple</v>
      </c>
      <c r="J514" s="22" t="str">
        <f t="shared" si="29"/>
        <v>BONO</v>
      </c>
      <c r="K514" s="23" t="str">
        <f t="shared" si="30"/>
        <v>OK</v>
      </c>
      <c r="L514" s="24" t="str">
        <f t="shared" si="31"/>
        <v>Bueno</v>
      </c>
    </row>
    <row r="515" spans="1:12" ht="18" customHeight="1" x14ac:dyDescent="0.3">
      <c r="A515" s="18" t="s">
        <v>1077</v>
      </c>
      <c r="B515" s="5" t="s">
        <v>1078</v>
      </c>
      <c r="C515" s="18" t="s">
        <v>59</v>
      </c>
      <c r="D515" s="18" t="s">
        <v>64</v>
      </c>
      <c r="E515" s="6">
        <v>9400000</v>
      </c>
      <c r="F515" s="19">
        <v>0.9</v>
      </c>
      <c r="G515" s="18">
        <v>77</v>
      </c>
      <c r="H515" s="20">
        <v>10.3</v>
      </c>
      <c r="I515" s="21" t="str">
        <f t="shared" si="28"/>
        <v>Cumple</v>
      </c>
      <c r="J515" s="22" t="str">
        <f t="shared" si="29"/>
        <v>BONO</v>
      </c>
      <c r="K515" s="23" t="str">
        <f t="shared" si="30"/>
        <v>OK</v>
      </c>
      <c r="L515" s="24" t="str">
        <f t="shared" si="31"/>
        <v>Bueno</v>
      </c>
    </row>
    <row r="516" spans="1:12" ht="18" customHeight="1" x14ac:dyDescent="0.3">
      <c r="A516" s="25" t="s">
        <v>1079</v>
      </c>
      <c r="B516" s="8" t="s">
        <v>1080</v>
      </c>
      <c r="C516" s="25" t="s">
        <v>59</v>
      </c>
      <c r="D516" s="25" t="s">
        <v>60</v>
      </c>
      <c r="E516" s="9">
        <v>6900000</v>
      </c>
      <c r="F516" s="26">
        <v>0.73</v>
      </c>
      <c r="G516" s="25">
        <v>42</v>
      </c>
      <c r="H516" s="27">
        <v>3.3</v>
      </c>
      <c r="I516" s="21" t="str">
        <f t="shared" si="28"/>
        <v>No cumple</v>
      </c>
      <c r="J516" s="22" t="str">
        <f t="shared" si="29"/>
        <v>Sin bono</v>
      </c>
      <c r="K516" s="23" t="str">
        <f t="shared" si="30"/>
        <v>ALERTA</v>
      </c>
      <c r="L516" s="24" t="str">
        <f t="shared" si="31"/>
        <v>Revisar</v>
      </c>
    </row>
    <row r="517" spans="1:12" ht="18" customHeight="1" x14ac:dyDescent="0.3">
      <c r="A517" s="18" t="s">
        <v>1081</v>
      </c>
      <c r="B517" s="5" t="s">
        <v>1082</v>
      </c>
      <c r="C517" s="18" t="s">
        <v>74</v>
      </c>
      <c r="D517" s="18" t="s">
        <v>60</v>
      </c>
      <c r="E517" s="6">
        <v>11300000</v>
      </c>
      <c r="F517" s="19">
        <v>0.8</v>
      </c>
      <c r="G517" s="18">
        <v>57</v>
      </c>
      <c r="H517" s="20">
        <v>17.3</v>
      </c>
      <c r="I517" s="21" t="str">
        <f t="shared" si="28"/>
        <v>Cumple</v>
      </c>
      <c r="J517" s="22" t="str">
        <f t="shared" si="29"/>
        <v>Sin bono</v>
      </c>
      <c r="K517" s="23" t="str">
        <f t="shared" si="30"/>
        <v>OK</v>
      </c>
      <c r="L517" s="24" t="str">
        <f t="shared" si="31"/>
        <v>Revisar</v>
      </c>
    </row>
    <row r="518" spans="1:12" ht="18" customHeight="1" x14ac:dyDescent="0.3">
      <c r="A518" s="25" t="s">
        <v>1083</v>
      </c>
      <c r="B518" s="8" t="s">
        <v>1084</v>
      </c>
      <c r="C518" s="25" t="s">
        <v>63</v>
      </c>
      <c r="D518" s="25" t="s">
        <v>78</v>
      </c>
      <c r="E518" s="9">
        <v>11500000</v>
      </c>
      <c r="F518" s="26">
        <v>0.53</v>
      </c>
      <c r="G518" s="25">
        <v>88</v>
      </c>
      <c r="H518" s="27">
        <v>14.3</v>
      </c>
      <c r="I518" s="21" t="str">
        <f t="shared" si="28"/>
        <v>No cumple</v>
      </c>
      <c r="J518" s="22" t="str">
        <f t="shared" si="29"/>
        <v>Sin bono</v>
      </c>
      <c r="K518" s="23" t="str">
        <f t="shared" si="30"/>
        <v>ALERTA</v>
      </c>
      <c r="L518" s="24" t="str">
        <f t="shared" si="31"/>
        <v>Revisar</v>
      </c>
    </row>
    <row r="519" spans="1:12" ht="18" customHeight="1" x14ac:dyDescent="0.3">
      <c r="A519" s="18" t="s">
        <v>1085</v>
      </c>
      <c r="B519" s="5" t="s">
        <v>1086</v>
      </c>
      <c r="C519" s="18" t="s">
        <v>74</v>
      </c>
      <c r="D519" s="18" t="s">
        <v>64</v>
      </c>
      <c r="E519" s="6">
        <v>5000000</v>
      </c>
      <c r="F519" s="19">
        <v>0.89</v>
      </c>
      <c r="G519" s="18">
        <v>39</v>
      </c>
      <c r="H519" s="20">
        <v>11.5</v>
      </c>
      <c r="I519" s="21" t="str">
        <f t="shared" si="28"/>
        <v>Cumple</v>
      </c>
      <c r="J519" s="22" t="str">
        <f t="shared" si="29"/>
        <v>Sin bono</v>
      </c>
      <c r="K519" s="23" t="str">
        <f t="shared" si="30"/>
        <v>ALERTA</v>
      </c>
      <c r="L519" s="24" t="str">
        <f t="shared" si="31"/>
        <v>Revisar</v>
      </c>
    </row>
    <row r="520" spans="1:12" ht="18" customHeight="1" x14ac:dyDescent="0.3">
      <c r="A520" s="25" t="s">
        <v>1087</v>
      </c>
      <c r="B520" s="8" t="s">
        <v>1088</v>
      </c>
      <c r="C520" s="25" t="s">
        <v>59</v>
      </c>
      <c r="D520" s="25" t="s">
        <v>68</v>
      </c>
      <c r="E520" s="9">
        <v>7700000</v>
      </c>
      <c r="F520" s="26">
        <v>0.7</v>
      </c>
      <c r="G520" s="25">
        <v>81</v>
      </c>
      <c r="H520" s="27">
        <v>8.6999999999999993</v>
      </c>
      <c r="I520" s="21" t="str">
        <f t="shared" si="28"/>
        <v>No cumple</v>
      </c>
      <c r="J520" s="22" t="str">
        <f t="shared" si="29"/>
        <v>Sin bono</v>
      </c>
      <c r="K520" s="23" t="str">
        <f t="shared" si="30"/>
        <v>OK</v>
      </c>
      <c r="L520" s="24" t="str">
        <f t="shared" si="31"/>
        <v>Revisar</v>
      </c>
    </row>
    <row r="521" spans="1:12" ht="18" customHeight="1" x14ac:dyDescent="0.3">
      <c r="A521" s="18" t="s">
        <v>1089</v>
      </c>
      <c r="B521" s="5" t="s">
        <v>1090</v>
      </c>
      <c r="C521" s="18" t="s">
        <v>91</v>
      </c>
      <c r="D521" s="18" t="s">
        <v>78</v>
      </c>
      <c r="E521" s="6">
        <v>10200000</v>
      </c>
      <c r="F521" s="19">
        <v>0.48</v>
      </c>
      <c r="G521" s="18">
        <v>39</v>
      </c>
      <c r="H521" s="20">
        <v>7.2</v>
      </c>
      <c r="I521" s="21" t="str">
        <f t="shared" si="28"/>
        <v>No cumple</v>
      </c>
      <c r="J521" s="22" t="str">
        <f t="shared" si="29"/>
        <v>Sin bono</v>
      </c>
      <c r="K521" s="23" t="str">
        <f t="shared" si="30"/>
        <v>ALERTA</v>
      </c>
      <c r="L521" s="24" t="str">
        <f t="shared" si="31"/>
        <v>Revisar</v>
      </c>
    </row>
    <row r="522" spans="1:12" ht="18" customHeight="1" x14ac:dyDescent="0.3">
      <c r="A522" s="25" t="s">
        <v>1091</v>
      </c>
      <c r="B522" s="8" t="s">
        <v>1092</v>
      </c>
      <c r="C522" s="25" t="s">
        <v>59</v>
      </c>
      <c r="D522" s="25" t="s">
        <v>78</v>
      </c>
      <c r="E522" s="9">
        <v>6400000</v>
      </c>
      <c r="F522" s="26">
        <v>0.87</v>
      </c>
      <c r="G522" s="25">
        <v>86</v>
      </c>
      <c r="H522" s="27">
        <v>7.6</v>
      </c>
      <c r="I522" s="21" t="str">
        <f t="shared" si="28"/>
        <v>Cumple</v>
      </c>
      <c r="J522" s="22" t="str">
        <f t="shared" si="29"/>
        <v>BONO</v>
      </c>
      <c r="K522" s="23" t="str">
        <f t="shared" si="30"/>
        <v>OK</v>
      </c>
      <c r="L522" s="24" t="str">
        <f t="shared" si="31"/>
        <v>Bueno</v>
      </c>
    </row>
    <row r="523" spans="1:12" ht="18" customHeight="1" x14ac:dyDescent="0.3">
      <c r="A523" s="18" t="s">
        <v>1093</v>
      </c>
      <c r="B523" s="5" t="s">
        <v>1094</v>
      </c>
      <c r="C523" s="18" t="s">
        <v>63</v>
      </c>
      <c r="D523" s="18" t="s">
        <v>88</v>
      </c>
      <c r="E523" s="6">
        <v>10900000</v>
      </c>
      <c r="F523" s="19">
        <v>0.53</v>
      </c>
      <c r="G523" s="18">
        <v>77</v>
      </c>
      <c r="H523" s="20">
        <v>19.100000000000001</v>
      </c>
      <c r="I523" s="21" t="str">
        <f t="shared" si="28"/>
        <v>No cumple</v>
      </c>
      <c r="J523" s="22" t="str">
        <f t="shared" si="29"/>
        <v>Sin bono</v>
      </c>
      <c r="K523" s="23" t="str">
        <f t="shared" si="30"/>
        <v>ALERTA</v>
      </c>
      <c r="L523" s="24" t="str">
        <f t="shared" si="31"/>
        <v>Revisar</v>
      </c>
    </row>
    <row r="524" spans="1:12" ht="18" customHeight="1" x14ac:dyDescent="0.3">
      <c r="A524" s="25" t="s">
        <v>1095</v>
      </c>
      <c r="B524" s="8" t="s">
        <v>1096</v>
      </c>
      <c r="C524" s="25" t="s">
        <v>71</v>
      </c>
      <c r="D524" s="25" t="s">
        <v>78</v>
      </c>
      <c r="E524" s="9">
        <v>3300000</v>
      </c>
      <c r="F524" s="26">
        <v>0.45</v>
      </c>
      <c r="G524" s="25">
        <v>80</v>
      </c>
      <c r="H524" s="27">
        <v>10.7</v>
      </c>
      <c r="I524" s="21" t="str">
        <f t="shared" si="28"/>
        <v>No cumple</v>
      </c>
      <c r="J524" s="22" t="str">
        <f t="shared" si="29"/>
        <v>Sin bono</v>
      </c>
      <c r="K524" s="23" t="str">
        <f t="shared" si="30"/>
        <v>ALERTA</v>
      </c>
      <c r="L524" s="24" t="str">
        <f t="shared" si="31"/>
        <v>Revisar</v>
      </c>
    </row>
    <row r="525" spans="1:12" ht="18" customHeight="1" x14ac:dyDescent="0.3">
      <c r="A525" s="18" t="s">
        <v>1097</v>
      </c>
      <c r="B525" s="5" t="s">
        <v>1098</v>
      </c>
      <c r="C525" s="18" t="s">
        <v>81</v>
      </c>
      <c r="D525" s="18" t="s">
        <v>60</v>
      </c>
      <c r="E525" s="6">
        <v>8000000</v>
      </c>
      <c r="F525" s="19">
        <v>0.95</v>
      </c>
      <c r="G525" s="18">
        <v>95</v>
      </c>
      <c r="H525" s="20">
        <v>2.8</v>
      </c>
      <c r="I525" s="21" t="str">
        <f t="shared" ref="I525:I588" si="32">IF(F525&gt;=0.8,"Cumple","No cumple")</f>
        <v>Cumple</v>
      </c>
      <c r="J525" s="22" t="str">
        <f t="shared" ref="J525:J588" si="33">IF(AND(F525&gt;=0.8,G525&gt;=70),"BONO","Sin bono")</f>
        <v>BONO</v>
      </c>
      <c r="K525" s="23" t="str">
        <f t="shared" ref="K525:K588" si="34">IF(OR(F525&lt;0.6,G525&lt;50),"ALERTA","OK")</f>
        <v>OK</v>
      </c>
      <c r="L525" s="24" t="str">
        <f t="shared" ref="L525:L588" si="35">IF(AND(F525&gt;=0.9,G525&gt;=85),"Excelente",IF(AND(F525&gt;=0.8,G525&gt;=70),"Bueno","Revisar"))</f>
        <v>Excelente</v>
      </c>
    </row>
    <row r="526" spans="1:12" ht="18" customHeight="1" x14ac:dyDescent="0.3">
      <c r="A526" s="25" t="s">
        <v>1099</v>
      </c>
      <c r="B526" s="8" t="s">
        <v>1100</v>
      </c>
      <c r="C526" s="25" t="s">
        <v>59</v>
      </c>
      <c r="D526" s="25" t="s">
        <v>60</v>
      </c>
      <c r="E526" s="9">
        <v>4200000</v>
      </c>
      <c r="F526" s="26">
        <v>0.55000000000000004</v>
      </c>
      <c r="G526" s="25">
        <v>36</v>
      </c>
      <c r="H526" s="27">
        <v>17</v>
      </c>
      <c r="I526" s="21" t="str">
        <f t="shared" si="32"/>
        <v>No cumple</v>
      </c>
      <c r="J526" s="22" t="str">
        <f t="shared" si="33"/>
        <v>Sin bono</v>
      </c>
      <c r="K526" s="23" t="str">
        <f t="shared" si="34"/>
        <v>ALERTA</v>
      </c>
      <c r="L526" s="24" t="str">
        <f t="shared" si="35"/>
        <v>Revisar</v>
      </c>
    </row>
    <row r="527" spans="1:12" ht="18" customHeight="1" x14ac:dyDescent="0.3">
      <c r="A527" s="18" t="s">
        <v>1101</v>
      </c>
      <c r="B527" s="5" t="s">
        <v>1102</v>
      </c>
      <c r="C527" s="18" t="s">
        <v>59</v>
      </c>
      <c r="D527" s="18" t="s">
        <v>78</v>
      </c>
      <c r="E527" s="6">
        <v>6000000</v>
      </c>
      <c r="F527" s="19">
        <v>0.5</v>
      </c>
      <c r="G527" s="18">
        <v>92</v>
      </c>
      <c r="H527" s="20">
        <v>19</v>
      </c>
      <c r="I527" s="21" t="str">
        <f t="shared" si="32"/>
        <v>No cumple</v>
      </c>
      <c r="J527" s="22" t="str">
        <f t="shared" si="33"/>
        <v>Sin bono</v>
      </c>
      <c r="K527" s="23" t="str">
        <f t="shared" si="34"/>
        <v>ALERTA</v>
      </c>
      <c r="L527" s="24" t="str">
        <f t="shared" si="35"/>
        <v>Revisar</v>
      </c>
    </row>
    <row r="528" spans="1:12" ht="18" customHeight="1" x14ac:dyDescent="0.3">
      <c r="A528" s="25" t="s">
        <v>1103</v>
      </c>
      <c r="B528" s="8" t="s">
        <v>1104</v>
      </c>
      <c r="C528" s="25" t="s">
        <v>74</v>
      </c>
      <c r="D528" s="25" t="s">
        <v>60</v>
      </c>
      <c r="E528" s="9">
        <v>6800000</v>
      </c>
      <c r="F528" s="26">
        <v>0.72</v>
      </c>
      <c r="G528" s="25">
        <v>72</v>
      </c>
      <c r="H528" s="27">
        <v>12.3</v>
      </c>
      <c r="I528" s="21" t="str">
        <f t="shared" si="32"/>
        <v>No cumple</v>
      </c>
      <c r="J528" s="22" t="str">
        <f t="shared" si="33"/>
        <v>Sin bono</v>
      </c>
      <c r="K528" s="23" t="str">
        <f t="shared" si="34"/>
        <v>OK</v>
      </c>
      <c r="L528" s="24" t="str">
        <f t="shared" si="35"/>
        <v>Revisar</v>
      </c>
    </row>
    <row r="529" spans="1:12" ht="18" customHeight="1" x14ac:dyDescent="0.3">
      <c r="A529" s="18" t="s">
        <v>1105</v>
      </c>
      <c r="B529" s="5" t="s">
        <v>1106</v>
      </c>
      <c r="C529" s="18" t="s">
        <v>71</v>
      </c>
      <c r="D529" s="18" t="s">
        <v>92</v>
      </c>
      <c r="E529" s="6">
        <v>6800000</v>
      </c>
      <c r="F529" s="19">
        <v>0.98</v>
      </c>
      <c r="G529" s="18">
        <v>51</v>
      </c>
      <c r="H529" s="20">
        <v>0.1</v>
      </c>
      <c r="I529" s="21" t="str">
        <f t="shared" si="32"/>
        <v>Cumple</v>
      </c>
      <c r="J529" s="22" t="str">
        <f t="shared" si="33"/>
        <v>Sin bono</v>
      </c>
      <c r="K529" s="23" t="str">
        <f t="shared" si="34"/>
        <v>OK</v>
      </c>
      <c r="L529" s="24" t="str">
        <f t="shared" si="35"/>
        <v>Revisar</v>
      </c>
    </row>
    <row r="530" spans="1:12" ht="18" customHeight="1" x14ac:dyDescent="0.3">
      <c r="A530" s="25" t="s">
        <v>1107</v>
      </c>
      <c r="B530" s="8" t="s">
        <v>1108</v>
      </c>
      <c r="C530" s="25" t="s">
        <v>67</v>
      </c>
      <c r="D530" s="25" t="s">
        <v>68</v>
      </c>
      <c r="E530" s="9">
        <v>6300000</v>
      </c>
      <c r="F530" s="26">
        <v>0.91</v>
      </c>
      <c r="G530" s="25">
        <v>47</v>
      </c>
      <c r="H530" s="27">
        <v>13.6</v>
      </c>
      <c r="I530" s="21" t="str">
        <f t="shared" si="32"/>
        <v>Cumple</v>
      </c>
      <c r="J530" s="22" t="str">
        <f t="shared" si="33"/>
        <v>Sin bono</v>
      </c>
      <c r="K530" s="23" t="str">
        <f t="shared" si="34"/>
        <v>ALERTA</v>
      </c>
      <c r="L530" s="24" t="str">
        <f t="shared" si="35"/>
        <v>Revisar</v>
      </c>
    </row>
    <row r="531" spans="1:12" ht="18" customHeight="1" x14ac:dyDescent="0.3">
      <c r="A531" s="18" t="s">
        <v>1109</v>
      </c>
      <c r="B531" s="5" t="s">
        <v>1110</v>
      </c>
      <c r="C531" s="18" t="s">
        <v>77</v>
      </c>
      <c r="D531" s="18" t="s">
        <v>105</v>
      </c>
      <c r="E531" s="6">
        <v>8500000</v>
      </c>
      <c r="F531" s="19">
        <v>0.65</v>
      </c>
      <c r="G531" s="18">
        <v>69</v>
      </c>
      <c r="H531" s="20">
        <v>9.6999999999999993</v>
      </c>
      <c r="I531" s="21" t="str">
        <f t="shared" si="32"/>
        <v>No cumple</v>
      </c>
      <c r="J531" s="22" t="str">
        <f t="shared" si="33"/>
        <v>Sin bono</v>
      </c>
      <c r="K531" s="23" t="str">
        <f t="shared" si="34"/>
        <v>OK</v>
      </c>
      <c r="L531" s="24" t="str">
        <f t="shared" si="35"/>
        <v>Revisar</v>
      </c>
    </row>
    <row r="532" spans="1:12" ht="18" customHeight="1" x14ac:dyDescent="0.3">
      <c r="A532" s="25" t="s">
        <v>1111</v>
      </c>
      <c r="B532" s="8" t="s">
        <v>1112</v>
      </c>
      <c r="C532" s="25" t="s">
        <v>74</v>
      </c>
      <c r="D532" s="25" t="s">
        <v>88</v>
      </c>
      <c r="E532" s="9">
        <v>4500000</v>
      </c>
      <c r="F532" s="26">
        <v>0.94</v>
      </c>
      <c r="G532" s="25">
        <v>55</v>
      </c>
      <c r="H532" s="27">
        <v>5.3</v>
      </c>
      <c r="I532" s="21" t="str">
        <f t="shared" si="32"/>
        <v>Cumple</v>
      </c>
      <c r="J532" s="22" t="str">
        <f t="shared" si="33"/>
        <v>Sin bono</v>
      </c>
      <c r="K532" s="23" t="str">
        <f t="shared" si="34"/>
        <v>OK</v>
      </c>
      <c r="L532" s="24" t="str">
        <f t="shared" si="35"/>
        <v>Revisar</v>
      </c>
    </row>
    <row r="533" spans="1:12" ht="18" customHeight="1" x14ac:dyDescent="0.3">
      <c r="A533" s="18" t="s">
        <v>1113</v>
      </c>
      <c r="B533" s="5" t="s">
        <v>1114</v>
      </c>
      <c r="C533" s="18" t="s">
        <v>74</v>
      </c>
      <c r="D533" s="18" t="s">
        <v>64</v>
      </c>
      <c r="E533" s="6">
        <v>9200000</v>
      </c>
      <c r="F533" s="19">
        <v>0.8</v>
      </c>
      <c r="G533" s="18">
        <v>81</v>
      </c>
      <c r="H533" s="20">
        <v>15.4</v>
      </c>
      <c r="I533" s="21" t="str">
        <f t="shared" si="32"/>
        <v>Cumple</v>
      </c>
      <c r="J533" s="22" t="str">
        <f t="shared" si="33"/>
        <v>BONO</v>
      </c>
      <c r="K533" s="23" t="str">
        <f t="shared" si="34"/>
        <v>OK</v>
      </c>
      <c r="L533" s="24" t="str">
        <f t="shared" si="35"/>
        <v>Bueno</v>
      </c>
    </row>
    <row r="534" spans="1:12" ht="18" customHeight="1" x14ac:dyDescent="0.3">
      <c r="A534" s="25" t="s">
        <v>1115</v>
      </c>
      <c r="B534" s="8" t="s">
        <v>1116</v>
      </c>
      <c r="C534" s="25" t="s">
        <v>91</v>
      </c>
      <c r="D534" s="25" t="s">
        <v>88</v>
      </c>
      <c r="E534" s="9">
        <v>9700000</v>
      </c>
      <c r="F534" s="26">
        <v>0.94</v>
      </c>
      <c r="G534" s="25">
        <v>99</v>
      </c>
      <c r="H534" s="27">
        <v>9.4</v>
      </c>
      <c r="I534" s="21" t="str">
        <f t="shared" si="32"/>
        <v>Cumple</v>
      </c>
      <c r="J534" s="22" t="str">
        <f t="shared" si="33"/>
        <v>BONO</v>
      </c>
      <c r="K534" s="23" t="str">
        <f t="shared" si="34"/>
        <v>OK</v>
      </c>
      <c r="L534" s="24" t="str">
        <f t="shared" si="35"/>
        <v>Excelente</v>
      </c>
    </row>
    <row r="535" spans="1:12" ht="18" customHeight="1" x14ac:dyDescent="0.3">
      <c r="A535" s="18" t="s">
        <v>1117</v>
      </c>
      <c r="B535" s="5" t="s">
        <v>1118</v>
      </c>
      <c r="C535" s="18" t="s">
        <v>63</v>
      </c>
      <c r="D535" s="18" t="s">
        <v>60</v>
      </c>
      <c r="E535" s="6">
        <v>10300000</v>
      </c>
      <c r="F535" s="19">
        <v>0.85</v>
      </c>
      <c r="G535" s="18">
        <v>67</v>
      </c>
      <c r="H535" s="20">
        <v>2.7</v>
      </c>
      <c r="I535" s="21" t="str">
        <f t="shared" si="32"/>
        <v>Cumple</v>
      </c>
      <c r="J535" s="22" t="str">
        <f t="shared" si="33"/>
        <v>Sin bono</v>
      </c>
      <c r="K535" s="23" t="str">
        <f t="shared" si="34"/>
        <v>OK</v>
      </c>
      <c r="L535" s="24" t="str">
        <f t="shared" si="35"/>
        <v>Revisar</v>
      </c>
    </row>
    <row r="536" spans="1:12" ht="18" customHeight="1" x14ac:dyDescent="0.3">
      <c r="A536" s="25" t="s">
        <v>1119</v>
      </c>
      <c r="B536" s="8" t="s">
        <v>1120</v>
      </c>
      <c r="C536" s="25" t="s">
        <v>74</v>
      </c>
      <c r="D536" s="25" t="s">
        <v>68</v>
      </c>
      <c r="E536" s="9">
        <v>7400000</v>
      </c>
      <c r="F536" s="26">
        <v>0.73</v>
      </c>
      <c r="G536" s="25">
        <v>60</v>
      </c>
      <c r="H536" s="27">
        <v>17</v>
      </c>
      <c r="I536" s="21" t="str">
        <f t="shared" si="32"/>
        <v>No cumple</v>
      </c>
      <c r="J536" s="22" t="str">
        <f t="shared" si="33"/>
        <v>Sin bono</v>
      </c>
      <c r="K536" s="23" t="str">
        <f t="shared" si="34"/>
        <v>OK</v>
      </c>
      <c r="L536" s="24" t="str">
        <f t="shared" si="35"/>
        <v>Revisar</v>
      </c>
    </row>
    <row r="537" spans="1:12" ht="18" customHeight="1" x14ac:dyDescent="0.3">
      <c r="A537" s="18" t="s">
        <v>1121</v>
      </c>
      <c r="B537" s="5" t="s">
        <v>1122</v>
      </c>
      <c r="C537" s="18" t="s">
        <v>71</v>
      </c>
      <c r="D537" s="18" t="s">
        <v>114</v>
      </c>
      <c r="E537" s="6">
        <v>8500000</v>
      </c>
      <c r="F537" s="19">
        <v>0.54</v>
      </c>
      <c r="G537" s="18">
        <v>48</v>
      </c>
      <c r="H537" s="20">
        <v>14.7</v>
      </c>
      <c r="I537" s="21" t="str">
        <f t="shared" si="32"/>
        <v>No cumple</v>
      </c>
      <c r="J537" s="22" t="str">
        <f t="shared" si="33"/>
        <v>Sin bono</v>
      </c>
      <c r="K537" s="23" t="str">
        <f t="shared" si="34"/>
        <v>ALERTA</v>
      </c>
      <c r="L537" s="24" t="str">
        <f t="shared" si="35"/>
        <v>Revisar</v>
      </c>
    </row>
    <row r="538" spans="1:12" ht="18" customHeight="1" x14ac:dyDescent="0.3">
      <c r="A538" s="25" t="s">
        <v>1123</v>
      </c>
      <c r="B538" s="8" t="s">
        <v>1124</v>
      </c>
      <c r="C538" s="25" t="s">
        <v>74</v>
      </c>
      <c r="D538" s="25" t="s">
        <v>88</v>
      </c>
      <c r="E538" s="9">
        <v>7500000</v>
      </c>
      <c r="F538" s="26">
        <v>0.57999999999999996</v>
      </c>
      <c r="G538" s="25">
        <v>56</v>
      </c>
      <c r="H538" s="27">
        <v>10.4</v>
      </c>
      <c r="I538" s="21" t="str">
        <f t="shared" si="32"/>
        <v>No cumple</v>
      </c>
      <c r="J538" s="22" t="str">
        <f t="shared" si="33"/>
        <v>Sin bono</v>
      </c>
      <c r="K538" s="23" t="str">
        <f t="shared" si="34"/>
        <v>ALERTA</v>
      </c>
      <c r="L538" s="24" t="str">
        <f t="shared" si="35"/>
        <v>Revisar</v>
      </c>
    </row>
    <row r="539" spans="1:12" ht="18" customHeight="1" x14ac:dyDescent="0.3">
      <c r="A539" s="18" t="s">
        <v>1125</v>
      </c>
      <c r="B539" s="5" t="s">
        <v>1126</v>
      </c>
      <c r="C539" s="18" t="s">
        <v>77</v>
      </c>
      <c r="D539" s="18" t="s">
        <v>105</v>
      </c>
      <c r="E539" s="6">
        <v>3300000</v>
      </c>
      <c r="F539" s="19">
        <v>0.47</v>
      </c>
      <c r="G539" s="18">
        <v>71</v>
      </c>
      <c r="H539" s="20">
        <v>2.1</v>
      </c>
      <c r="I539" s="21" t="str">
        <f t="shared" si="32"/>
        <v>No cumple</v>
      </c>
      <c r="J539" s="22" t="str">
        <f t="shared" si="33"/>
        <v>Sin bono</v>
      </c>
      <c r="K539" s="23" t="str">
        <f t="shared" si="34"/>
        <v>ALERTA</v>
      </c>
      <c r="L539" s="24" t="str">
        <f t="shared" si="35"/>
        <v>Revisar</v>
      </c>
    </row>
    <row r="540" spans="1:12" ht="18" customHeight="1" x14ac:dyDescent="0.3">
      <c r="A540" s="25" t="s">
        <v>1127</v>
      </c>
      <c r="B540" s="8" t="s">
        <v>1128</v>
      </c>
      <c r="C540" s="25" t="s">
        <v>59</v>
      </c>
      <c r="D540" s="25" t="s">
        <v>88</v>
      </c>
      <c r="E540" s="9">
        <v>10200000</v>
      </c>
      <c r="F540" s="26">
        <v>0.75</v>
      </c>
      <c r="G540" s="25">
        <v>52</v>
      </c>
      <c r="H540" s="27">
        <v>7.5</v>
      </c>
      <c r="I540" s="21" t="str">
        <f t="shared" si="32"/>
        <v>No cumple</v>
      </c>
      <c r="J540" s="22" t="str">
        <f t="shared" si="33"/>
        <v>Sin bono</v>
      </c>
      <c r="K540" s="23" t="str">
        <f t="shared" si="34"/>
        <v>OK</v>
      </c>
      <c r="L540" s="24" t="str">
        <f t="shared" si="35"/>
        <v>Revisar</v>
      </c>
    </row>
    <row r="541" spans="1:12" ht="18" customHeight="1" x14ac:dyDescent="0.3">
      <c r="A541" s="18" t="s">
        <v>1129</v>
      </c>
      <c r="B541" s="5" t="s">
        <v>1130</v>
      </c>
      <c r="C541" s="18" t="s">
        <v>74</v>
      </c>
      <c r="D541" s="18" t="s">
        <v>88</v>
      </c>
      <c r="E541" s="6">
        <v>7600000</v>
      </c>
      <c r="F541" s="19">
        <v>0.98</v>
      </c>
      <c r="G541" s="18">
        <v>58</v>
      </c>
      <c r="H541" s="20">
        <v>10.3</v>
      </c>
      <c r="I541" s="21" t="str">
        <f t="shared" si="32"/>
        <v>Cumple</v>
      </c>
      <c r="J541" s="22" t="str">
        <f t="shared" si="33"/>
        <v>Sin bono</v>
      </c>
      <c r="K541" s="23" t="str">
        <f t="shared" si="34"/>
        <v>OK</v>
      </c>
      <c r="L541" s="24" t="str">
        <f t="shared" si="35"/>
        <v>Revisar</v>
      </c>
    </row>
    <row r="542" spans="1:12" ht="18" customHeight="1" x14ac:dyDescent="0.3">
      <c r="A542" s="25" t="s">
        <v>1131</v>
      </c>
      <c r="B542" s="8" t="s">
        <v>1132</v>
      </c>
      <c r="C542" s="25" t="s">
        <v>81</v>
      </c>
      <c r="D542" s="25" t="s">
        <v>105</v>
      </c>
      <c r="E542" s="9">
        <v>8900000</v>
      </c>
      <c r="F542" s="26">
        <v>0.94</v>
      </c>
      <c r="G542" s="25">
        <v>30</v>
      </c>
      <c r="H542" s="27">
        <v>10</v>
      </c>
      <c r="I542" s="21" t="str">
        <f t="shared" si="32"/>
        <v>Cumple</v>
      </c>
      <c r="J542" s="22" t="str">
        <f t="shared" si="33"/>
        <v>Sin bono</v>
      </c>
      <c r="K542" s="23" t="str">
        <f t="shared" si="34"/>
        <v>ALERTA</v>
      </c>
      <c r="L542" s="24" t="str">
        <f t="shared" si="35"/>
        <v>Revisar</v>
      </c>
    </row>
    <row r="543" spans="1:12" ht="18" customHeight="1" x14ac:dyDescent="0.3">
      <c r="A543" s="18" t="s">
        <v>1133</v>
      </c>
      <c r="B543" s="5" t="s">
        <v>1134</v>
      </c>
      <c r="C543" s="18" t="s">
        <v>71</v>
      </c>
      <c r="D543" s="18" t="s">
        <v>60</v>
      </c>
      <c r="E543" s="6">
        <v>3700000</v>
      </c>
      <c r="F543" s="19">
        <v>0.73</v>
      </c>
      <c r="G543" s="18">
        <v>65</v>
      </c>
      <c r="H543" s="20">
        <v>4.2</v>
      </c>
      <c r="I543" s="21" t="str">
        <f t="shared" si="32"/>
        <v>No cumple</v>
      </c>
      <c r="J543" s="22" t="str">
        <f t="shared" si="33"/>
        <v>Sin bono</v>
      </c>
      <c r="K543" s="23" t="str">
        <f t="shared" si="34"/>
        <v>OK</v>
      </c>
      <c r="L543" s="24" t="str">
        <f t="shared" si="35"/>
        <v>Revisar</v>
      </c>
    </row>
    <row r="544" spans="1:12" ht="18" customHeight="1" x14ac:dyDescent="0.3">
      <c r="A544" s="25" t="s">
        <v>1135</v>
      </c>
      <c r="B544" s="8" t="s">
        <v>1136</v>
      </c>
      <c r="C544" s="25" t="s">
        <v>81</v>
      </c>
      <c r="D544" s="25" t="s">
        <v>78</v>
      </c>
      <c r="E544" s="9">
        <v>11200000</v>
      </c>
      <c r="F544" s="26">
        <v>0.57999999999999996</v>
      </c>
      <c r="G544" s="25">
        <v>72</v>
      </c>
      <c r="H544" s="27">
        <v>14.4</v>
      </c>
      <c r="I544" s="21" t="str">
        <f t="shared" si="32"/>
        <v>No cumple</v>
      </c>
      <c r="J544" s="22" t="str">
        <f t="shared" si="33"/>
        <v>Sin bono</v>
      </c>
      <c r="K544" s="23" t="str">
        <f t="shared" si="34"/>
        <v>ALERTA</v>
      </c>
      <c r="L544" s="24" t="str">
        <f t="shared" si="35"/>
        <v>Revisar</v>
      </c>
    </row>
    <row r="545" spans="1:12" ht="18" customHeight="1" x14ac:dyDescent="0.3">
      <c r="A545" s="18" t="s">
        <v>1137</v>
      </c>
      <c r="B545" s="5" t="s">
        <v>1138</v>
      </c>
      <c r="C545" s="18" t="s">
        <v>77</v>
      </c>
      <c r="D545" s="18" t="s">
        <v>105</v>
      </c>
      <c r="E545" s="6">
        <v>5400000</v>
      </c>
      <c r="F545" s="19">
        <v>0.77</v>
      </c>
      <c r="G545" s="18">
        <v>82</v>
      </c>
      <c r="H545" s="20">
        <v>0.4</v>
      </c>
      <c r="I545" s="21" t="str">
        <f t="shared" si="32"/>
        <v>No cumple</v>
      </c>
      <c r="J545" s="22" t="str">
        <f t="shared" si="33"/>
        <v>Sin bono</v>
      </c>
      <c r="K545" s="23" t="str">
        <f t="shared" si="34"/>
        <v>OK</v>
      </c>
      <c r="L545" s="24" t="str">
        <f t="shared" si="35"/>
        <v>Revisar</v>
      </c>
    </row>
    <row r="546" spans="1:12" ht="18" customHeight="1" x14ac:dyDescent="0.3">
      <c r="A546" s="25" t="s">
        <v>1139</v>
      </c>
      <c r="B546" s="8" t="s">
        <v>1140</v>
      </c>
      <c r="C546" s="25" t="s">
        <v>91</v>
      </c>
      <c r="D546" s="25" t="s">
        <v>114</v>
      </c>
      <c r="E546" s="9">
        <v>3500000</v>
      </c>
      <c r="F546" s="26">
        <v>0.54</v>
      </c>
      <c r="G546" s="25">
        <v>53</v>
      </c>
      <c r="H546" s="27">
        <v>10.3</v>
      </c>
      <c r="I546" s="21" t="str">
        <f t="shared" si="32"/>
        <v>No cumple</v>
      </c>
      <c r="J546" s="22" t="str">
        <f t="shared" si="33"/>
        <v>Sin bono</v>
      </c>
      <c r="K546" s="23" t="str">
        <f t="shared" si="34"/>
        <v>ALERTA</v>
      </c>
      <c r="L546" s="24" t="str">
        <f t="shared" si="35"/>
        <v>Revisar</v>
      </c>
    </row>
    <row r="547" spans="1:12" ht="18" customHeight="1" x14ac:dyDescent="0.3">
      <c r="A547" s="18" t="s">
        <v>1141</v>
      </c>
      <c r="B547" s="5" t="s">
        <v>1142</v>
      </c>
      <c r="C547" s="18" t="s">
        <v>91</v>
      </c>
      <c r="D547" s="18" t="s">
        <v>88</v>
      </c>
      <c r="E547" s="6">
        <v>3800000</v>
      </c>
      <c r="F547" s="19">
        <v>0.56999999999999995</v>
      </c>
      <c r="G547" s="18">
        <v>90</v>
      </c>
      <c r="H547" s="20">
        <v>17.3</v>
      </c>
      <c r="I547" s="21" t="str">
        <f t="shared" si="32"/>
        <v>No cumple</v>
      </c>
      <c r="J547" s="22" t="str">
        <f t="shared" si="33"/>
        <v>Sin bono</v>
      </c>
      <c r="K547" s="23" t="str">
        <f t="shared" si="34"/>
        <v>ALERTA</v>
      </c>
      <c r="L547" s="24" t="str">
        <f t="shared" si="35"/>
        <v>Revisar</v>
      </c>
    </row>
    <row r="548" spans="1:12" ht="18" customHeight="1" x14ac:dyDescent="0.3">
      <c r="A548" s="25" t="s">
        <v>1143</v>
      </c>
      <c r="B548" s="8" t="s">
        <v>1144</v>
      </c>
      <c r="C548" s="25" t="s">
        <v>63</v>
      </c>
      <c r="D548" s="25" t="s">
        <v>114</v>
      </c>
      <c r="E548" s="9">
        <v>10200000</v>
      </c>
      <c r="F548" s="26">
        <v>0.9</v>
      </c>
      <c r="G548" s="25">
        <v>53</v>
      </c>
      <c r="H548" s="27">
        <v>12.5</v>
      </c>
      <c r="I548" s="21" t="str">
        <f t="shared" si="32"/>
        <v>Cumple</v>
      </c>
      <c r="J548" s="22" t="str">
        <f t="shared" si="33"/>
        <v>Sin bono</v>
      </c>
      <c r="K548" s="23" t="str">
        <f t="shared" si="34"/>
        <v>OK</v>
      </c>
      <c r="L548" s="24" t="str">
        <f t="shared" si="35"/>
        <v>Revisar</v>
      </c>
    </row>
    <row r="549" spans="1:12" ht="18" customHeight="1" x14ac:dyDescent="0.3">
      <c r="A549" s="18" t="s">
        <v>1145</v>
      </c>
      <c r="B549" s="5" t="s">
        <v>1146</v>
      </c>
      <c r="C549" s="18" t="s">
        <v>77</v>
      </c>
      <c r="D549" s="18" t="s">
        <v>78</v>
      </c>
      <c r="E549" s="6">
        <v>5700000</v>
      </c>
      <c r="F549" s="19">
        <v>0.66</v>
      </c>
      <c r="G549" s="18">
        <v>46</v>
      </c>
      <c r="H549" s="20">
        <v>2.2000000000000002</v>
      </c>
      <c r="I549" s="21" t="str">
        <f t="shared" si="32"/>
        <v>No cumple</v>
      </c>
      <c r="J549" s="22" t="str">
        <f t="shared" si="33"/>
        <v>Sin bono</v>
      </c>
      <c r="K549" s="23" t="str">
        <f t="shared" si="34"/>
        <v>ALERTA</v>
      </c>
      <c r="L549" s="24" t="str">
        <f t="shared" si="35"/>
        <v>Revisar</v>
      </c>
    </row>
    <row r="550" spans="1:12" ht="18" customHeight="1" x14ac:dyDescent="0.3">
      <c r="A550" s="25" t="s">
        <v>1147</v>
      </c>
      <c r="B550" s="8" t="s">
        <v>1148</v>
      </c>
      <c r="C550" s="25" t="s">
        <v>63</v>
      </c>
      <c r="D550" s="25" t="s">
        <v>114</v>
      </c>
      <c r="E550" s="9">
        <v>10500000</v>
      </c>
      <c r="F550" s="26">
        <v>0.5</v>
      </c>
      <c r="G550" s="25">
        <v>90</v>
      </c>
      <c r="H550" s="27">
        <v>18</v>
      </c>
      <c r="I550" s="21" t="str">
        <f t="shared" si="32"/>
        <v>No cumple</v>
      </c>
      <c r="J550" s="22" t="str">
        <f t="shared" si="33"/>
        <v>Sin bono</v>
      </c>
      <c r="K550" s="23" t="str">
        <f t="shared" si="34"/>
        <v>ALERTA</v>
      </c>
      <c r="L550" s="24" t="str">
        <f t="shared" si="35"/>
        <v>Revisar</v>
      </c>
    </row>
    <row r="551" spans="1:12" ht="18" customHeight="1" x14ac:dyDescent="0.3">
      <c r="A551" s="18" t="s">
        <v>1149</v>
      </c>
      <c r="B551" s="5" t="s">
        <v>1150</v>
      </c>
      <c r="C551" s="18" t="s">
        <v>77</v>
      </c>
      <c r="D551" s="18" t="s">
        <v>114</v>
      </c>
      <c r="E551" s="6">
        <v>10500000</v>
      </c>
      <c r="F551" s="19">
        <v>0.75</v>
      </c>
      <c r="G551" s="18">
        <v>30</v>
      </c>
      <c r="H551" s="20">
        <v>17.899999999999999</v>
      </c>
      <c r="I551" s="21" t="str">
        <f t="shared" si="32"/>
        <v>No cumple</v>
      </c>
      <c r="J551" s="22" t="str">
        <f t="shared" si="33"/>
        <v>Sin bono</v>
      </c>
      <c r="K551" s="23" t="str">
        <f t="shared" si="34"/>
        <v>ALERTA</v>
      </c>
      <c r="L551" s="24" t="str">
        <f t="shared" si="35"/>
        <v>Revisar</v>
      </c>
    </row>
    <row r="552" spans="1:12" ht="18" customHeight="1" x14ac:dyDescent="0.3">
      <c r="A552" s="25" t="s">
        <v>1151</v>
      </c>
      <c r="B552" s="8" t="s">
        <v>1152</v>
      </c>
      <c r="C552" s="25" t="s">
        <v>63</v>
      </c>
      <c r="D552" s="25" t="s">
        <v>60</v>
      </c>
      <c r="E552" s="9">
        <v>8900000</v>
      </c>
      <c r="F552" s="26">
        <v>0.88</v>
      </c>
      <c r="G552" s="25">
        <v>78</v>
      </c>
      <c r="H552" s="27">
        <v>7</v>
      </c>
      <c r="I552" s="21" t="str">
        <f t="shared" si="32"/>
        <v>Cumple</v>
      </c>
      <c r="J552" s="22" t="str">
        <f t="shared" si="33"/>
        <v>BONO</v>
      </c>
      <c r="K552" s="23" t="str">
        <f t="shared" si="34"/>
        <v>OK</v>
      </c>
      <c r="L552" s="24" t="str">
        <f t="shared" si="35"/>
        <v>Bueno</v>
      </c>
    </row>
    <row r="553" spans="1:12" ht="18" customHeight="1" x14ac:dyDescent="0.3">
      <c r="A553" s="18" t="s">
        <v>1153</v>
      </c>
      <c r="B553" s="5" t="s">
        <v>1154</v>
      </c>
      <c r="C553" s="18" t="s">
        <v>63</v>
      </c>
      <c r="D553" s="18" t="s">
        <v>114</v>
      </c>
      <c r="E553" s="6">
        <v>6000000</v>
      </c>
      <c r="F553" s="19">
        <v>0.71</v>
      </c>
      <c r="G553" s="18">
        <v>59</v>
      </c>
      <c r="H553" s="20">
        <v>18.2</v>
      </c>
      <c r="I553" s="21" t="str">
        <f t="shared" si="32"/>
        <v>No cumple</v>
      </c>
      <c r="J553" s="22" t="str">
        <f t="shared" si="33"/>
        <v>Sin bono</v>
      </c>
      <c r="K553" s="23" t="str">
        <f t="shared" si="34"/>
        <v>OK</v>
      </c>
      <c r="L553" s="24" t="str">
        <f t="shared" si="35"/>
        <v>Revisar</v>
      </c>
    </row>
    <row r="554" spans="1:12" ht="18" customHeight="1" x14ac:dyDescent="0.3">
      <c r="A554" s="25" t="s">
        <v>1155</v>
      </c>
      <c r="B554" s="8" t="s">
        <v>1156</v>
      </c>
      <c r="C554" s="25" t="s">
        <v>91</v>
      </c>
      <c r="D554" s="25" t="s">
        <v>64</v>
      </c>
      <c r="E554" s="9">
        <v>10100000</v>
      </c>
      <c r="F554" s="26">
        <v>0.74</v>
      </c>
      <c r="G554" s="25">
        <v>96</v>
      </c>
      <c r="H554" s="27">
        <v>0.1</v>
      </c>
      <c r="I554" s="21" t="str">
        <f t="shared" si="32"/>
        <v>No cumple</v>
      </c>
      <c r="J554" s="22" t="str">
        <f t="shared" si="33"/>
        <v>Sin bono</v>
      </c>
      <c r="K554" s="23" t="str">
        <f t="shared" si="34"/>
        <v>OK</v>
      </c>
      <c r="L554" s="24" t="str">
        <f t="shared" si="35"/>
        <v>Revisar</v>
      </c>
    </row>
    <row r="555" spans="1:12" ht="18" customHeight="1" x14ac:dyDescent="0.3">
      <c r="A555" s="18" t="s">
        <v>1157</v>
      </c>
      <c r="B555" s="5" t="s">
        <v>1158</v>
      </c>
      <c r="C555" s="18" t="s">
        <v>81</v>
      </c>
      <c r="D555" s="18" t="s">
        <v>78</v>
      </c>
      <c r="E555" s="6">
        <v>4700000</v>
      </c>
      <c r="F555" s="19">
        <v>0.68</v>
      </c>
      <c r="G555" s="18">
        <v>62</v>
      </c>
      <c r="H555" s="20">
        <v>5.2</v>
      </c>
      <c r="I555" s="21" t="str">
        <f t="shared" si="32"/>
        <v>No cumple</v>
      </c>
      <c r="J555" s="22" t="str">
        <f t="shared" si="33"/>
        <v>Sin bono</v>
      </c>
      <c r="K555" s="23" t="str">
        <f t="shared" si="34"/>
        <v>OK</v>
      </c>
      <c r="L555" s="24" t="str">
        <f t="shared" si="35"/>
        <v>Revisar</v>
      </c>
    </row>
    <row r="556" spans="1:12" ht="18" customHeight="1" x14ac:dyDescent="0.3">
      <c r="A556" s="25" t="s">
        <v>1159</v>
      </c>
      <c r="B556" s="8" t="s">
        <v>1160</v>
      </c>
      <c r="C556" s="25" t="s">
        <v>59</v>
      </c>
      <c r="D556" s="25" t="s">
        <v>68</v>
      </c>
      <c r="E556" s="9">
        <v>5400000</v>
      </c>
      <c r="F556" s="26">
        <v>0.68</v>
      </c>
      <c r="G556" s="25">
        <v>91</v>
      </c>
      <c r="H556" s="27">
        <v>3.6</v>
      </c>
      <c r="I556" s="21" t="str">
        <f t="shared" si="32"/>
        <v>No cumple</v>
      </c>
      <c r="J556" s="22" t="str">
        <f t="shared" si="33"/>
        <v>Sin bono</v>
      </c>
      <c r="K556" s="23" t="str">
        <f t="shared" si="34"/>
        <v>OK</v>
      </c>
      <c r="L556" s="24" t="str">
        <f t="shared" si="35"/>
        <v>Revisar</v>
      </c>
    </row>
    <row r="557" spans="1:12" ht="18" customHeight="1" x14ac:dyDescent="0.3">
      <c r="A557" s="18" t="s">
        <v>1161</v>
      </c>
      <c r="B557" s="5" t="s">
        <v>1162</v>
      </c>
      <c r="C557" s="18" t="s">
        <v>77</v>
      </c>
      <c r="D557" s="18" t="s">
        <v>88</v>
      </c>
      <c r="E557" s="6">
        <v>6700000</v>
      </c>
      <c r="F557" s="19">
        <v>0.77</v>
      </c>
      <c r="G557" s="18">
        <v>80</v>
      </c>
      <c r="H557" s="20">
        <v>14.7</v>
      </c>
      <c r="I557" s="21" t="str">
        <f t="shared" si="32"/>
        <v>No cumple</v>
      </c>
      <c r="J557" s="22" t="str">
        <f t="shared" si="33"/>
        <v>Sin bono</v>
      </c>
      <c r="K557" s="23" t="str">
        <f t="shared" si="34"/>
        <v>OK</v>
      </c>
      <c r="L557" s="24" t="str">
        <f t="shared" si="35"/>
        <v>Revisar</v>
      </c>
    </row>
    <row r="558" spans="1:12" ht="18" customHeight="1" x14ac:dyDescent="0.3">
      <c r="A558" s="25" t="s">
        <v>1163</v>
      </c>
      <c r="B558" s="8" t="s">
        <v>1164</v>
      </c>
      <c r="C558" s="25" t="s">
        <v>71</v>
      </c>
      <c r="D558" s="25" t="s">
        <v>78</v>
      </c>
      <c r="E558" s="9">
        <v>5500000</v>
      </c>
      <c r="F558" s="26">
        <v>0.73</v>
      </c>
      <c r="G558" s="25">
        <v>73</v>
      </c>
      <c r="H558" s="27">
        <v>16</v>
      </c>
      <c r="I558" s="21" t="str">
        <f t="shared" si="32"/>
        <v>No cumple</v>
      </c>
      <c r="J558" s="22" t="str">
        <f t="shared" si="33"/>
        <v>Sin bono</v>
      </c>
      <c r="K558" s="23" t="str">
        <f t="shared" si="34"/>
        <v>OK</v>
      </c>
      <c r="L558" s="24" t="str">
        <f t="shared" si="35"/>
        <v>Revisar</v>
      </c>
    </row>
    <row r="559" spans="1:12" ht="18" customHeight="1" x14ac:dyDescent="0.3">
      <c r="A559" s="18" t="s">
        <v>1165</v>
      </c>
      <c r="B559" s="5" t="s">
        <v>1166</v>
      </c>
      <c r="C559" s="18" t="s">
        <v>91</v>
      </c>
      <c r="D559" s="18" t="s">
        <v>114</v>
      </c>
      <c r="E559" s="6">
        <v>7700000</v>
      </c>
      <c r="F559" s="19">
        <v>0.98</v>
      </c>
      <c r="G559" s="18">
        <v>30</v>
      </c>
      <c r="H559" s="20">
        <v>16.100000000000001</v>
      </c>
      <c r="I559" s="21" t="str">
        <f t="shared" si="32"/>
        <v>Cumple</v>
      </c>
      <c r="J559" s="22" t="str">
        <f t="shared" si="33"/>
        <v>Sin bono</v>
      </c>
      <c r="K559" s="23" t="str">
        <f t="shared" si="34"/>
        <v>ALERTA</v>
      </c>
      <c r="L559" s="24" t="str">
        <f t="shared" si="35"/>
        <v>Revisar</v>
      </c>
    </row>
    <row r="560" spans="1:12" ht="18" customHeight="1" x14ac:dyDescent="0.3">
      <c r="A560" s="25" t="s">
        <v>1167</v>
      </c>
      <c r="B560" s="8" t="s">
        <v>1168</v>
      </c>
      <c r="C560" s="25" t="s">
        <v>63</v>
      </c>
      <c r="D560" s="25" t="s">
        <v>78</v>
      </c>
      <c r="E560" s="9">
        <v>3600000</v>
      </c>
      <c r="F560" s="26">
        <v>0.59</v>
      </c>
      <c r="G560" s="25">
        <v>77</v>
      </c>
      <c r="H560" s="27">
        <v>1.6</v>
      </c>
      <c r="I560" s="21" t="str">
        <f t="shared" si="32"/>
        <v>No cumple</v>
      </c>
      <c r="J560" s="22" t="str">
        <f t="shared" si="33"/>
        <v>Sin bono</v>
      </c>
      <c r="K560" s="23" t="str">
        <f t="shared" si="34"/>
        <v>ALERTA</v>
      </c>
      <c r="L560" s="24" t="str">
        <f t="shared" si="35"/>
        <v>Revisar</v>
      </c>
    </row>
    <row r="561" spans="1:12" ht="18" customHeight="1" x14ac:dyDescent="0.3">
      <c r="A561" s="18" t="s">
        <v>1169</v>
      </c>
      <c r="B561" s="5" t="s">
        <v>1170</v>
      </c>
      <c r="C561" s="18" t="s">
        <v>91</v>
      </c>
      <c r="D561" s="18" t="s">
        <v>114</v>
      </c>
      <c r="E561" s="6">
        <v>10900000</v>
      </c>
      <c r="F561" s="19">
        <v>0.72</v>
      </c>
      <c r="G561" s="18">
        <v>31</v>
      </c>
      <c r="H561" s="20">
        <v>4</v>
      </c>
      <c r="I561" s="21" t="str">
        <f t="shared" si="32"/>
        <v>No cumple</v>
      </c>
      <c r="J561" s="22" t="str">
        <f t="shared" si="33"/>
        <v>Sin bono</v>
      </c>
      <c r="K561" s="23" t="str">
        <f t="shared" si="34"/>
        <v>ALERTA</v>
      </c>
      <c r="L561" s="24" t="str">
        <f t="shared" si="35"/>
        <v>Revisar</v>
      </c>
    </row>
    <row r="562" spans="1:12" ht="18" customHeight="1" x14ac:dyDescent="0.3">
      <c r="A562" s="25" t="s">
        <v>1171</v>
      </c>
      <c r="B562" s="8" t="s">
        <v>1172</v>
      </c>
      <c r="C562" s="25" t="s">
        <v>67</v>
      </c>
      <c r="D562" s="25" t="s">
        <v>114</v>
      </c>
      <c r="E562" s="9">
        <v>11400000</v>
      </c>
      <c r="F562" s="26">
        <v>0.47</v>
      </c>
      <c r="G562" s="25">
        <v>60</v>
      </c>
      <c r="H562" s="27">
        <v>13.1</v>
      </c>
      <c r="I562" s="21" t="str">
        <f t="shared" si="32"/>
        <v>No cumple</v>
      </c>
      <c r="J562" s="22" t="str">
        <f t="shared" si="33"/>
        <v>Sin bono</v>
      </c>
      <c r="K562" s="23" t="str">
        <f t="shared" si="34"/>
        <v>ALERTA</v>
      </c>
      <c r="L562" s="24" t="str">
        <f t="shared" si="35"/>
        <v>Revisar</v>
      </c>
    </row>
    <row r="563" spans="1:12" ht="18" customHeight="1" x14ac:dyDescent="0.3">
      <c r="A563" s="18" t="s">
        <v>1173</v>
      </c>
      <c r="B563" s="5" t="s">
        <v>1174</v>
      </c>
      <c r="C563" s="18" t="s">
        <v>63</v>
      </c>
      <c r="D563" s="18" t="s">
        <v>92</v>
      </c>
      <c r="E563" s="6">
        <v>11300000</v>
      </c>
      <c r="F563" s="19">
        <v>0.67</v>
      </c>
      <c r="G563" s="18">
        <v>55</v>
      </c>
      <c r="H563" s="20">
        <v>10.4</v>
      </c>
      <c r="I563" s="21" t="str">
        <f t="shared" si="32"/>
        <v>No cumple</v>
      </c>
      <c r="J563" s="22" t="str">
        <f t="shared" si="33"/>
        <v>Sin bono</v>
      </c>
      <c r="K563" s="23" t="str">
        <f t="shared" si="34"/>
        <v>OK</v>
      </c>
      <c r="L563" s="24" t="str">
        <f t="shared" si="35"/>
        <v>Revisar</v>
      </c>
    </row>
    <row r="564" spans="1:12" ht="18" customHeight="1" x14ac:dyDescent="0.3">
      <c r="A564" s="25" t="s">
        <v>1175</v>
      </c>
      <c r="B564" s="8" t="s">
        <v>1176</v>
      </c>
      <c r="C564" s="25" t="s">
        <v>74</v>
      </c>
      <c r="D564" s="25" t="s">
        <v>88</v>
      </c>
      <c r="E564" s="9">
        <v>12000000</v>
      </c>
      <c r="F564" s="26">
        <v>0.91</v>
      </c>
      <c r="G564" s="25">
        <v>74</v>
      </c>
      <c r="H564" s="27">
        <v>6.9</v>
      </c>
      <c r="I564" s="21" t="str">
        <f t="shared" si="32"/>
        <v>Cumple</v>
      </c>
      <c r="J564" s="22" t="str">
        <f t="shared" si="33"/>
        <v>BONO</v>
      </c>
      <c r="K564" s="23" t="str">
        <f t="shared" si="34"/>
        <v>OK</v>
      </c>
      <c r="L564" s="24" t="str">
        <f t="shared" si="35"/>
        <v>Bueno</v>
      </c>
    </row>
    <row r="565" spans="1:12" ht="18" customHeight="1" x14ac:dyDescent="0.3">
      <c r="A565" s="18" t="s">
        <v>1177</v>
      </c>
      <c r="B565" s="5" t="s">
        <v>1178</v>
      </c>
      <c r="C565" s="18" t="s">
        <v>67</v>
      </c>
      <c r="D565" s="18" t="s">
        <v>105</v>
      </c>
      <c r="E565" s="6">
        <v>7900000</v>
      </c>
      <c r="F565" s="19">
        <v>0.77</v>
      </c>
      <c r="G565" s="18">
        <v>63</v>
      </c>
      <c r="H565" s="20">
        <v>3.5</v>
      </c>
      <c r="I565" s="21" t="str">
        <f t="shared" si="32"/>
        <v>No cumple</v>
      </c>
      <c r="J565" s="22" t="str">
        <f t="shared" si="33"/>
        <v>Sin bono</v>
      </c>
      <c r="K565" s="23" t="str">
        <f t="shared" si="34"/>
        <v>OK</v>
      </c>
      <c r="L565" s="24" t="str">
        <f t="shared" si="35"/>
        <v>Revisar</v>
      </c>
    </row>
    <row r="566" spans="1:12" ht="18" customHeight="1" x14ac:dyDescent="0.3">
      <c r="A566" s="25" t="s">
        <v>1179</v>
      </c>
      <c r="B566" s="8" t="s">
        <v>1180</v>
      </c>
      <c r="C566" s="25" t="s">
        <v>77</v>
      </c>
      <c r="D566" s="25" t="s">
        <v>68</v>
      </c>
      <c r="E566" s="9">
        <v>10000000</v>
      </c>
      <c r="F566" s="26">
        <v>0.72</v>
      </c>
      <c r="G566" s="25">
        <v>61</v>
      </c>
      <c r="H566" s="27">
        <v>15.1</v>
      </c>
      <c r="I566" s="21" t="str">
        <f t="shared" si="32"/>
        <v>No cumple</v>
      </c>
      <c r="J566" s="22" t="str">
        <f t="shared" si="33"/>
        <v>Sin bono</v>
      </c>
      <c r="K566" s="23" t="str">
        <f t="shared" si="34"/>
        <v>OK</v>
      </c>
      <c r="L566" s="24" t="str">
        <f t="shared" si="35"/>
        <v>Revisar</v>
      </c>
    </row>
    <row r="567" spans="1:12" ht="18" customHeight="1" x14ac:dyDescent="0.3">
      <c r="A567" s="18" t="s">
        <v>1181</v>
      </c>
      <c r="B567" s="5" t="s">
        <v>1182</v>
      </c>
      <c r="C567" s="18" t="s">
        <v>77</v>
      </c>
      <c r="D567" s="18" t="s">
        <v>64</v>
      </c>
      <c r="E567" s="6">
        <v>8900000</v>
      </c>
      <c r="F567" s="19">
        <v>0.51</v>
      </c>
      <c r="G567" s="18">
        <v>38</v>
      </c>
      <c r="H567" s="20">
        <v>7.7</v>
      </c>
      <c r="I567" s="21" t="str">
        <f t="shared" si="32"/>
        <v>No cumple</v>
      </c>
      <c r="J567" s="22" t="str">
        <f t="shared" si="33"/>
        <v>Sin bono</v>
      </c>
      <c r="K567" s="23" t="str">
        <f t="shared" si="34"/>
        <v>ALERTA</v>
      </c>
      <c r="L567" s="24" t="str">
        <f t="shared" si="35"/>
        <v>Revisar</v>
      </c>
    </row>
    <row r="568" spans="1:12" ht="18" customHeight="1" x14ac:dyDescent="0.3">
      <c r="A568" s="25" t="s">
        <v>1183</v>
      </c>
      <c r="B568" s="8" t="s">
        <v>1184</v>
      </c>
      <c r="C568" s="25" t="s">
        <v>67</v>
      </c>
      <c r="D568" s="25" t="s">
        <v>92</v>
      </c>
      <c r="E568" s="9">
        <v>8000000</v>
      </c>
      <c r="F568" s="26">
        <v>0.98</v>
      </c>
      <c r="G568" s="25">
        <v>96</v>
      </c>
      <c r="H568" s="27">
        <v>10.7</v>
      </c>
      <c r="I568" s="21" t="str">
        <f t="shared" si="32"/>
        <v>Cumple</v>
      </c>
      <c r="J568" s="22" t="str">
        <f t="shared" si="33"/>
        <v>BONO</v>
      </c>
      <c r="K568" s="23" t="str">
        <f t="shared" si="34"/>
        <v>OK</v>
      </c>
      <c r="L568" s="24" t="str">
        <f t="shared" si="35"/>
        <v>Excelente</v>
      </c>
    </row>
    <row r="569" spans="1:12" ht="18" customHeight="1" x14ac:dyDescent="0.3">
      <c r="A569" s="18" t="s">
        <v>1185</v>
      </c>
      <c r="B569" s="5" t="s">
        <v>1186</v>
      </c>
      <c r="C569" s="18" t="s">
        <v>59</v>
      </c>
      <c r="D569" s="18" t="s">
        <v>78</v>
      </c>
      <c r="E569" s="6">
        <v>7900000</v>
      </c>
      <c r="F569" s="19">
        <v>0.82</v>
      </c>
      <c r="G569" s="18">
        <v>73</v>
      </c>
      <c r="H569" s="20">
        <v>1.5</v>
      </c>
      <c r="I569" s="21" t="str">
        <f t="shared" si="32"/>
        <v>Cumple</v>
      </c>
      <c r="J569" s="22" t="str">
        <f t="shared" si="33"/>
        <v>BONO</v>
      </c>
      <c r="K569" s="23" t="str">
        <f t="shared" si="34"/>
        <v>OK</v>
      </c>
      <c r="L569" s="24" t="str">
        <f t="shared" si="35"/>
        <v>Bueno</v>
      </c>
    </row>
    <row r="570" spans="1:12" ht="18" customHeight="1" x14ac:dyDescent="0.3">
      <c r="A570" s="25" t="s">
        <v>1187</v>
      </c>
      <c r="B570" s="8" t="s">
        <v>1188</v>
      </c>
      <c r="C570" s="25" t="s">
        <v>59</v>
      </c>
      <c r="D570" s="25" t="s">
        <v>60</v>
      </c>
      <c r="E570" s="9">
        <v>5700000</v>
      </c>
      <c r="F570" s="26">
        <v>0.56000000000000005</v>
      </c>
      <c r="G570" s="25">
        <v>61</v>
      </c>
      <c r="H570" s="27">
        <v>16.7</v>
      </c>
      <c r="I570" s="21" t="str">
        <f t="shared" si="32"/>
        <v>No cumple</v>
      </c>
      <c r="J570" s="22" t="str">
        <f t="shared" si="33"/>
        <v>Sin bono</v>
      </c>
      <c r="K570" s="23" t="str">
        <f t="shared" si="34"/>
        <v>ALERTA</v>
      </c>
      <c r="L570" s="24" t="str">
        <f t="shared" si="35"/>
        <v>Revisar</v>
      </c>
    </row>
    <row r="571" spans="1:12" ht="18" customHeight="1" x14ac:dyDescent="0.3">
      <c r="A571" s="18" t="s">
        <v>1189</v>
      </c>
      <c r="B571" s="5" t="s">
        <v>1190</v>
      </c>
      <c r="C571" s="18" t="s">
        <v>77</v>
      </c>
      <c r="D571" s="18" t="s">
        <v>64</v>
      </c>
      <c r="E571" s="6">
        <v>9700000</v>
      </c>
      <c r="F571" s="19">
        <v>0.98</v>
      </c>
      <c r="G571" s="18">
        <v>91</v>
      </c>
      <c r="H571" s="20">
        <v>7.4</v>
      </c>
      <c r="I571" s="21" t="str">
        <f t="shared" si="32"/>
        <v>Cumple</v>
      </c>
      <c r="J571" s="22" t="str">
        <f t="shared" si="33"/>
        <v>BONO</v>
      </c>
      <c r="K571" s="23" t="str">
        <f t="shared" si="34"/>
        <v>OK</v>
      </c>
      <c r="L571" s="24" t="str">
        <f t="shared" si="35"/>
        <v>Excelente</v>
      </c>
    </row>
    <row r="572" spans="1:12" ht="18" customHeight="1" x14ac:dyDescent="0.3">
      <c r="A572" s="25" t="s">
        <v>1191</v>
      </c>
      <c r="B572" s="8" t="s">
        <v>1192</v>
      </c>
      <c r="C572" s="25" t="s">
        <v>59</v>
      </c>
      <c r="D572" s="25" t="s">
        <v>105</v>
      </c>
      <c r="E572" s="9">
        <v>5100000</v>
      </c>
      <c r="F572" s="26">
        <v>0.99</v>
      </c>
      <c r="G572" s="25">
        <v>95</v>
      </c>
      <c r="H572" s="27">
        <v>5.6</v>
      </c>
      <c r="I572" s="21" t="str">
        <f t="shared" si="32"/>
        <v>Cumple</v>
      </c>
      <c r="J572" s="22" t="str">
        <f t="shared" si="33"/>
        <v>BONO</v>
      </c>
      <c r="K572" s="23" t="str">
        <f t="shared" si="34"/>
        <v>OK</v>
      </c>
      <c r="L572" s="24" t="str">
        <f t="shared" si="35"/>
        <v>Excelente</v>
      </c>
    </row>
    <row r="573" spans="1:12" ht="18" customHeight="1" x14ac:dyDescent="0.3">
      <c r="A573" s="18" t="s">
        <v>1193</v>
      </c>
      <c r="B573" s="5" t="s">
        <v>1194</v>
      </c>
      <c r="C573" s="18" t="s">
        <v>71</v>
      </c>
      <c r="D573" s="18" t="s">
        <v>64</v>
      </c>
      <c r="E573" s="6">
        <v>9500000</v>
      </c>
      <c r="F573" s="19">
        <v>0.89</v>
      </c>
      <c r="G573" s="18">
        <v>91</v>
      </c>
      <c r="H573" s="20">
        <v>18.8</v>
      </c>
      <c r="I573" s="21" t="str">
        <f t="shared" si="32"/>
        <v>Cumple</v>
      </c>
      <c r="J573" s="22" t="str">
        <f t="shared" si="33"/>
        <v>BONO</v>
      </c>
      <c r="K573" s="23" t="str">
        <f t="shared" si="34"/>
        <v>OK</v>
      </c>
      <c r="L573" s="24" t="str">
        <f t="shared" si="35"/>
        <v>Bueno</v>
      </c>
    </row>
    <row r="574" spans="1:12" ht="18" customHeight="1" x14ac:dyDescent="0.3">
      <c r="A574" s="25" t="s">
        <v>1195</v>
      </c>
      <c r="B574" s="8" t="s">
        <v>1196</v>
      </c>
      <c r="C574" s="25" t="s">
        <v>77</v>
      </c>
      <c r="D574" s="25" t="s">
        <v>92</v>
      </c>
      <c r="E574" s="9">
        <v>11600000</v>
      </c>
      <c r="F574" s="26">
        <v>0.45</v>
      </c>
      <c r="G574" s="25">
        <v>56</v>
      </c>
      <c r="H574" s="27">
        <v>7.6</v>
      </c>
      <c r="I574" s="21" t="str">
        <f t="shared" si="32"/>
        <v>No cumple</v>
      </c>
      <c r="J574" s="22" t="str">
        <f t="shared" si="33"/>
        <v>Sin bono</v>
      </c>
      <c r="K574" s="23" t="str">
        <f t="shared" si="34"/>
        <v>ALERTA</v>
      </c>
      <c r="L574" s="24" t="str">
        <f t="shared" si="35"/>
        <v>Revisar</v>
      </c>
    </row>
    <row r="575" spans="1:12" ht="18" customHeight="1" x14ac:dyDescent="0.3">
      <c r="A575" s="18" t="s">
        <v>1197</v>
      </c>
      <c r="B575" s="5" t="s">
        <v>1198</v>
      </c>
      <c r="C575" s="18" t="s">
        <v>81</v>
      </c>
      <c r="D575" s="18" t="s">
        <v>88</v>
      </c>
      <c r="E575" s="6">
        <v>5100000</v>
      </c>
      <c r="F575" s="19">
        <v>0.75</v>
      </c>
      <c r="G575" s="18">
        <v>60</v>
      </c>
      <c r="H575" s="20">
        <v>5.4</v>
      </c>
      <c r="I575" s="21" t="str">
        <f t="shared" si="32"/>
        <v>No cumple</v>
      </c>
      <c r="J575" s="22" t="str">
        <f t="shared" si="33"/>
        <v>Sin bono</v>
      </c>
      <c r="K575" s="23" t="str">
        <f t="shared" si="34"/>
        <v>OK</v>
      </c>
      <c r="L575" s="24" t="str">
        <f t="shared" si="35"/>
        <v>Revisar</v>
      </c>
    </row>
    <row r="576" spans="1:12" ht="18" customHeight="1" x14ac:dyDescent="0.3">
      <c r="A576" s="25" t="s">
        <v>1199</v>
      </c>
      <c r="B576" s="8" t="s">
        <v>1200</v>
      </c>
      <c r="C576" s="25" t="s">
        <v>77</v>
      </c>
      <c r="D576" s="25" t="s">
        <v>68</v>
      </c>
      <c r="E576" s="9">
        <v>5400000</v>
      </c>
      <c r="F576" s="26">
        <v>0.68</v>
      </c>
      <c r="G576" s="25">
        <v>77</v>
      </c>
      <c r="H576" s="27">
        <v>7.3</v>
      </c>
      <c r="I576" s="21" t="str">
        <f t="shared" si="32"/>
        <v>No cumple</v>
      </c>
      <c r="J576" s="22" t="str">
        <f t="shared" si="33"/>
        <v>Sin bono</v>
      </c>
      <c r="K576" s="23" t="str">
        <f t="shared" si="34"/>
        <v>OK</v>
      </c>
      <c r="L576" s="24" t="str">
        <f t="shared" si="35"/>
        <v>Revisar</v>
      </c>
    </row>
    <row r="577" spans="1:12" ht="18" customHeight="1" x14ac:dyDescent="0.3">
      <c r="A577" s="18" t="s">
        <v>1201</v>
      </c>
      <c r="B577" s="5" t="s">
        <v>1202</v>
      </c>
      <c r="C577" s="18" t="s">
        <v>77</v>
      </c>
      <c r="D577" s="18" t="s">
        <v>114</v>
      </c>
      <c r="E577" s="6">
        <v>10100000</v>
      </c>
      <c r="F577" s="19">
        <v>0.52</v>
      </c>
      <c r="G577" s="18">
        <v>59</v>
      </c>
      <c r="H577" s="20">
        <v>16.3</v>
      </c>
      <c r="I577" s="21" t="str">
        <f t="shared" si="32"/>
        <v>No cumple</v>
      </c>
      <c r="J577" s="22" t="str">
        <f t="shared" si="33"/>
        <v>Sin bono</v>
      </c>
      <c r="K577" s="23" t="str">
        <f t="shared" si="34"/>
        <v>ALERTA</v>
      </c>
      <c r="L577" s="24" t="str">
        <f t="shared" si="35"/>
        <v>Revisar</v>
      </c>
    </row>
    <row r="578" spans="1:12" ht="18" customHeight="1" x14ac:dyDescent="0.3">
      <c r="A578" s="25" t="s">
        <v>1203</v>
      </c>
      <c r="B578" s="8" t="s">
        <v>1204</v>
      </c>
      <c r="C578" s="25" t="s">
        <v>63</v>
      </c>
      <c r="D578" s="25" t="s">
        <v>68</v>
      </c>
      <c r="E578" s="9">
        <v>5300000</v>
      </c>
      <c r="F578" s="26">
        <v>0.53</v>
      </c>
      <c r="G578" s="25">
        <v>49</v>
      </c>
      <c r="H578" s="27">
        <v>9.5</v>
      </c>
      <c r="I578" s="21" t="str">
        <f t="shared" si="32"/>
        <v>No cumple</v>
      </c>
      <c r="J578" s="22" t="str">
        <f t="shared" si="33"/>
        <v>Sin bono</v>
      </c>
      <c r="K578" s="23" t="str">
        <f t="shared" si="34"/>
        <v>ALERTA</v>
      </c>
      <c r="L578" s="24" t="str">
        <f t="shared" si="35"/>
        <v>Revisar</v>
      </c>
    </row>
    <row r="579" spans="1:12" ht="18" customHeight="1" x14ac:dyDescent="0.3">
      <c r="A579" s="18" t="s">
        <v>1205</v>
      </c>
      <c r="B579" s="5" t="s">
        <v>1206</v>
      </c>
      <c r="C579" s="18" t="s">
        <v>63</v>
      </c>
      <c r="D579" s="18" t="s">
        <v>105</v>
      </c>
      <c r="E579" s="6">
        <v>4500000</v>
      </c>
      <c r="F579" s="19">
        <v>1</v>
      </c>
      <c r="G579" s="18">
        <v>96</v>
      </c>
      <c r="H579" s="20">
        <v>10.7</v>
      </c>
      <c r="I579" s="21" t="str">
        <f t="shared" si="32"/>
        <v>Cumple</v>
      </c>
      <c r="J579" s="22" t="str">
        <f t="shared" si="33"/>
        <v>BONO</v>
      </c>
      <c r="K579" s="23" t="str">
        <f t="shared" si="34"/>
        <v>OK</v>
      </c>
      <c r="L579" s="24" t="str">
        <f t="shared" si="35"/>
        <v>Excelente</v>
      </c>
    </row>
    <row r="580" spans="1:12" ht="18" customHeight="1" x14ac:dyDescent="0.3">
      <c r="A580" s="25" t="s">
        <v>1207</v>
      </c>
      <c r="B580" s="8" t="s">
        <v>1208</v>
      </c>
      <c r="C580" s="25" t="s">
        <v>77</v>
      </c>
      <c r="D580" s="25" t="s">
        <v>88</v>
      </c>
      <c r="E580" s="9">
        <v>6000000</v>
      </c>
      <c r="F580" s="26">
        <v>0.76</v>
      </c>
      <c r="G580" s="25">
        <v>36</v>
      </c>
      <c r="H580" s="27">
        <v>8</v>
      </c>
      <c r="I580" s="21" t="str">
        <f t="shared" si="32"/>
        <v>No cumple</v>
      </c>
      <c r="J580" s="22" t="str">
        <f t="shared" si="33"/>
        <v>Sin bono</v>
      </c>
      <c r="K580" s="23" t="str">
        <f t="shared" si="34"/>
        <v>ALERTA</v>
      </c>
      <c r="L580" s="24" t="str">
        <f t="shared" si="35"/>
        <v>Revisar</v>
      </c>
    </row>
    <row r="581" spans="1:12" ht="18" customHeight="1" x14ac:dyDescent="0.3">
      <c r="A581" s="18" t="s">
        <v>1209</v>
      </c>
      <c r="B581" s="5" t="s">
        <v>1210</v>
      </c>
      <c r="C581" s="18" t="s">
        <v>67</v>
      </c>
      <c r="D581" s="18" t="s">
        <v>88</v>
      </c>
      <c r="E581" s="6">
        <v>8800000</v>
      </c>
      <c r="F581" s="19">
        <v>0.91</v>
      </c>
      <c r="G581" s="18">
        <v>42</v>
      </c>
      <c r="H581" s="20">
        <v>9</v>
      </c>
      <c r="I581" s="21" t="str">
        <f t="shared" si="32"/>
        <v>Cumple</v>
      </c>
      <c r="J581" s="22" t="str">
        <f t="shared" si="33"/>
        <v>Sin bono</v>
      </c>
      <c r="K581" s="23" t="str">
        <f t="shared" si="34"/>
        <v>ALERTA</v>
      </c>
      <c r="L581" s="24" t="str">
        <f t="shared" si="35"/>
        <v>Revisar</v>
      </c>
    </row>
    <row r="582" spans="1:12" ht="18" customHeight="1" x14ac:dyDescent="0.3">
      <c r="A582" s="25" t="s">
        <v>1211</v>
      </c>
      <c r="B582" s="8" t="s">
        <v>1212</v>
      </c>
      <c r="C582" s="25" t="s">
        <v>59</v>
      </c>
      <c r="D582" s="25" t="s">
        <v>92</v>
      </c>
      <c r="E582" s="9">
        <v>3000000</v>
      </c>
      <c r="F582" s="26">
        <v>0.68</v>
      </c>
      <c r="G582" s="25">
        <v>74</v>
      </c>
      <c r="H582" s="27">
        <v>17.3</v>
      </c>
      <c r="I582" s="21" t="str">
        <f t="shared" si="32"/>
        <v>No cumple</v>
      </c>
      <c r="J582" s="22" t="str">
        <f t="shared" si="33"/>
        <v>Sin bono</v>
      </c>
      <c r="K582" s="23" t="str">
        <f t="shared" si="34"/>
        <v>OK</v>
      </c>
      <c r="L582" s="24" t="str">
        <f t="shared" si="35"/>
        <v>Revisar</v>
      </c>
    </row>
    <row r="583" spans="1:12" ht="18" customHeight="1" x14ac:dyDescent="0.3">
      <c r="A583" s="18" t="s">
        <v>1213</v>
      </c>
      <c r="B583" s="5" t="s">
        <v>1214</v>
      </c>
      <c r="C583" s="18" t="s">
        <v>77</v>
      </c>
      <c r="D583" s="18" t="s">
        <v>78</v>
      </c>
      <c r="E583" s="6">
        <v>7600000</v>
      </c>
      <c r="F583" s="19">
        <v>0.79</v>
      </c>
      <c r="G583" s="18">
        <v>89</v>
      </c>
      <c r="H583" s="20">
        <v>12.6</v>
      </c>
      <c r="I583" s="21" t="str">
        <f t="shared" si="32"/>
        <v>No cumple</v>
      </c>
      <c r="J583" s="22" t="str">
        <f t="shared" si="33"/>
        <v>Sin bono</v>
      </c>
      <c r="K583" s="23" t="str">
        <f t="shared" si="34"/>
        <v>OK</v>
      </c>
      <c r="L583" s="24" t="str">
        <f t="shared" si="35"/>
        <v>Revisar</v>
      </c>
    </row>
    <row r="584" spans="1:12" ht="18" customHeight="1" x14ac:dyDescent="0.3">
      <c r="A584" s="25" t="s">
        <v>1215</v>
      </c>
      <c r="B584" s="8" t="s">
        <v>1216</v>
      </c>
      <c r="C584" s="25" t="s">
        <v>71</v>
      </c>
      <c r="D584" s="25" t="s">
        <v>92</v>
      </c>
      <c r="E584" s="9">
        <v>8100000</v>
      </c>
      <c r="F584" s="26">
        <v>0.8</v>
      </c>
      <c r="G584" s="25">
        <v>81</v>
      </c>
      <c r="H584" s="27">
        <v>17</v>
      </c>
      <c r="I584" s="21" t="str">
        <f t="shared" si="32"/>
        <v>Cumple</v>
      </c>
      <c r="J584" s="22" t="str">
        <f t="shared" si="33"/>
        <v>BONO</v>
      </c>
      <c r="K584" s="23" t="str">
        <f t="shared" si="34"/>
        <v>OK</v>
      </c>
      <c r="L584" s="24" t="str">
        <f t="shared" si="35"/>
        <v>Bueno</v>
      </c>
    </row>
    <row r="585" spans="1:12" ht="18" customHeight="1" x14ac:dyDescent="0.3">
      <c r="A585" s="18" t="s">
        <v>1217</v>
      </c>
      <c r="B585" s="5" t="s">
        <v>1218</v>
      </c>
      <c r="C585" s="18" t="s">
        <v>71</v>
      </c>
      <c r="D585" s="18" t="s">
        <v>92</v>
      </c>
      <c r="E585" s="6">
        <v>5700000</v>
      </c>
      <c r="F585" s="19">
        <v>0.62</v>
      </c>
      <c r="G585" s="18">
        <v>67</v>
      </c>
      <c r="H585" s="20">
        <v>14.2</v>
      </c>
      <c r="I585" s="21" t="str">
        <f t="shared" si="32"/>
        <v>No cumple</v>
      </c>
      <c r="J585" s="22" t="str">
        <f t="shared" si="33"/>
        <v>Sin bono</v>
      </c>
      <c r="K585" s="23" t="str">
        <f t="shared" si="34"/>
        <v>OK</v>
      </c>
      <c r="L585" s="24" t="str">
        <f t="shared" si="35"/>
        <v>Revisar</v>
      </c>
    </row>
    <row r="586" spans="1:12" ht="18" customHeight="1" x14ac:dyDescent="0.3">
      <c r="A586" s="25" t="s">
        <v>1219</v>
      </c>
      <c r="B586" s="8" t="s">
        <v>1220</v>
      </c>
      <c r="C586" s="25" t="s">
        <v>63</v>
      </c>
      <c r="D586" s="25" t="s">
        <v>88</v>
      </c>
      <c r="E586" s="9">
        <v>8400000</v>
      </c>
      <c r="F586" s="26">
        <v>0.88</v>
      </c>
      <c r="G586" s="25">
        <v>76</v>
      </c>
      <c r="H586" s="27">
        <v>15</v>
      </c>
      <c r="I586" s="21" t="str">
        <f t="shared" si="32"/>
        <v>Cumple</v>
      </c>
      <c r="J586" s="22" t="str">
        <f t="shared" si="33"/>
        <v>BONO</v>
      </c>
      <c r="K586" s="23" t="str">
        <f t="shared" si="34"/>
        <v>OK</v>
      </c>
      <c r="L586" s="24" t="str">
        <f t="shared" si="35"/>
        <v>Bueno</v>
      </c>
    </row>
    <row r="587" spans="1:12" ht="18" customHeight="1" x14ac:dyDescent="0.3">
      <c r="A587" s="18" t="s">
        <v>1221</v>
      </c>
      <c r="B587" s="5" t="s">
        <v>1222</v>
      </c>
      <c r="C587" s="18" t="s">
        <v>63</v>
      </c>
      <c r="D587" s="18" t="s">
        <v>114</v>
      </c>
      <c r="E587" s="6">
        <v>5100000</v>
      </c>
      <c r="F587" s="19">
        <v>0.92</v>
      </c>
      <c r="G587" s="18">
        <v>46</v>
      </c>
      <c r="H587" s="20">
        <v>14.6</v>
      </c>
      <c r="I587" s="21" t="str">
        <f t="shared" si="32"/>
        <v>Cumple</v>
      </c>
      <c r="J587" s="22" t="str">
        <f t="shared" si="33"/>
        <v>Sin bono</v>
      </c>
      <c r="K587" s="23" t="str">
        <f t="shared" si="34"/>
        <v>ALERTA</v>
      </c>
      <c r="L587" s="24" t="str">
        <f t="shared" si="35"/>
        <v>Revisar</v>
      </c>
    </row>
    <row r="588" spans="1:12" ht="18" customHeight="1" x14ac:dyDescent="0.3">
      <c r="A588" s="25" t="s">
        <v>1223</v>
      </c>
      <c r="B588" s="8" t="s">
        <v>1224</v>
      </c>
      <c r="C588" s="25" t="s">
        <v>71</v>
      </c>
      <c r="D588" s="25" t="s">
        <v>68</v>
      </c>
      <c r="E588" s="9">
        <v>4100000</v>
      </c>
      <c r="F588" s="26">
        <v>0.5</v>
      </c>
      <c r="G588" s="25">
        <v>90</v>
      </c>
      <c r="H588" s="27">
        <v>11</v>
      </c>
      <c r="I588" s="21" t="str">
        <f t="shared" si="32"/>
        <v>No cumple</v>
      </c>
      <c r="J588" s="22" t="str">
        <f t="shared" si="33"/>
        <v>Sin bono</v>
      </c>
      <c r="K588" s="23" t="str">
        <f t="shared" si="34"/>
        <v>ALERTA</v>
      </c>
      <c r="L588" s="24" t="str">
        <f t="shared" si="35"/>
        <v>Revisar</v>
      </c>
    </row>
    <row r="589" spans="1:12" ht="18" customHeight="1" x14ac:dyDescent="0.3">
      <c r="A589" s="18" t="s">
        <v>1225</v>
      </c>
      <c r="B589" s="5" t="s">
        <v>1226</v>
      </c>
      <c r="C589" s="18" t="s">
        <v>63</v>
      </c>
      <c r="D589" s="18" t="s">
        <v>78</v>
      </c>
      <c r="E589" s="6">
        <v>4100000</v>
      </c>
      <c r="F589" s="19">
        <v>0.59</v>
      </c>
      <c r="G589" s="18">
        <v>49</v>
      </c>
      <c r="H589" s="20">
        <v>1.7</v>
      </c>
      <c r="I589" s="21" t="str">
        <f t="shared" ref="I589:I652" si="36">IF(F589&gt;=0.8,"Cumple","No cumple")</f>
        <v>No cumple</v>
      </c>
      <c r="J589" s="22" t="str">
        <f t="shared" ref="J589:J652" si="37">IF(AND(F589&gt;=0.8,G589&gt;=70),"BONO","Sin bono")</f>
        <v>Sin bono</v>
      </c>
      <c r="K589" s="23" t="str">
        <f t="shared" ref="K589:K652" si="38">IF(OR(F589&lt;0.6,G589&lt;50),"ALERTA","OK")</f>
        <v>ALERTA</v>
      </c>
      <c r="L589" s="24" t="str">
        <f t="shared" ref="L589:L652" si="39">IF(AND(F589&gt;=0.9,G589&gt;=85),"Excelente",IF(AND(F589&gt;=0.8,G589&gt;=70),"Bueno","Revisar"))</f>
        <v>Revisar</v>
      </c>
    </row>
    <row r="590" spans="1:12" ht="18" customHeight="1" x14ac:dyDescent="0.3">
      <c r="A590" s="25" t="s">
        <v>1227</v>
      </c>
      <c r="B590" s="8" t="s">
        <v>1228</v>
      </c>
      <c r="C590" s="25" t="s">
        <v>67</v>
      </c>
      <c r="D590" s="25" t="s">
        <v>60</v>
      </c>
      <c r="E590" s="9">
        <v>6400000</v>
      </c>
      <c r="F590" s="26">
        <v>0.69</v>
      </c>
      <c r="G590" s="25">
        <v>46</v>
      </c>
      <c r="H590" s="27">
        <v>2.6</v>
      </c>
      <c r="I590" s="21" t="str">
        <f t="shared" si="36"/>
        <v>No cumple</v>
      </c>
      <c r="J590" s="22" t="str">
        <f t="shared" si="37"/>
        <v>Sin bono</v>
      </c>
      <c r="K590" s="23" t="str">
        <f t="shared" si="38"/>
        <v>ALERTA</v>
      </c>
      <c r="L590" s="24" t="str">
        <f t="shared" si="39"/>
        <v>Revisar</v>
      </c>
    </row>
    <row r="591" spans="1:12" ht="18" customHeight="1" x14ac:dyDescent="0.3">
      <c r="A591" s="18" t="s">
        <v>1229</v>
      </c>
      <c r="B591" s="5" t="s">
        <v>1230</v>
      </c>
      <c r="C591" s="18" t="s">
        <v>91</v>
      </c>
      <c r="D591" s="18" t="s">
        <v>92</v>
      </c>
      <c r="E591" s="6">
        <v>6900000</v>
      </c>
      <c r="F591" s="19">
        <v>0.93</v>
      </c>
      <c r="G591" s="18">
        <v>89</v>
      </c>
      <c r="H591" s="20">
        <v>19.5</v>
      </c>
      <c r="I591" s="21" t="str">
        <f t="shared" si="36"/>
        <v>Cumple</v>
      </c>
      <c r="J591" s="22" t="str">
        <f t="shared" si="37"/>
        <v>BONO</v>
      </c>
      <c r="K591" s="23" t="str">
        <f t="shared" si="38"/>
        <v>OK</v>
      </c>
      <c r="L591" s="24" t="str">
        <f t="shared" si="39"/>
        <v>Excelente</v>
      </c>
    </row>
    <row r="592" spans="1:12" ht="18" customHeight="1" x14ac:dyDescent="0.3">
      <c r="A592" s="25" t="s">
        <v>1231</v>
      </c>
      <c r="B592" s="8" t="s">
        <v>1232</v>
      </c>
      <c r="C592" s="25" t="s">
        <v>59</v>
      </c>
      <c r="D592" s="25" t="s">
        <v>105</v>
      </c>
      <c r="E592" s="9">
        <v>4500000</v>
      </c>
      <c r="F592" s="26">
        <v>0.98</v>
      </c>
      <c r="G592" s="25">
        <v>99</v>
      </c>
      <c r="H592" s="27">
        <v>3.5</v>
      </c>
      <c r="I592" s="21" t="str">
        <f t="shared" si="36"/>
        <v>Cumple</v>
      </c>
      <c r="J592" s="22" t="str">
        <f t="shared" si="37"/>
        <v>BONO</v>
      </c>
      <c r="K592" s="23" t="str">
        <f t="shared" si="38"/>
        <v>OK</v>
      </c>
      <c r="L592" s="24" t="str">
        <f t="shared" si="39"/>
        <v>Excelente</v>
      </c>
    </row>
    <row r="593" spans="1:12" ht="18" customHeight="1" x14ac:dyDescent="0.3">
      <c r="A593" s="18" t="s">
        <v>1233</v>
      </c>
      <c r="B593" s="5" t="s">
        <v>1234</v>
      </c>
      <c r="C593" s="18" t="s">
        <v>63</v>
      </c>
      <c r="D593" s="18" t="s">
        <v>88</v>
      </c>
      <c r="E593" s="6">
        <v>7200000</v>
      </c>
      <c r="F593" s="19">
        <v>0.71</v>
      </c>
      <c r="G593" s="18">
        <v>59</v>
      </c>
      <c r="H593" s="20">
        <v>16.100000000000001</v>
      </c>
      <c r="I593" s="21" t="str">
        <f t="shared" si="36"/>
        <v>No cumple</v>
      </c>
      <c r="J593" s="22" t="str">
        <f t="shared" si="37"/>
        <v>Sin bono</v>
      </c>
      <c r="K593" s="23" t="str">
        <f t="shared" si="38"/>
        <v>OK</v>
      </c>
      <c r="L593" s="24" t="str">
        <f t="shared" si="39"/>
        <v>Revisar</v>
      </c>
    </row>
    <row r="594" spans="1:12" ht="18" customHeight="1" x14ac:dyDescent="0.3">
      <c r="A594" s="25" t="s">
        <v>1235</v>
      </c>
      <c r="B594" s="8" t="s">
        <v>1236</v>
      </c>
      <c r="C594" s="25" t="s">
        <v>81</v>
      </c>
      <c r="D594" s="25" t="s">
        <v>68</v>
      </c>
      <c r="E594" s="9">
        <v>6100000</v>
      </c>
      <c r="F594" s="26">
        <v>0.54</v>
      </c>
      <c r="G594" s="25">
        <v>31</v>
      </c>
      <c r="H594" s="27">
        <v>0</v>
      </c>
      <c r="I594" s="21" t="str">
        <f t="shared" si="36"/>
        <v>No cumple</v>
      </c>
      <c r="J594" s="22" t="str">
        <f t="shared" si="37"/>
        <v>Sin bono</v>
      </c>
      <c r="K594" s="23" t="str">
        <f t="shared" si="38"/>
        <v>ALERTA</v>
      </c>
      <c r="L594" s="24" t="str">
        <f t="shared" si="39"/>
        <v>Revisar</v>
      </c>
    </row>
    <row r="595" spans="1:12" ht="18" customHeight="1" x14ac:dyDescent="0.3">
      <c r="A595" s="18" t="s">
        <v>1237</v>
      </c>
      <c r="B595" s="5" t="s">
        <v>1238</v>
      </c>
      <c r="C595" s="18" t="s">
        <v>59</v>
      </c>
      <c r="D595" s="18" t="s">
        <v>105</v>
      </c>
      <c r="E595" s="6">
        <v>9600000</v>
      </c>
      <c r="F595" s="19">
        <v>0.45</v>
      </c>
      <c r="G595" s="18">
        <v>92</v>
      </c>
      <c r="H595" s="20">
        <v>18.899999999999999</v>
      </c>
      <c r="I595" s="21" t="str">
        <f t="shared" si="36"/>
        <v>No cumple</v>
      </c>
      <c r="J595" s="22" t="str">
        <f t="shared" si="37"/>
        <v>Sin bono</v>
      </c>
      <c r="K595" s="23" t="str">
        <f t="shared" si="38"/>
        <v>ALERTA</v>
      </c>
      <c r="L595" s="24" t="str">
        <f t="shared" si="39"/>
        <v>Revisar</v>
      </c>
    </row>
    <row r="596" spans="1:12" ht="18" customHeight="1" x14ac:dyDescent="0.3">
      <c r="A596" s="25" t="s">
        <v>1239</v>
      </c>
      <c r="B596" s="8" t="s">
        <v>1240</v>
      </c>
      <c r="C596" s="25" t="s">
        <v>91</v>
      </c>
      <c r="D596" s="25" t="s">
        <v>68</v>
      </c>
      <c r="E596" s="9">
        <v>6500000</v>
      </c>
      <c r="F596" s="26">
        <v>0.78</v>
      </c>
      <c r="G596" s="25">
        <v>30</v>
      </c>
      <c r="H596" s="27">
        <v>11</v>
      </c>
      <c r="I596" s="21" t="str">
        <f t="shared" si="36"/>
        <v>No cumple</v>
      </c>
      <c r="J596" s="22" t="str">
        <f t="shared" si="37"/>
        <v>Sin bono</v>
      </c>
      <c r="K596" s="23" t="str">
        <f t="shared" si="38"/>
        <v>ALERTA</v>
      </c>
      <c r="L596" s="24" t="str">
        <f t="shared" si="39"/>
        <v>Revisar</v>
      </c>
    </row>
    <row r="597" spans="1:12" ht="18" customHeight="1" x14ac:dyDescent="0.3">
      <c r="A597" s="18" t="s">
        <v>1241</v>
      </c>
      <c r="B597" s="5" t="s">
        <v>1242</v>
      </c>
      <c r="C597" s="18" t="s">
        <v>71</v>
      </c>
      <c r="D597" s="18" t="s">
        <v>68</v>
      </c>
      <c r="E597" s="6">
        <v>7600000</v>
      </c>
      <c r="F597" s="19">
        <v>0.56999999999999995</v>
      </c>
      <c r="G597" s="18">
        <v>40</v>
      </c>
      <c r="H597" s="20">
        <v>8.4</v>
      </c>
      <c r="I597" s="21" t="str">
        <f t="shared" si="36"/>
        <v>No cumple</v>
      </c>
      <c r="J597" s="22" t="str">
        <f t="shared" si="37"/>
        <v>Sin bono</v>
      </c>
      <c r="K597" s="23" t="str">
        <f t="shared" si="38"/>
        <v>ALERTA</v>
      </c>
      <c r="L597" s="24" t="str">
        <f t="shared" si="39"/>
        <v>Revisar</v>
      </c>
    </row>
    <row r="598" spans="1:12" ht="18" customHeight="1" x14ac:dyDescent="0.3">
      <c r="A598" s="25" t="s">
        <v>1243</v>
      </c>
      <c r="B598" s="8" t="s">
        <v>1244</v>
      </c>
      <c r="C598" s="25" t="s">
        <v>59</v>
      </c>
      <c r="D598" s="25" t="s">
        <v>88</v>
      </c>
      <c r="E598" s="9">
        <v>11100000</v>
      </c>
      <c r="F598" s="26">
        <v>0.86</v>
      </c>
      <c r="G598" s="25">
        <v>64</v>
      </c>
      <c r="H598" s="27">
        <v>8.3000000000000007</v>
      </c>
      <c r="I598" s="21" t="str">
        <f t="shared" si="36"/>
        <v>Cumple</v>
      </c>
      <c r="J598" s="22" t="str">
        <f t="shared" si="37"/>
        <v>Sin bono</v>
      </c>
      <c r="K598" s="23" t="str">
        <f t="shared" si="38"/>
        <v>OK</v>
      </c>
      <c r="L598" s="24" t="str">
        <f t="shared" si="39"/>
        <v>Revisar</v>
      </c>
    </row>
    <row r="599" spans="1:12" ht="18" customHeight="1" x14ac:dyDescent="0.3">
      <c r="A599" s="18" t="s">
        <v>1245</v>
      </c>
      <c r="B599" s="5" t="s">
        <v>1246</v>
      </c>
      <c r="C599" s="18" t="s">
        <v>74</v>
      </c>
      <c r="D599" s="18" t="s">
        <v>105</v>
      </c>
      <c r="E599" s="6">
        <v>10700000</v>
      </c>
      <c r="F599" s="19">
        <v>0.7</v>
      </c>
      <c r="G599" s="18">
        <v>92</v>
      </c>
      <c r="H599" s="20">
        <v>3.8</v>
      </c>
      <c r="I599" s="21" t="str">
        <f t="shared" si="36"/>
        <v>No cumple</v>
      </c>
      <c r="J599" s="22" t="str">
        <f t="shared" si="37"/>
        <v>Sin bono</v>
      </c>
      <c r="K599" s="23" t="str">
        <f t="shared" si="38"/>
        <v>OK</v>
      </c>
      <c r="L599" s="24" t="str">
        <f t="shared" si="39"/>
        <v>Revisar</v>
      </c>
    </row>
    <row r="600" spans="1:12" ht="18" customHeight="1" x14ac:dyDescent="0.3">
      <c r="A600" s="25" t="s">
        <v>1247</v>
      </c>
      <c r="B600" s="8" t="s">
        <v>1248</v>
      </c>
      <c r="C600" s="25" t="s">
        <v>91</v>
      </c>
      <c r="D600" s="25" t="s">
        <v>64</v>
      </c>
      <c r="E600" s="9">
        <v>5100000</v>
      </c>
      <c r="F600" s="26">
        <v>0.98</v>
      </c>
      <c r="G600" s="25">
        <v>66</v>
      </c>
      <c r="H600" s="27">
        <v>5.4</v>
      </c>
      <c r="I600" s="21" t="str">
        <f t="shared" si="36"/>
        <v>Cumple</v>
      </c>
      <c r="J600" s="22" t="str">
        <f t="shared" si="37"/>
        <v>Sin bono</v>
      </c>
      <c r="K600" s="23" t="str">
        <f t="shared" si="38"/>
        <v>OK</v>
      </c>
      <c r="L600" s="24" t="str">
        <f t="shared" si="39"/>
        <v>Revisar</v>
      </c>
    </row>
    <row r="601" spans="1:12" ht="18" customHeight="1" x14ac:dyDescent="0.3">
      <c r="A601" s="18" t="s">
        <v>1249</v>
      </c>
      <c r="B601" s="5" t="s">
        <v>1250</v>
      </c>
      <c r="C601" s="18" t="s">
        <v>91</v>
      </c>
      <c r="D601" s="18" t="s">
        <v>60</v>
      </c>
      <c r="E601" s="6">
        <v>3900000</v>
      </c>
      <c r="F601" s="19">
        <v>0.53</v>
      </c>
      <c r="G601" s="18">
        <v>93</v>
      </c>
      <c r="H601" s="20">
        <v>4.3</v>
      </c>
      <c r="I601" s="21" t="str">
        <f t="shared" si="36"/>
        <v>No cumple</v>
      </c>
      <c r="J601" s="22" t="str">
        <f t="shared" si="37"/>
        <v>Sin bono</v>
      </c>
      <c r="K601" s="23" t="str">
        <f t="shared" si="38"/>
        <v>ALERTA</v>
      </c>
      <c r="L601" s="24" t="str">
        <f t="shared" si="39"/>
        <v>Revisar</v>
      </c>
    </row>
    <row r="602" spans="1:12" ht="18" customHeight="1" x14ac:dyDescent="0.3">
      <c r="A602" s="25" t="s">
        <v>1251</v>
      </c>
      <c r="B602" s="8" t="s">
        <v>1252</v>
      </c>
      <c r="C602" s="25" t="s">
        <v>77</v>
      </c>
      <c r="D602" s="25" t="s">
        <v>92</v>
      </c>
      <c r="E602" s="9">
        <v>8700000</v>
      </c>
      <c r="F602" s="26">
        <v>0.83</v>
      </c>
      <c r="G602" s="25">
        <v>34</v>
      </c>
      <c r="H602" s="27">
        <v>6.6</v>
      </c>
      <c r="I602" s="21" t="str">
        <f t="shared" si="36"/>
        <v>Cumple</v>
      </c>
      <c r="J602" s="22" t="str">
        <f t="shared" si="37"/>
        <v>Sin bono</v>
      </c>
      <c r="K602" s="23" t="str">
        <f t="shared" si="38"/>
        <v>ALERTA</v>
      </c>
      <c r="L602" s="24" t="str">
        <f t="shared" si="39"/>
        <v>Revisar</v>
      </c>
    </row>
    <row r="603" spans="1:12" ht="18" customHeight="1" x14ac:dyDescent="0.3">
      <c r="A603" s="18" t="s">
        <v>1253</v>
      </c>
      <c r="B603" s="5" t="s">
        <v>1254</v>
      </c>
      <c r="C603" s="18" t="s">
        <v>63</v>
      </c>
      <c r="D603" s="18" t="s">
        <v>64</v>
      </c>
      <c r="E603" s="6">
        <v>4300000</v>
      </c>
      <c r="F603" s="19">
        <v>0.99</v>
      </c>
      <c r="G603" s="18">
        <v>61</v>
      </c>
      <c r="H603" s="20">
        <v>7.7</v>
      </c>
      <c r="I603" s="21" t="str">
        <f t="shared" si="36"/>
        <v>Cumple</v>
      </c>
      <c r="J603" s="22" t="str">
        <f t="shared" si="37"/>
        <v>Sin bono</v>
      </c>
      <c r="K603" s="23" t="str">
        <f t="shared" si="38"/>
        <v>OK</v>
      </c>
      <c r="L603" s="24" t="str">
        <f t="shared" si="39"/>
        <v>Revisar</v>
      </c>
    </row>
    <row r="604" spans="1:12" ht="18" customHeight="1" x14ac:dyDescent="0.3">
      <c r="A604" s="25" t="s">
        <v>1255</v>
      </c>
      <c r="B604" s="8" t="s">
        <v>1256</v>
      </c>
      <c r="C604" s="25" t="s">
        <v>91</v>
      </c>
      <c r="D604" s="25" t="s">
        <v>60</v>
      </c>
      <c r="E604" s="9">
        <v>8600000</v>
      </c>
      <c r="F604" s="26">
        <v>0.85</v>
      </c>
      <c r="G604" s="25">
        <v>42</v>
      </c>
      <c r="H604" s="27">
        <v>10.4</v>
      </c>
      <c r="I604" s="21" t="str">
        <f t="shared" si="36"/>
        <v>Cumple</v>
      </c>
      <c r="J604" s="22" t="str">
        <f t="shared" si="37"/>
        <v>Sin bono</v>
      </c>
      <c r="K604" s="23" t="str">
        <f t="shared" si="38"/>
        <v>ALERTA</v>
      </c>
      <c r="L604" s="24" t="str">
        <f t="shared" si="39"/>
        <v>Revisar</v>
      </c>
    </row>
    <row r="605" spans="1:12" ht="18" customHeight="1" x14ac:dyDescent="0.3">
      <c r="A605" s="18" t="s">
        <v>1257</v>
      </c>
      <c r="B605" s="5" t="s">
        <v>1258</v>
      </c>
      <c r="C605" s="18" t="s">
        <v>63</v>
      </c>
      <c r="D605" s="18" t="s">
        <v>88</v>
      </c>
      <c r="E605" s="6">
        <v>6900000</v>
      </c>
      <c r="F605" s="19">
        <v>0.54</v>
      </c>
      <c r="G605" s="18">
        <v>35</v>
      </c>
      <c r="H605" s="20">
        <v>14.9</v>
      </c>
      <c r="I605" s="21" t="str">
        <f t="shared" si="36"/>
        <v>No cumple</v>
      </c>
      <c r="J605" s="22" t="str">
        <f t="shared" si="37"/>
        <v>Sin bono</v>
      </c>
      <c r="K605" s="23" t="str">
        <f t="shared" si="38"/>
        <v>ALERTA</v>
      </c>
      <c r="L605" s="24" t="str">
        <f t="shared" si="39"/>
        <v>Revisar</v>
      </c>
    </row>
    <row r="606" spans="1:12" ht="18" customHeight="1" x14ac:dyDescent="0.3">
      <c r="A606" s="25" t="s">
        <v>1259</v>
      </c>
      <c r="B606" s="8" t="s">
        <v>1260</v>
      </c>
      <c r="C606" s="25" t="s">
        <v>74</v>
      </c>
      <c r="D606" s="25" t="s">
        <v>88</v>
      </c>
      <c r="E606" s="9">
        <v>8900000</v>
      </c>
      <c r="F606" s="26">
        <v>0.8</v>
      </c>
      <c r="G606" s="25">
        <v>55</v>
      </c>
      <c r="H606" s="27">
        <v>7.2</v>
      </c>
      <c r="I606" s="21" t="str">
        <f t="shared" si="36"/>
        <v>Cumple</v>
      </c>
      <c r="J606" s="22" t="str">
        <f t="shared" si="37"/>
        <v>Sin bono</v>
      </c>
      <c r="K606" s="23" t="str">
        <f t="shared" si="38"/>
        <v>OK</v>
      </c>
      <c r="L606" s="24" t="str">
        <f t="shared" si="39"/>
        <v>Revisar</v>
      </c>
    </row>
    <row r="607" spans="1:12" ht="18" customHeight="1" x14ac:dyDescent="0.3">
      <c r="A607" s="18" t="s">
        <v>1261</v>
      </c>
      <c r="B607" s="5" t="s">
        <v>1262</v>
      </c>
      <c r="C607" s="18" t="s">
        <v>67</v>
      </c>
      <c r="D607" s="18" t="s">
        <v>68</v>
      </c>
      <c r="E607" s="6">
        <v>6900000</v>
      </c>
      <c r="F607" s="19">
        <v>0.46</v>
      </c>
      <c r="G607" s="18">
        <v>65</v>
      </c>
      <c r="H607" s="20">
        <v>11.7</v>
      </c>
      <c r="I607" s="21" t="str">
        <f t="shared" si="36"/>
        <v>No cumple</v>
      </c>
      <c r="J607" s="22" t="str">
        <f t="shared" si="37"/>
        <v>Sin bono</v>
      </c>
      <c r="K607" s="23" t="str">
        <f t="shared" si="38"/>
        <v>ALERTA</v>
      </c>
      <c r="L607" s="24" t="str">
        <f t="shared" si="39"/>
        <v>Revisar</v>
      </c>
    </row>
    <row r="608" spans="1:12" ht="18" customHeight="1" x14ac:dyDescent="0.3">
      <c r="A608" s="25" t="s">
        <v>1263</v>
      </c>
      <c r="B608" s="8" t="s">
        <v>1264</v>
      </c>
      <c r="C608" s="25" t="s">
        <v>67</v>
      </c>
      <c r="D608" s="25" t="s">
        <v>64</v>
      </c>
      <c r="E608" s="9">
        <v>3300000</v>
      </c>
      <c r="F608" s="26">
        <v>0.77</v>
      </c>
      <c r="G608" s="25">
        <v>90</v>
      </c>
      <c r="H608" s="27">
        <v>13.8</v>
      </c>
      <c r="I608" s="21" t="str">
        <f t="shared" si="36"/>
        <v>No cumple</v>
      </c>
      <c r="J608" s="22" t="str">
        <f t="shared" si="37"/>
        <v>Sin bono</v>
      </c>
      <c r="K608" s="23" t="str">
        <f t="shared" si="38"/>
        <v>OK</v>
      </c>
      <c r="L608" s="24" t="str">
        <f t="shared" si="39"/>
        <v>Revisar</v>
      </c>
    </row>
    <row r="609" spans="1:12" ht="18" customHeight="1" x14ac:dyDescent="0.3">
      <c r="A609" s="18" t="s">
        <v>1265</v>
      </c>
      <c r="B609" s="5" t="s">
        <v>1266</v>
      </c>
      <c r="C609" s="18" t="s">
        <v>81</v>
      </c>
      <c r="D609" s="18" t="s">
        <v>114</v>
      </c>
      <c r="E609" s="6">
        <v>11700000</v>
      </c>
      <c r="F609" s="19">
        <v>0.74</v>
      </c>
      <c r="G609" s="18">
        <v>43</v>
      </c>
      <c r="H609" s="20">
        <v>2.5</v>
      </c>
      <c r="I609" s="21" t="str">
        <f t="shared" si="36"/>
        <v>No cumple</v>
      </c>
      <c r="J609" s="22" t="str">
        <f t="shared" si="37"/>
        <v>Sin bono</v>
      </c>
      <c r="K609" s="23" t="str">
        <f t="shared" si="38"/>
        <v>ALERTA</v>
      </c>
      <c r="L609" s="24" t="str">
        <f t="shared" si="39"/>
        <v>Revisar</v>
      </c>
    </row>
    <row r="610" spans="1:12" ht="18" customHeight="1" x14ac:dyDescent="0.3">
      <c r="A610" s="25" t="s">
        <v>1267</v>
      </c>
      <c r="B610" s="8" t="s">
        <v>1268</v>
      </c>
      <c r="C610" s="25" t="s">
        <v>81</v>
      </c>
      <c r="D610" s="25" t="s">
        <v>105</v>
      </c>
      <c r="E610" s="9">
        <v>5200000</v>
      </c>
      <c r="F610" s="26">
        <v>0.46</v>
      </c>
      <c r="G610" s="25">
        <v>78</v>
      </c>
      <c r="H610" s="27">
        <v>7.2</v>
      </c>
      <c r="I610" s="21" t="str">
        <f t="shared" si="36"/>
        <v>No cumple</v>
      </c>
      <c r="J610" s="22" t="str">
        <f t="shared" si="37"/>
        <v>Sin bono</v>
      </c>
      <c r="K610" s="23" t="str">
        <f t="shared" si="38"/>
        <v>ALERTA</v>
      </c>
      <c r="L610" s="24" t="str">
        <f t="shared" si="39"/>
        <v>Revisar</v>
      </c>
    </row>
    <row r="611" spans="1:12" ht="18" customHeight="1" x14ac:dyDescent="0.3">
      <c r="A611" s="18" t="s">
        <v>1269</v>
      </c>
      <c r="B611" s="5" t="s">
        <v>1270</v>
      </c>
      <c r="C611" s="18" t="s">
        <v>91</v>
      </c>
      <c r="D611" s="18" t="s">
        <v>105</v>
      </c>
      <c r="E611" s="6">
        <v>11800000</v>
      </c>
      <c r="F611" s="19">
        <v>0.69</v>
      </c>
      <c r="G611" s="18">
        <v>67</v>
      </c>
      <c r="H611" s="20">
        <v>10.9</v>
      </c>
      <c r="I611" s="21" t="str">
        <f t="shared" si="36"/>
        <v>No cumple</v>
      </c>
      <c r="J611" s="22" t="str">
        <f t="shared" si="37"/>
        <v>Sin bono</v>
      </c>
      <c r="K611" s="23" t="str">
        <f t="shared" si="38"/>
        <v>OK</v>
      </c>
      <c r="L611" s="24" t="str">
        <f t="shared" si="39"/>
        <v>Revisar</v>
      </c>
    </row>
    <row r="612" spans="1:12" ht="18" customHeight="1" x14ac:dyDescent="0.3">
      <c r="A612" s="25" t="s">
        <v>1271</v>
      </c>
      <c r="B612" s="8" t="s">
        <v>1272</v>
      </c>
      <c r="C612" s="25" t="s">
        <v>81</v>
      </c>
      <c r="D612" s="25" t="s">
        <v>92</v>
      </c>
      <c r="E612" s="9">
        <v>8700000</v>
      </c>
      <c r="F612" s="26">
        <v>0.6</v>
      </c>
      <c r="G612" s="25">
        <v>100</v>
      </c>
      <c r="H612" s="27">
        <v>3.2</v>
      </c>
      <c r="I612" s="21" t="str">
        <f t="shared" si="36"/>
        <v>No cumple</v>
      </c>
      <c r="J612" s="22" t="str">
        <f t="shared" si="37"/>
        <v>Sin bono</v>
      </c>
      <c r="K612" s="23" t="str">
        <f t="shared" si="38"/>
        <v>OK</v>
      </c>
      <c r="L612" s="24" t="str">
        <f t="shared" si="39"/>
        <v>Revisar</v>
      </c>
    </row>
    <row r="613" spans="1:12" ht="18" customHeight="1" x14ac:dyDescent="0.3">
      <c r="A613" s="18" t="s">
        <v>1273</v>
      </c>
      <c r="B613" s="5" t="s">
        <v>1274</v>
      </c>
      <c r="C613" s="18" t="s">
        <v>91</v>
      </c>
      <c r="D613" s="18" t="s">
        <v>92</v>
      </c>
      <c r="E613" s="6">
        <v>10700000</v>
      </c>
      <c r="F613" s="19">
        <v>0.57999999999999996</v>
      </c>
      <c r="G613" s="18">
        <v>38</v>
      </c>
      <c r="H613" s="20">
        <v>13.2</v>
      </c>
      <c r="I613" s="21" t="str">
        <f t="shared" si="36"/>
        <v>No cumple</v>
      </c>
      <c r="J613" s="22" t="str">
        <f t="shared" si="37"/>
        <v>Sin bono</v>
      </c>
      <c r="K613" s="23" t="str">
        <f t="shared" si="38"/>
        <v>ALERTA</v>
      </c>
      <c r="L613" s="24" t="str">
        <f t="shared" si="39"/>
        <v>Revisar</v>
      </c>
    </row>
    <row r="614" spans="1:12" ht="18" customHeight="1" x14ac:dyDescent="0.3">
      <c r="A614" s="25" t="s">
        <v>1275</v>
      </c>
      <c r="B614" s="8" t="s">
        <v>1276</v>
      </c>
      <c r="C614" s="25" t="s">
        <v>77</v>
      </c>
      <c r="D614" s="25" t="s">
        <v>114</v>
      </c>
      <c r="E614" s="9">
        <v>10600000</v>
      </c>
      <c r="F614" s="26">
        <v>0.61</v>
      </c>
      <c r="G614" s="25">
        <v>82</v>
      </c>
      <c r="H614" s="27">
        <v>12.8</v>
      </c>
      <c r="I614" s="21" t="str">
        <f t="shared" si="36"/>
        <v>No cumple</v>
      </c>
      <c r="J614" s="22" t="str">
        <f t="shared" si="37"/>
        <v>Sin bono</v>
      </c>
      <c r="K614" s="23" t="str">
        <f t="shared" si="38"/>
        <v>OK</v>
      </c>
      <c r="L614" s="24" t="str">
        <f t="shared" si="39"/>
        <v>Revisar</v>
      </c>
    </row>
    <row r="615" spans="1:12" ht="18" customHeight="1" x14ac:dyDescent="0.3">
      <c r="A615" s="18" t="s">
        <v>1277</v>
      </c>
      <c r="B615" s="5" t="s">
        <v>1278</v>
      </c>
      <c r="C615" s="18" t="s">
        <v>74</v>
      </c>
      <c r="D615" s="18" t="s">
        <v>64</v>
      </c>
      <c r="E615" s="6">
        <v>4400000</v>
      </c>
      <c r="F615" s="19">
        <v>0.55000000000000004</v>
      </c>
      <c r="G615" s="18">
        <v>34</v>
      </c>
      <c r="H615" s="20">
        <v>4</v>
      </c>
      <c r="I615" s="21" t="str">
        <f t="shared" si="36"/>
        <v>No cumple</v>
      </c>
      <c r="J615" s="22" t="str">
        <f t="shared" si="37"/>
        <v>Sin bono</v>
      </c>
      <c r="K615" s="23" t="str">
        <f t="shared" si="38"/>
        <v>ALERTA</v>
      </c>
      <c r="L615" s="24" t="str">
        <f t="shared" si="39"/>
        <v>Revisar</v>
      </c>
    </row>
    <row r="616" spans="1:12" ht="18" customHeight="1" x14ac:dyDescent="0.3">
      <c r="A616" s="25" t="s">
        <v>1279</v>
      </c>
      <c r="B616" s="8" t="s">
        <v>1280</v>
      </c>
      <c r="C616" s="25" t="s">
        <v>91</v>
      </c>
      <c r="D616" s="25" t="s">
        <v>92</v>
      </c>
      <c r="E616" s="9">
        <v>5600000</v>
      </c>
      <c r="F616" s="26">
        <v>0.78</v>
      </c>
      <c r="G616" s="25">
        <v>39</v>
      </c>
      <c r="H616" s="27">
        <v>0.3</v>
      </c>
      <c r="I616" s="21" t="str">
        <f t="shared" si="36"/>
        <v>No cumple</v>
      </c>
      <c r="J616" s="22" t="str">
        <f t="shared" si="37"/>
        <v>Sin bono</v>
      </c>
      <c r="K616" s="23" t="str">
        <f t="shared" si="38"/>
        <v>ALERTA</v>
      </c>
      <c r="L616" s="24" t="str">
        <f t="shared" si="39"/>
        <v>Revisar</v>
      </c>
    </row>
    <row r="617" spans="1:12" ht="18" customHeight="1" x14ac:dyDescent="0.3">
      <c r="A617" s="18" t="s">
        <v>1281</v>
      </c>
      <c r="B617" s="5" t="s">
        <v>1282</v>
      </c>
      <c r="C617" s="18" t="s">
        <v>74</v>
      </c>
      <c r="D617" s="18" t="s">
        <v>105</v>
      </c>
      <c r="E617" s="6">
        <v>10900000</v>
      </c>
      <c r="F617" s="19">
        <v>0.48</v>
      </c>
      <c r="G617" s="18">
        <v>83</v>
      </c>
      <c r="H617" s="20">
        <v>16.399999999999999</v>
      </c>
      <c r="I617" s="21" t="str">
        <f t="shared" si="36"/>
        <v>No cumple</v>
      </c>
      <c r="J617" s="22" t="str">
        <f t="shared" si="37"/>
        <v>Sin bono</v>
      </c>
      <c r="K617" s="23" t="str">
        <f t="shared" si="38"/>
        <v>ALERTA</v>
      </c>
      <c r="L617" s="24" t="str">
        <f t="shared" si="39"/>
        <v>Revisar</v>
      </c>
    </row>
    <row r="618" spans="1:12" ht="18" customHeight="1" x14ac:dyDescent="0.3">
      <c r="A618" s="25" t="s">
        <v>1283</v>
      </c>
      <c r="B618" s="8" t="s">
        <v>1284</v>
      </c>
      <c r="C618" s="25" t="s">
        <v>59</v>
      </c>
      <c r="D618" s="25" t="s">
        <v>64</v>
      </c>
      <c r="E618" s="9">
        <v>3700000</v>
      </c>
      <c r="F618" s="26">
        <v>0.91</v>
      </c>
      <c r="G618" s="25">
        <v>39</v>
      </c>
      <c r="H618" s="27">
        <v>18.899999999999999</v>
      </c>
      <c r="I618" s="21" t="str">
        <f t="shared" si="36"/>
        <v>Cumple</v>
      </c>
      <c r="J618" s="22" t="str">
        <f t="shared" si="37"/>
        <v>Sin bono</v>
      </c>
      <c r="K618" s="23" t="str">
        <f t="shared" si="38"/>
        <v>ALERTA</v>
      </c>
      <c r="L618" s="24" t="str">
        <f t="shared" si="39"/>
        <v>Revisar</v>
      </c>
    </row>
    <row r="619" spans="1:12" ht="18" customHeight="1" x14ac:dyDescent="0.3">
      <c r="A619" s="18" t="s">
        <v>1285</v>
      </c>
      <c r="B619" s="5" t="s">
        <v>1286</v>
      </c>
      <c r="C619" s="18" t="s">
        <v>74</v>
      </c>
      <c r="D619" s="18" t="s">
        <v>60</v>
      </c>
      <c r="E619" s="6">
        <v>9600000</v>
      </c>
      <c r="F619" s="19">
        <v>0.66</v>
      </c>
      <c r="G619" s="18">
        <v>54</v>
      </c>
      <c r="H619" s="20">
        <v>10.5</v>
      </c>
      <c r="I619" s="21" t="str">
        <f t="shared" si="36"/>
        <v>No cumple</v>
      </c>
      <c r="J619" s="22" t="str">
        <f t="shared" si="37"/>
        <v>Sin bono</v>
      </c>
      <c r="K619" s="23" t="str">
        <f t="shared" si="38"/>
        <v>OK</v>
      </c>
      <c r="L619" s="24" t="str">
        <f t="shared" si="39"/>
        <v>Revisar</v>
      </c>
    </row>
    <row r="620" spans="1:12" ht="18" customHeight="1" x14ac:dyDescent="0.3">
      <c r="A620" s="25" t="s">
        <v>1287</v>
      </c>
      <c r="B620" s="8" t="s">
        <v>1288</v>
      </c>
      <c r="C620" s="25" t="s">
        <v>71</v>
      </c>
      <c r="D620" s="25" t="s">
        <v>68</v>
      </c>
      <c r="E620" s="9">
        <v>4100000</v>
      </c>
      <c r="F620" s="26">
        <v>0.87</v>
      </c>
      <c r="G620" s="25">
        <v>75</v>
      </c>
      <c r="H620" s="27">
        <v>13.5</v>
      </c>
      <c r="I620" s="21" t="str">
        <f t="shared" si="36"/>
        <v>Cumple</v>
      </c>
      <c r="J620" s="22" t="str">
        <f t="shared" si="37"/>
        <v>BONO</v>
      </c>
      <c r="K620" s="23" t="str">
        <f t="shared" si="38"/>
        <v>OK</v>
      </c>
      <c r="L620" s="24" t="str">
        <f t="shared" si="39"/>
        <v>Bueno</v>
      </c>
    </row>
    <row r="621" spans="1:12" ht="18" customHeight="1" x14ac:dyDescent="0.3">
      <c r="A621" s="18" t="s">
        <v>1289</v>
      </c>
      <c r="B621" s="5" t="s">
        <v>1290</v>
      </c>
      <c r="C621" s="18" t="s">
        <v>74</v>
      </c>
      <c r="D621" s="18" t="s">
        <v>114</v>
      </c>
      <c r="E621" s="6">
        <v>5100000</v>
      </c>
      <c r="F621" s="19">
        <v>0.75</v>
      </c>
      <c r="G621" s="18">
        <v>94</v>
      </c>
      <c r="H621" s="20">
        <v>6.8</v>
      </c>
      <c r="I621" s="21" t="str">
        <f t="shared" si="36"/>
        <v>No cumple</v>
      </c>
      <c r="J621" s="22" t="str">
        <f t="shared" si="37"/>
        <v>Sin bono</v>
      </c>
      <c r="K621" s="23" t="str">
        <f t="shared" si="38"/>
        <v>OK</v>
      </c>
      <c r="L621" s="24" t="str">
        <f t="shared" si="39"/>
        <v>Revisar</v>
      </c>
    </row>
    <row r="622" spans="1:12" ht="18" customHeight="1" x14ac:dyDescent="0.3">
      <c r="A622" s="25" t="s">
        <v>1291</v>
      </c>
      <c r="B622" s="8" t="s">
        <v>1292</v>
      </c>
      <c r="C622" s="25" t="s">
        <v>63</v>
      </c>
      <c r="D622" s="25" t="s">
        <v>92</v>
      </c>
      <c r="E622" s="9">
        <v>10500000</v>
      </c>
      <c r="F622" s="26">
        <v>0.57999999999999996</v>
      </c>
      <c r="G622" s="25">
        <v>99</v>
      </c>
      <c r="H622" s="27">
        <v>4.3</v>
      </c>
      <c r="I622" s="21" t="str">
        <f t="shared" si="36"/>
        <v>No cumple</v>
      </c>
      <c r="J622" s="22" t="str">
        <f t="shared" si="37"/>
        <v>Sin bono</v>
      </c>
      <c r="K622" s="23" t="str">
        <f t="shared" si="38"/>
        <v>ALERTA</v>
      </c>
      <c r="L622" s="24" t="str">
        <f t="shared" si="39"/>
        <v>Revisar</v>
      </c>
    </row>
    <row r="623" spans="1:12" ht="18" customHeight="1" x14ac:dyDescent="0.3">
      <c r="A623" s="18" t="s">
        <v>1293</v>
      </c>
      <c r="B623" s="5" t="s">
        <v>1294</v>
      </c>
      <c r="C623" s="18" t="s">
        <v>77</v>
      </c>
      <c r="D623" s="18" t="s">
        <v>105</v>
      </c>
      <c r="E623" s="6">
        <v>7800000</v>
      </c>
      <c r="F623" s="19">
        <v>0.45</v>
      </c>
      <c r="G623" s="18">
        <v>34</v>
      </c>
      <c r="H623" s="20">
        <v>19.7</v>
      </c>
      <c r="I623" s="21" t="str">
        <f t="shared" si="36"/>
        <v>No cumple</v>
      </c>
      <c r="J623" s="22" t="str">
        <f t="shared" si="37"/>
        <v>Sin bono</v>
      </c>
      <c r="K623" s="23" t="str">
        <f t="shared" si="38"/>
        <v>ALERTA</v>
      </c>
      <c r="L623" s="24" t="str">
        <f t="shared" si="39"/>
        <v>Revisar</v>
      </c>
    </row>
    <row r="624" spans="1:12" ht="18" customHeight="1" x14ac:dyDescent="0.3">
      <c r="A624" s="25" t="s">
        <v>1295</v>
      </c>
      <c r="B624" s="8" t="s">
        <v>1296</v>
      </c>
      <c r="C624" s="25" t="s">
        <v>71</v>
      </c>
      <c r="D624" s="25" t="s">
        <v>88</v>
      </c>
      <c r="E624" s="9">
        <v>2800000</v>
      </c>
      <c r="F624" s="26">
        <v>0.62</v>
      </c>
      <c r="G624" s="25">
        <v>58</v>
      </c>
      <c r="H624" s="27">
        <v>4.3</v>
      </c>
      <c r="I624" s="21" t="str">
        <f t="shared" si="36"/>
        <v>No cumple</v>
      </c>
      <c r="J624" s="22" t="str">
        <f t="shared" si="37"/>
        <v>Sin bono</v>
      </c>
      <c r="K624" s="23" t="str">
        <f t="shared" si="38"/>
        <v>OK</v>
      </c>
      <c r="L624" s="24" t="str">
        <f t="shared" si="39"/>
        <v>Revisar</v>
      </c>
    </row>
    <row r="625" spans="1:12" ht="18" customHeight="1" x14ac:dyDescent="0.3">
      <c r="A625" s="18" t="s">
        <v>1297</v>
      </c>
      <c r="B625" s="5" t="s">
        <v>1298</v>
      </c>
      <c r="C625" s="18" t="s">
        <v>59</v>
      </c>
      <c r="D625" s="18" t="s">
        <v>114</v>
      </c>
      <c r="E625" s="6">
        <v>4000000</v>
      </c>
      <c r="F625" s="19">
        <v>0.47</v>
      </c>
      <c r="G625" s="18">
        <v>75</v>
      </c>
      <c r="H625" s="20">
        <v>3.1</v>
      </c>
      <c r="I625" s="21" t="str">
        <f t="shared" si="36"/>
        <v>No cumple</v>
      </c>
      <c r="J625" s="22" t="str">
        <f t="shared" si="37"/>
        <v>Sin bono</v>
      </c>
      <c r="K625" s="23" t="str">
        <f t="shared" si="38"/>
        <v>ALERTA</v>
      </c>
      <c r="L625" s="24" t="str">
        <f t="shared" si="39"/>
        <v>Revisar</v>
      </c>
    </row>
    <row r="626" spans="1:12" ht="18" customHeight="1" x14ac:dyDescent="0.3">
      <c r="A626" s="25" t="s">
        <v>1299</v>
      </c>
      <c r="B626" s="8" t="s">
        <v>1300</v>
      </c>
      <c r="C626" s="25" t="s">
        <v>59</v>
      </c>
      <c r="D626" s="25" t="s">
        <v>78</v>
      </c>
      <c r="E626" s="9">
        <v>10100000</v>
      </c>
      <c r="F626" s="26">
        <v>0.67</v>
      </c>
      <c r="G626" s="25">
        <v>57</v>
      </c>
      <c r="H626" s="27">
        <v>14.7</v>
      </c>
      <c r="I626" s="21" t="str">
        <f t="shared" si="36"/>
        <v>No cumple</v>
      </c>
      <c r="J626" s="22" t="str">
        <f t="shared" si="37"/>
        <v>Sin bono</v>
      </c>
      <c r="K626" s="23" t="str">
        <f t="shared" si="38"/>
        <v>OK</v>
      </c>
      <c r="L626" s="24" t="str">
        <f t="shared" si="39"/>
        <v>Revisar</v>
      </c>
    </row>
    <row r="627" spans="1:12" ht="18" customHeight="1" x14ac:dyDescent="0.3">
      <c r="A627" s="18" t="s">
        <v>1301</v>
      </c>
      <c r="B627" s="5" t="s">
        <v>1302</v>
      </c>
      <c r="C627" s="18" t="s">
        <v>77</v>
      </c>
      <c r="D627" s="18" t="s">
        <v>78</v>
      </c>
      <c r="E627" s="6">
        <v>10400000</v>
      </c>
      <c r="F627" s="19">
        <v>0.8</v>
      </c>
      <c r="G627" s="18">
        <v>34</v>
      </c>
      <c r="H627" s="20">
        <v>14.6</v>
      </c>
      <c r="I627" s="21" t="str">
        <f t="shared" si="36"/>
        <v>Cumple</v>
      </c>
      <c r="J627" s="22" t="str">
        <f t="shared" si="37"/>
        <v>Sin bono</v>
      </c>
      <c r="K627" s="23" t="str">
        <f t="shared" si="38"/>
        <v>ALERTA</v>
      </c>
      <c r="L627" s="24" t="str">
        <f t="shared" si="39"/>
        <v>Revisar</v>
      </c>
    </row>
    <row r="628" spans="1:12" ht="18" customHeight="1" x14ac:dyDescent="0.3">
      <c r="A628" s="25" t="s">
        <v>1303</v>
      </c>
      <c r="B628" s="8" t="s">
        <v>1304</v>
      </c>
      <c r="C628" s="25" t="s">
        <v>91</v>
      </c>
      <c r="D628" s="25" t="s">
        <v>92</v>
      </c>
      <c r="E628" s="9">
        <v>7200000</v>
      </c>
      <c r="F628" s="26">
        <v>0.93</v>
      </c>
      <c r="G628" s="25">
        <v>85</v>
      </c>
      <c r="H628" s="27">
        <v>8.3000000000000007</v>
      </c>
      <c r="I628" s="21" t="str">
        <f t="shared" si="36"/>
        <v>Cumple</v>
      </c>
      <c r="J628" s="22" t="str">
        <f t="shared" si="37"/>
        <v>BONO</v>
      </c>
      <c r="K628" s="23" t="str">
        <f t="shared" si="38"/>
        <v>OK</v>
      </c>
      <c r="L628" s="24" t="str">
        <f t="shared" si="39"/>
        <v>Excelente</v>
      </c>
    </row>
    <row r="629" spans="1:12" ht="18" customHeight="1" x14ac:dyDescent="0.3">
      <c r="A629" s="18" t="s">
        <v>1305</v>
      </c>
      <c r="B629" s="5" t="s">
        <v>1306</v>
      </c>
      <c r="C629" s="18" t="s">
        <v>67</v>
      </c>
      <c r="D629" s="18" t="s">
        <v>64</v>
      </c>
      <c r="E629" s="6">
        <v>10900000</v>
      </c>
      <c r="F629" s="19">
        <v>0.88</v>
      </c>
      <c r="G629" s="18">
        <v>78</v>
      </c>
      <c r="H629" s="20">
        <v>1.1000000000000001</v>
      </c>
      <c r="I629" s="21" t="str">
        <f t="shared" si="36"/>
        <v>Cumple</v>
      </c>
      <c r="J629" s="22" t="str">
        <f t="shared" si="37"/>
        <v>BONO</v>
      </c>
      <c r="K629" s="23" t="str">
        <f t="shared" si="38"/>
        <v>OK</v>
      </c>
      <c r="L629" s="24" t="str">
        <f t="shared" si="39"/>
        <v>Bueno</v>
      </c>
    </row>
    <row r="630" spans="1:12" ht="18" customHeight="1" x14ac:dyDescent="0.3">
      <c r="A630" s="25" t="s">
        <v>1307</v>
      </c>
      <c r="B630" s="8" t="s">
        <v>1308</v>
      </c>
      <c r="C630" s="25" t="s">
        <v>63</v>
      </c>
      <c r="D630" s="25" t="s">
        <v>105</v>
      </c>
      <c r="E630" s="9">
        <v>10400000</v>
      </c>
      <c r="F630" s="26">
        <v>0.77</v>
      </c>
      <c r="G630" s="25">
        <v>41</v>
      </c>
      <c r="H630" s="27">
        <v>4.4000000000000004</v>
      </c>
      <c r="I630" s="21" t="str">
        <f t="shared" si="36"/>
        <v>No cumple</v>
      </c>
      <c r="J630" s="22" t="str">
        <f t="shared" si="37"/>
        <v>Sin bono</v>
      </c>
      <c r="K630" s="23" t="str">
        <f t="shared" si="38"/>
        <v>ALERTA</v>
      </c>
      <c r="L630" s="24" t="str">
        <f t="shared" si="39"/>
        <v>Revisar</v>
      </c>
    </row>
    <row r="631" spans="1:12" ht="18" customHeight="1" x14ac:dyDescent="0.3">
      <c r="A631" s="18" t="s">
        <v>1309</v>
      </c>
      <c r="B631" s="5" t="s">
        <v>1310</v>
      </c>
      <c r="C631" s="18" t="s">
        <v>74</v>
      </c>
      <c r="D631" s="18" t="s">
        <v>105</v>
      </c>
      <c r="E631" s="6">
        <v>10100000</v>
      </c>
      <c r="F631" s="19">
        <v>0.86</v>
      </c>
      <c r="G631" s="18">
        <v>100</v>
      </c>
      <c r="H631" s="20">
        <v>8</v>
      </c>
      <c r="I631" s="21" t="str">
        <f t="shared" si="36"/>
        <v>Cumple</v>
      </c>
      <c r="J631" s="22" t="str">
        <f t="shared" si="37"/>
        <v>BONO</v>
      </c>
      <c r="K631" s="23" t="str">
        <f t="shared" si="38"/>
        <v>OK</v>
      </c>
      <c r="L631" s="24" t="str">
        <f t="shared" si="39"/>
        <v>Bueno</v>
      </c>
    </row>
    <row r="632" spans="1:12" ht="18" customHeight="1" x14ac:dyDescent="0.3">
      <c r="A632" s="25" t="s">
        <v>1311</v>
      </c>
      <c r="B632" s="8" t="s">
        <v>1312</v>
      </c>
      <c r="C632" s="25" t="s">
        <v>71</v>
      </c>
      <c r="D632" s="25" t="s">
        <v>114</v>
      </c>
      <c r="E632" s="9">
        <v>8900000</v>
      </c>
      <c r="F632" s="26">
        <v>0.76</v>
      </c>
      <c r="G632" s="25">
        <v>92</v>
      </c>
      <c r="H632" s="27">
        <v>7.9</v>
      </c>
      <c r="I632" s="21" t="str">
        <f t="shared" si="36"/>
        <v>No cumple</v>
      </c>
      <c r="J632" s="22" t="str">
        <f t="shared" si="37"/>
        <v>Sin bono</v>
      </c>
      <c r="K632" s="23" t="str">
        <f t="shared" si="38"/>
        <v>OK</v>
      </c>
      <c r="L632" s="24" t="str">
        <f t="shared" si="39"/>
        <v>Revisar</v>
      </c>
    </row>
    <row r="633" spans="1:12" ht="18" customHeight="1" x14ac:dyDescent="0.3">
      <c r="A633" s="18" t="s">
        <v>1313</v>
      </c>
      <c r="B633" s="5" t="s">
        <v>1314</v>
      </c>
      <c r="C633" s="18" t="s">
        <v>67</v>
      </c>
      <c r="D633" s="18" t="s">
        <v>60</v>
      </c>
      <c r="E633" s="6">
        <v>3700000</v>
      </c>
      <c r="F633" s="19">
        <v>0.6</v>
      </c>
      <c r="G633" s="18">
        <v>85</v>
      </c>
      <c r="H633" s="20">
        <v>6.5</v>
      </c>
      <c r="I633" s="21" t="str">
        <f t="shared" si="36"/>
        <v>No cumple</v>
      </c>
      <c r="J633" s="22" t="str">
        <f t="shared" si="37"/>
        <v>Sin bono</v>
      </c>
      <c r="K633" s="23" t="str">
        <f t="shared" si="38"/>
        <v>OK</v>
      </c>
      <c r="L633" s="24" t="str">
        <f t="shared" si="39"/>
        <v>Revisar</v>
      </c>
    </row>
    <row r="634" spans="1:12" ht="18" customHeight="1" x14ac:dyDescent="0.3">
      <c r="A634" s="25" t="s">
        <v>1315</v>
      </c>
      <c r="B634" s="8" t="s">
        <v>1316</v>
      </c>
      <c r="C634" s="25" t="s">
        <v>81</v>
      </c>
      <c r="D634" s="25" t="s">
        <v>92</v>
      </c>
      <c r="E634" s="9">
        <v>5200000</v>
      </c>
      <c r="F634" s="26">
        <v>0.63</v>
      </c>
      <c r="G634" s="25">
        <v>33</v>
      </c>
      <c r="H634" s="27">
        <v>15.4</v>
      </c>
      <c r="I634" s="21" t="str">
        <f t="shared" si="36"/>
        <v>No cumple</v>
      </c>
      <c r="J634" s="22" t="str">
        <f t="shared" si="37"/>
        <v>Sin bono</v>
      </c>
      <c r="K634" s="23" t="str">
        <f t="shared" si="38"/>
        <v>ALERTA</v>
      </c>
      <c r="L634" s="24" t="str">
        <f t="shared" si="39"/>
        <v>Revisar</v>
      </c>
    </row>
    <row r="635" spans="1:12" ht="18" customHeight="1" x14ac:dyDescent="0.3">
      <c r="A635" s="18" t="s">
        <v>1317</v>
      </c>
      <c r="B635" s="5" t="s">
        <v>1318</v>
      </c>
      <c r="C635" s="18" t="s">
        <v>77</v>
      </c>
      <c r="D635" s="18" t="s">
        <v>114</v>
      </c>
      <c r="E635" s="6">
        <v>8400000</v>
      </c>
      <c r="F635" s="19">
        <v>0.47</v>
      </c>
      <c r="G635" s="18">
        <v>59</v>
      </c>
      <c r="H635" s="20">
        <v>4</v>
      </c>
      <c r="I635" s="21" t="str">
        <f t="shared" si="36"/>
        <v>No cumple</v>
      </c>
      <c r="J635" s="22" t="str">
        <f t="shared" si="37"/>
        <v>Sin bono</v>
      </c>
      <c r="K635" s="23" t="str">
        <f t="shared" si="38"/>
        <v>ALERTA</v>
      </c>
      <c r="L635" s="24" t="str">
        <f t="shared" si="39"/>
        <v>Revisar</v>
      </c>
    </row>
    <row r="636" spans="1:12" ht="18" customHeight="1" x14ac:dyDescent="0.3">
      <c r="A636" s="25" t="s">
        <v>1319</v>
      </c>
      <c r="B636" s="8" t="s">
        <v>1320</v>
      </c>
      <c r="C636" s="25" t="s">
        <v>74</v>
      </c>
      <c r="D636" s="25" t="s">
        <v>78</v>
      </c>
      <c r="E636" s="9">
        <v>3400000</v>
      </c>
      <c r="F636" s="26">
        <v>0.57999999999999996</v>
      </c>
      <c r="G636" s="25">
        <v>48</v>
      </c>
      <c r="H636" s="27">
        <v>17.399999999999999</v>
      </c>
      <c r="I636" s="21" t="str">
        <f t="shared" si="36"/>
        <v>No cumple</v>
      </c>
      <c r="J636" s="22" t="str">
        <f t="shared" si="37"/>
        <v>Sin bono</v>
      </c>
      <c r="K636" s="23" t="str">
        <f t="shared" si="38"/>
        <v>ALERTA</v>
      </c>
      <c r="L636" s="24" t="str">
        <f t="shared" si="39"/>
        <v>Revisar</v>
      </c>
    </row>
    <row r="637" spans="1:12" ht="18" customHeight="1" x14ac:dyDescent="0.3">
      <c r="A637" s="18" t="s">
        <v>1321</v>
      </c>
      <c r="B637" s="5" t="s">
        <v>1322</v>
      </c>
      <c r="C637" s="18" t="s">
        <v>74</v>
      </c>
      <c r="D637" s="18" t="s">
        <v>88</v>
      </c>
      <c r="E637" s="6">
        <v>8500000</v>
      </c>
      <c r="F637" s="19">
        <v>0.71</v>
      </c>
      <c r="G637" s="18">
        <v>72</v>
      </c>
      <c r="H637" s="20">
        <v>4.2</v>
      </c>
      <c r="I637" s="21" t="str">
        <f t="shared" si="36"/>
        <v>No cumple</v>
      </c>
      <c r="J637" s="22" t="str">
        <f t="shared" si="37"/>
        <v>Sin bono</v>
      </c>
      <c r="K637" s="23" t="str">
        <f t="shared" si="38"/>
        <v>OK</v>
      </c>
      <c r="L637" s="24" t="str">
        <f t="shared" si="39"/>
        <v>Revisar</v>
      </c>
    </row>
    <row r="638" spans="1:12" ht="18" customHeight="1" x14ac:dyDescent="0.3">
      <c r="A638" s="25" t="s">
        <v>1323</v>
      </c>
      <c r="B638" s="8" t="s">
        <v>1324</v>
      </c>
      <c r="C638" s="25" t="s">
        <v>67</v>
      </c>
      <c r="D638" s="25" t="s">
        <v>88</v>
      </c>
      <c r="E638" s="9">
        <v>9800000</v>
      </c>
      <c r="F638" s="26">
        <v>0.72</v>
      </c>
      <c r="G638" s="25">
        <v>48</v>
      </c>
      <c r="H638" s="27">
        <v>13.9</v>
      </c>
      <c r="I638" s="21" t="str">
        <f t="shared" si="36"/>
        <v>No cumple</v>
      </c>
      <c r="J638" s="22" t="str">
        <f t="shared" si="37"/>
        <v>Sin bono</v>
      </c>
      <c r="K638" s="23" t="str">
        <f t="shared" si="38"/>
        <v>ALERTA</v>
      </c>
      <c r="L638" s="24" t="str">
        <f t="shared" si="39"/>
        <v>Revisar</v>
      </c>
    </row>
    <row r="639" spans="1:12" ht="18" customHeight="1" x14ac:dyDescent="0.3">
      <c r="A639" s="18" t="s">
        <v>1325</v>
      </c>
      <c r="B639" s="5" t="s">
        <v>1326</v>
      </c>
      <c r="C639" s="18" t="s">
        <v>91</v>
      </c>
      <c r="D639" s="18" t="s">
        <v>88</v>
      </c>
      <c r="E639" s="6">
        <v>4900000</v>
      </c>
      <c r="F639" s="19">
        <v>0.48</v>
      </c>
      <c r="G639" s="18">
        <v>55</v>
      </c>
      <c r="H639" s="20">
        <v>15.8</v>
      </c>
      <c r="I639" s="21" t="str">
        <f t="shared" si="36"/>
        <v>No cumple</v>
      </c>
      <c r="J639" s="22" t="str">
        <f t="shared" si="37"/>
        <v>Sin bono</v>
      </c>
      <c r="K639" s="23" t="str">
        <f t="shared" si="38"/>
        <v>ALERTA</v>
      </c>
      <c r="L639" s="24" t="str">
        <f t="shared" si="39"/>
        <v>Revisar</v>
      </c>
    </row>
    <row r="640" spans="1:12" ht="18" customHeight="1" x14ac:dyDescent="0.3">
      <c r="A640" s="25" t="s">
        <v>1327</v>
      </c>
      <c r="B640" s="8" t="s">
        <v>1328</v>
      </c>
      <c r="C640" s="25" t="s">
        <v>91</v>
      </c>
      <c r="D640" s="25" t="s">
        <v>78</v>
      </c>
      <c r="E640" s="9">
        <v>7700000</v>
      </c>
      <c r="F640" s="26">
        <v>0.81</v>
      </c>
      <c r="G640" s="25">
        <v>76</v>
      </c>
      <c r="H640" s="27">
        <v>17.3</v>
      </c>
      <c r="I640" s="21" t="str">
        <f t="shared" si="36"/>
        <v>Cumple</v>
      </c>
      <c r="J640" s="22" t="str">
        <f t="shared" si="37"/>
        <v>BONO</v>
      </c>
      <c r="K640" s="23" t="str">
        <f t="shared" si="38"/>
        <v>OK</v>
      </c>
      <c r="L640" s="24" t="str">
        <f t="shared" si="39"/>
        <v>Bueno</v>
      </c>
    </row>
    <row r="641" spans="1:12" ht="18" customHeight="1" x14ac:dyDescent="0.3">
      <c r="A641" s="18" t="s">
        <v>1329</v>
      </c>
      <c r="B641" s="5" t="s">
        <v>1330</v>
      </c>
      <c r="C641" s="18" t="s">
        <v>63</v>
      </c>
      <c r="D641" s="18" t="s">
        <v>78</v>
      </c>
      <c r="E641" s="6">
        <v>6800000</v>
      </c>
      <c r="F641" s="19">
        <v>0.72</v>
      </c>
      <c r="G641" s="18">
        <v>98</v>
      </c>
      <c r="H641" s="20">
        <v>1.8</v>
      </c>
      <c r="I641" s="21" t="str">
        <f t="shared" si="36"/>
        <v>No cumple</v>
      </c>
      <c r="J641" s="22" t="str">
        <f t="shared" si="37"/>
        <v>Sin bono</v>
      </c>
      <c r="K641" s="23" t="str">
        <f t="shared" si="38"/>
        <v>OK</v>
      </c>
      <c r="L641" s="24" t="str">
        <f t="shared" si="39"/>
        <v>Revisar</v>
      </c>
    </row>
    <row r="642" spans="1:12" ht="18" customHeight="1" x14ac:dyDescent="0.3">
      <c r="A642" s="25" t="s">
        <v>1331</v>
      </c>
      <c r="B642" s="8" t="s">
        <v>1332</v>
      </c>
      <c r="C642" s="25" t="s">
        <v>91</v>
      </c>
      <c r="D642" s="25" t="s">
        <v>64</v>
      </c>
      <c r="E642" s="9">
        <v>5900000</v>
      </c>
      <c r="F642" s="26">
        <v>0.96</v>
      </c>
      <c r="G642" s="25">
        <v>69</v>
      </c>
      <c r="H642" s="27">
        <v>6.7</v>
      </c>
      <c r="I642" s="21" t="str">
        <f t="shared" si="36"/>
        <v>Cumple</v>
      </c>
      <c r="J642" s="22" t="str">
        <f t="shared" si="37"/>
        <v>Sin bono</v>
      </c>
      <c r="K642" s="23" t="str">
        <f t="shared" si="38"/>
        <v>OK</v>
      </c>
      <c r="L642" s="24" t="str">
        <f t="shared" si="39"/>
        <v>Revisar</v>
      </c>
    </row>
    <row r="643" spans="1:12" ht="18" customHeight="1" x14ac:dyDescent="0.3">
      <c r="A643" s="18" t="s">
        <v>1333</v>
      </c>
      <c r="B643" s="5" t="s">
        <v>1334</v>
      </c>
      <c r="C643" s="18" t="s">
        <v>71</v>
      </c>
      <c r="D643" s="18" t="s">
        <v>64</v>
      </c>
      <c r="E643" s="6">
        <v>7200000</v>
      </c>
      <c r="F643" s="19">
        <v>0.83</v>
      </c>
      <c r="G643" s="18">
        <v>75</v>
      </c>
      <c r="H643" s="20">
        <v>12.5</v>
      </c>
      <c r="I643" s="21" t="str">
        <f t="shared" si="36"/>
        <v>Cumple</v>
      </c>
      <c r="J643" s="22" t="str">
        <f t="shared" si="37"/>
        <v>BONO</v>
      </c>
      <c r="K643" s="23" t="str">
        <f t="shared" si="38"/>
        <v>OK</v>
      </c>
      <c r="L643" s="24" t="str">
        <f t="shared" si="39"/>
        <v>Bueno</v>
      </c>
    </row>
    <row r="644" spans="1:12" ht="18" customHeight="1" x14ac:dyDescent="0.3">
      <c r="A644" s="25" t="s">
        <v>1335</v>
      </c>
      <c r="B644" s="8" t="s">
        <v>1336</v>
      </c>
      <c r="C644" s="25" t="s">
        <v>59</v>
      </c>
      <c r="D644" s="25" t="s">
        <v>68</v>
      </c>
      <c r="E644" s="9">
        <v>3100000</v>
      </c>
      <c r="F644" s="26">
        <v>0.97</v>
      </c>
      <c r="G644" s="25">
        <v>65</v>
      </c>
      <c r="H644" s="27">
        <v>4.5</v>
      </c>
      <c r="I644" s="21" t="str">
        <f t="shared" si="36"/>
        <v>Cumple</v>
      </c>
      <c r="J644" s="22" t="str">
        <f t="shared" si="37"/>
        <v>Sin bono</v>
      </c>
      <c r="K644" s="23" t="str">
        <f t="shared" si="38"/>
        <v>OK</v>
      </c>
      <c r="L644" s="24" t="str">
        <f t="shared" si="39"/>
        <v>Revisar</v>
      </c>
    </row>
    <row r="645" spans="1:12" ht="18" customHeight="1" x14ac:dyDescent="0.3">
      <c r="A645" s="18" t="s">
        <v>1337</v>
      </c>
      <c r="B645" s="5" t="s">
        <v>1338</v>
      </c>
      <c r="C645" s="18" t="s">
        <v>63</v>
      </c>
      <c r="D645" s="18" t="s">
        <v>60</v>
      </c>
      <c r="E645" s="6">
        <v>8100000</v>
      </c>
      <c r="F645" s="19">
        <v>0.57999999999999996</v>
      </c>
      <c r="G645" s="18">
        <v>49</v>
      </c>
      <c r="H645" s="20">
        <v>8.5</v>
      </c>
      <c r="I645" s="21" t="str">
        <f t="shared" si="36"/>
        <v>No cumple</v>
      </c>
      <c r="J645" s="22" t="str">
        <f t="shared" si="37"/>
        <v>Sin bono</v>
      </c>
      <c r="K645" s="23" t="str">
        <f t="shared" si="38"/>
        <v>ALERTA</v>
      </c>
      <c r="L645" s="24" t="str">
        <f t="shared" si="39"/>
        <v>Revisar</v>
      </c>
    </row>
    <row r="646" spans="1:12" ht="18" customHeight="1" x14ac:dyDescent="0.3">
      <c r="A646" s="25" t="s">
        <v>1339</v>
      </c>
      <c r="B646" s="8" t="s">
        <v>1340</v>
      </c>
      <c r="C646" s="25" t="s">
        <v>81</v>
      </c>
      <c r="D646" s="25" t="s">
        <v>105</v>
      </c>
      <c r="E646" s="9">
        <v>9700000</v>
      </c>
      <c r="F646" s="26">
        <v>0.52</v>
      </c>
      <c r="G646" s="25">
        <v>47</v>
      </c>
      <c r="H646" s="27">
        <v>11.6</v>
      </c>
      <c r="I646" s="21" t="str">
        <f t="shared" si="36"/>
        <v>No cumple</v>
      </c>
      <c r="J646" s="22" t="str">
        <f t="shared" si="37"/>
        <v>Sin bono</v>
      </c>
      <c r="K646" s="23" t="str">
        <f t="shared" si="38"/>
        <v>ALERTA</v>
      </c>
      <c r="L646" s="24" t="str">
        <f t="shared" si="39"/>
        <v>Revisar</v>
      </c>
    </row>
    <row r="647" spans="1:12" ht="18" customHeight="1" x14ac:dyDescent="0.3">
      <c r="A647" s="18" t="s">
        <v>1341</v>
      </c>
      <c r="B647" s="5" t="s">
        <v>1342</v>
      </c>
      <c r="C647" s="18" t="s">
        <v>71</v>
      </c>
      <c r="D647" s="18" t="s">
        <v>88</v>
      </c>
      <c r="E647" s="6">
        <v>11600000</v>
      </c>
      <c r="F647" s="19">
        <v>0.84</v>
      </c>
      <c r="G647" s="18">
        <v>97</v>
      </c>
      <c r="H647" s="20">
        <v>18.2</v>
      </c>
      <c r="I647" s="21" t="str">
        <f t="shared" si="36"/>
        <v>Cumple</v>
      </c>
      <c r="J647" s="22" t="str">
        <f t="shared" si="37"/>
        <v>BONO</v>
      </c>
      <c r="K647" s="23" t="str">
        <f t="shared" si="38"/>
        <v>OK</v>
      </c>
      <c r="L647" s="24" t="str">
        <f t="shared" si="39"/>
        <v>Bueno</v>
      </c>
    </row>
    <row r="648" spans="1:12" ht="18" customHeight="1" x14ac:dyDescent="0.3">
      <c r="A648" s="25" t="s">
        <v>1343</v>
      </c>
      <c r="B648" s="8" t="s">
        <v>1344</v>
      </c>
      <c r="C648" s="25" t="s">
        <v>71</v>
      </c>
      <c r="D648" s="25" t="s">
        <v>114</v>
      </c>
      <c r="E648" s="9">
        <v>6800000</v>
      </c>
      <c r="F648" s="26">
        <v>0.49</v>
      </c>
      <c r="G648" s="25">
        <v>98</v>
      </c>
      <c r="H648" s="27">
        <v>19</v>
      </c>
      <c r="I648" s="21" t="str">
        <f t="shared" si="36"/>
        <v>No cumple</v>
      </c>
      <c r="J648" s="22" t="str">
        <f t="shared" si="37"/>
        <v>Sin bono</v>
      </c>
      <c r="K648" s="23" t="str">
        <f t="shared" si="38"/>
        <v>ALERTA</v>
      </c>
      <c r="L648" s="24" t="str">
        <f t="shared" si="39"/>
        <v>Revisar</v>
      </c>
    </row>
    <row r="649" spans="1:12" ht="18" customHeight="1" x14ac:dyDescent="0.3">
      <c r="A649" s="18" t="s">
        <v>1345</v>
      </c>
      <c r="B649" s="5" t="s">
        <v>1346</v>
      </c>
      <c r="C649" s="18" t="s">
        <v>81</v>
      </c>
      <c r="D649" s="18" t="s">
        <v>114</v>
      </c>
      <c r="E649" s="6">
        <v>3100000</v>
      </c>
      <c r="F649" s="19">
        <v>0.87</v>
      </c>
      <c r="G649" s="18">
        <v>82</v>
      </c>
      <c r="H649" s="20">
        <v>19.2</v>
      </c>
      <c r="I649" s="21" t="str">
        <f t="shared" si="36"/>
        <v>Cumple</v>
      </c>
      <c r="J649" s="22" t="str">
        <f t="shared" si="37"/>
        <v>BONO</v>
      </c>
      <c r="K649" s="23" t="str">
        <f t="shared" si="38"/>
        <v>OK</v>
      </c>
      <c r="L649" s="24" t="str">
        <f t="shared" si="39"/>
        <v>Bueno</v>
      </c>
    </row>
    <row r="650" spans="1:12" ht="18" customHeight="1" x14ac:dyDescent="0.3">
      <c r="A650" s="25" t="s">
        <v>1347</v>
      </c>
      <c r="B650" s="8" t="s">
        <v>1348</v>
      </c>
      <c r="C650" s="25" t="s">
        <v>71</v>
      </c>
      <c r="D650" s="25" t="s">
        <v>114</v>
      </c>
      <c r="E650" s="9">
        <v>3100000</v>
      </c>
      <c r="F650" s="26">
        <v>0.87</v>
      </c>
      <c r="G650" s="25">
        <v>64</v>
      </c>
      <c r="H650" s="27">
        <v>12.1</v>
      </c>
      <c r="I650" s="21" t="str">
        <f t="shared" si="36"/>
        <v>Cumple</v>
      </c>
      <c r="J650" s="22" t="str">
        <f t="shared" si="37"/>
        <v>Sin bono</v>
      </c>
      <c r="K650" s="23" t="str">
        <f t="shared" si="38"/>
        <v>OK</v>
      </c>
      <c r="L650" s="24" t="str">
        <f t="shared" si="39"/>
        <v>Revisar</v>
      </c>
    </row>
    <row r="651" spans="1:12" ht="18" customHeight="1" x14ac:dyDescent="0.3">
      <c r="A651" s="18" t="s">
        <v>1349</v>
      </c>
      <c r="B651" s="5" t="s">
        <v>1350</v>
      </c>
      <c r="C651" s="18" t="s">
        <v>67</v>
      </c>
      <c r="D651" s="18" t="s">
        <v>60</v>
      </c>
      <c r="E651" s="6">
        <v>11500000</v>
      </c>
      <c r="F651" s="19">
        <v>0.46</v>
      </c>
      <c r="G651" s="18">
        <v>40</v>
      </c>
      <c r="H651" s="20">
        <v>13.8</v>
      </c>
      <c r="I651" s="21" t="str">
        <f t="shared" si="36"/>
        <v>No cumple</v>
      </c>
      <c r="J651" s="22" t="str">
        <f t="shared" si="37"/>
        <v>Sin bono</v>
      </c>
      <c r="K651" s="23" t="str">
        <f t="shared" si="38"/>
        <v>ALERTA</v>
      </c>
      <c r="L651" s="24" t="str">
        <f t="shared" si="39"/>
        <v>Revisar</v>
      </c>
    </row>
    <row r="652" spans="1:12" ht="18" customHeight="1" x14ac:dyDescent="0.3">
      <c r="A652" s="25" t="s">
        <v>1351</v>
      </c>
      <c r="B652" s="8" t="s">
        <v>1352</v>
      </c>
      <c r="C652" s="25" t="s">
        <v>77</v>
      </c>
      <c r="D652" s="25" t="s">
        <v>92</v>
      </c>
      <c r="E652" s="9">
        <v>5100000</v>
      </c>
      <c r="F652" s="26">
        <v>0.92</v>
      </c>
      <c r="G652" s="25">
        <v>92</v>
      </c>
      <c r="H652" s="27">
        <v>9.5</v>
      </c>
      <c r="I652" s="21" t="str">
        <f t="shared" si="36"/>
        <v>Cumple</v>
      </c>
      <c r="J652" s="22" t="str">
        <f t="shared" si="37"/>
        <v>BONO</v>
      </c>
      <c r="K652" s="23" t="str">
        <f t="shared" si="38"/>
        <v>OK</v>
      </c>
      <c r="L652" s="24" t="str">
        <f t="shared" si="39"/>
        <v>Excelente</v>
      </c>
    </row>
    <row r="653" spans="1:12" ht="18" customHeight="1" x14ac:dyDescent="0.3">
      <c r="A653" s="18" t="s">
        <v>1353</v>
      </c>
      <c r="B653" s="5" t="s">
        <v>1354</v>
      </c>
      <c r="C653" s="18" t="s">
        <v>67</v>
      </c>
      <c r="D653" s="18" t="s">
        <v>64</v>
      </c>
      <c r="E653" s="6">
        <v>8000000</v>
      </c>
      <c r="F653" s="19">
        <v>0.87</v>
      </c>
      <c r="G653" s="18">
        <v>31</v>
      </c>
      <c r="H653" s="20">
        <v>18.5</v>
      </c>
      <c r="I653" s="21" t="str">
        <f t="shared" ref="I653:I716" si="40">IF(F653&gt;=0.8,"Cumple","No cumple")</f>
        <v>Cumple</v>
      </c>
      <c r="J653" s="22" t="str">
        <f t="shared" ref="J653:J716" si="41">IF(AND(F653&gt;=0.8,G653&gt;=70),"BONO","Sin bono")</f>
        <v>Sin bono</v>
      </c>
      <c r="K653" s="23" t="str">
        <f t="shared" ref="K653:K716" si="42">IF(OR(F653&lt;0.6,G653&lt;50),"ALERTA","OK")</f>
        <v>ALERTA</v>
      </c>
      <c r="L653" s="24" t="str">
        <f t="shared" ref="L653:L716" si="43">IF(AND(F653&gt;=0.9,G653&gt;=85),"Excelente",IF(AND(F653&gt;=0.8,G653&gt;=70),"Bueno","Revisar"))</f>
        <v>Revisar</v>
      </c>
    </row>
    <row r="654" spans="1:12" ht="18" customHeight="1" x14ac:dyDescent="0.3">
      <c r="A654" s="25" t="s">
        <v>1355</v>
      </c>
      <c r="B654" s="8" t="s">
        <v>1356</v>
      </c>
      <c r="C654" s="25" t="s">
        <v>67</v>
      </c>
      <c r="D654" s="25" t="s">
        <v>60</v>
      </c>
      <c r="E654" s="9">
        <v>3600000</v>
      </c>
      <c r="F654" s="26">
        <v>0.55000000000000004</v>
      </c>
      <c r="G654" s="25">
        <v>86</v>
      </c>
      <c r="H654" s="27">
        <v>17.3</v>
      </c>
      <c r="I654" s="21" t="str">
        <f t="shared" si="40"/>
        <v>No cumple</v>
      </c>
      <c r="J654" s="22" t="str">
        <f t="shared" si="41"/>
        <v>Sin bono</v>
      </c>
      <c r="K654" s="23" t="str">
        <f t="shared" si="42"/>
        <v>ALERTA</v>
      </c>
      <c r="L654" s="24" t="str">
        <f t="shared" si="43"/>
        <v>Revisar</v>
      </c>
    </row>
    <row r="655" spans="1:12" ht="18" customHeight="1" x14ac:dyDescent="0.3">
      <c r="A655" s="18" t="s">
        <v>1357</v>
      </c>
      <c r="B655" s="5" t="s">
        <v>1358</v>
      </c>
      <c r="C655" s="18" t="s">
        <v>81</v>
      </c>
      <c r="D655" s="18" t="s">
        <v>105</v>
      </c>
      <c r="E655" s="6">
        <v>5900000</v>
      </c>
      <c r="F655" s="19">
        <v>0.69</v>
      </c>
      <c r="G655" s="18">
        <v>35</v>
      </c>
      <c r="H655" s="20">
        <v>12.2</v>
      </c>
      <c r="I655" s="21" t="str">
        <f t="shared" si="40"/>
        <v>No cumple</v>
      </c>
      <c r="J655" s="22" t="str">
        <f t="shared" si="41"/>
        <v>Sin bono</v>
      </c>
      <c r="K655" s="23" t="str">
        <f t="shared" si="42"/>
        <v>ALERTA</v>
      </c>
      <c r="L655" s="24" t="str">
        <f t="shared" si="43"/>
        <v>Revisar</v>
      </c>
    </row>
    <row r="656" spans="1:12" ht="18" customHeight="1" x14ac:dyDescent="0.3">
      <c r="A656" s="25" t="s">
        <v>1359</v>
      </c>
      <c r="B656" s="8" t="s">
        <v>1360</v>
      </c>
      <c r="C656" s="25" t="s">
        <v>91</v>
      </c>
      <c r="D656" s="25" t="s">
        <v>78</v>
      </c>
      <c r="E656" s="9">
        <v>8500000</v>
      </c>
      <c r="F656" s="26">
        <v>0.7</v>
      </c>
      <c r="G656" s="25">
        <v>35</v>
      </c>
      <c r="H656" s="27">
        <v>17.600000000000001</v>
      </c>
      <c r="I656" s="21" t="str">
        <f t="shared" si="40"/>
        <v>No cumple</v>
      </c>
      <c r="J656" s="22" t="str">
        <f t="shared" si="41"/>
        <v>Sin bono</v>
      </c>
      <c r="K656" s="23" t="str">
        <f t="shared" si="42"/>
        <v>ALERTA</v>
      </c>
      <c r="L656" s="24" t="str">
        <f t="shared" si="43"/>
        <v>Revisar</v>
      </c>
    </row>
    <row r="657" spans="1:12" ht="18" customHeight="1" x14ac:dyDescent="0.3">
      <c r="A657" s="18" t="s">
        <v>1361</v>
      </c>
      <c r="B657" s="5" t="s">
        <v>1362</v>
      </c>
      <c r="C657" s="18" t="s">
        <v>63</v>
      </c>
      <c r="D657" s="18" t="s">
        <v>64</v>
      </c>
      <c r="E657" s="6">
        <v>5200000</v>
      </c>
      <c r="F657" s="19">
        <v>0.61</v>
      </c>
      <c r="G657" s="18">
        <v>80</v>
      </c>
      <c r="H657" s="20">
        <v>17.7</v>
      </c>
      <c r="I657" s="21" t="str">
        <f t="shared" si="40"/>
        <v>No cumple</v>
      </c>
      <c r="J657" s="22" t="str">
        <f t="shared" si="41"/>
        <v>Sin bono</v>
      </c>
      <c r="K657" s="23" t="str">
        <f t="shared" si="42"/>
        <v>OK</v>
      </c>
      <c r="L657" s="24" t="str">
        <f t="shared" si="43"/>
        <v>Revisar</v>
      </c>
    </row>
    <row r="658" spans="1:12" ht="18" customHeight="1" x14ac:dyDescent="0.3">
      <c r="A658" s="25" t="s">
        <v>1363</v>
      </c>
      <c r="B658" s="8" t="s">
        <v>1364</v>
      </c>
      <c r="C658" s="25" t="s">
        <v>71</v>
      </c>
      <c r="D658" s="25" t="s">
        <v>68</v>
      </c>
      <c r="E658" s="9">
        <v>6500000</v>
      </c>
      <c r="F658" s="26">
        <v>0.79</v>
      </c>
      <c r="G658" s="25">
        <v>36</v>
      </c>
      <c r="H658" s="27">
        <v>13.8</v>
      </c>
      <c r="I658" s="21" t="str">
        <f t="shared" si="40"/>
        <v>No cumple</v>
      </c>
      <c r="J658" s="22" t="str">
        <f t="shared" si="41"/>
        <v>Sin bono</v>
      </c>
      <c r="K658" s="23" t="str">
        <f t="shared" si="42"/>
        <v>ALERTA</v>
      </c>
      <c r="L658" s="24" t="str">
        <f t="shared" si="43"/>
        <v>Revisar</v>
      </c>
    </row>
    <row r="659" spans="1:12" ht="18" customHeight="1" x14ac:dyDescent="0.3">
      <c r="A659" s="18" t="s">
        <v>1365</v>
      </c>
      <c r="B659" s="5" t="s">
        <v>1366</v>
      </c>
      <c r="C659" s="18" t="s">
        <v>77</v>
      </c>
      <c r="D659" s="18" t="s">
        <v>78</v>
      </c>
      <c r="E659" s="6">
        <v>12000000</v>
      </c>
      <c r="F659" s="19">
        <v>0.73</v>
      </c>
      <c r="G659" s="18">
        <v>53</v>
      </c>
      <c r="H659" s="20">
        <v>15.6</v>
      </c>
      <c r="I659" s="21" t="str">
        <f t="shared" si="40"/>
        <v>No cumple</v>
      </c>
      <c r="J659" s="22" t="str">
        <f t="shared" si="41"/>
        <v>Sin bono</v>
      </c>
      <c r="K659" s="23" t="str">
        <f t="shared" si="42"/>
        <v>OK</v>
      </c>
      <c r="L659" s="24" t="str">
        <f t="shared" si="43"/>
        <v>Revisar</v>
      </c>
    </row>
    <row r="660" spans="1:12" ht="18" customHeight="1" x14ac:dyDescent="0.3">
      <c r="A660" s="25" t="s">
        <v>1367</v>
      </c>
      <c r="B660" s="8" t="s">
        <v>1368</v>
      </c>
      <c r="C660" s="25" t="s">
        <v>63</v>
      </c>
      <c r="D660" s="25" t="s">
        <v>68</v>
      </c>
      <c r="E660" s="9">
        <v>6900000</v>
      </c>
      <c r="F660" s="26">
        <v>0.7</v>
      </c>
      <c r="G660" s="25">
        <v>52</v>
      </c>
      <c r="H660" s="27">
        <v>9.1</v>
      </c>
      <c r="I660" s="21" t="str">
        <f t="shared" si="40"/>
        <v>No cumple</v>
      </c>
      <c r="J660" s="22" t="str">
        <f t="shared" si="41"/>
        <v>Sin bono</v>
      </c>
      <c r="K660" s="23" t="str">
        <f t="shared" si="42"/>
        <v>OK</v>
      </c>
      <c r="L660" s="24" t="str">
        <f t="shared" si="43"/>
        <v>Revisar</v>
      </c>
    </row>
    <row r="661" spans="1:12" ht="18" customHeight="1" x14ac:dyDescent="0.3">
      <c r="A661" s="18" t="s">
        <v>1369</v>
      </c>
      <c r="B661" s="5" t="s">
        <v>1370</v>
      </c>
      <c r="C661" s="18" t="s">
        <v>77</v>
      </c>
      <c r="D661" s="18" t="s">
        <v>78</v>
      </c>
      <c r="E661" s="6">
        <v>6000000</v>
      </c>
      <c r="F661" s="19">
        <v>0.63</v>
      </c>
      <c r="G661" s="18">
        <v>50</v>
      </c>
      <c r="H661" s="20">
        <v>14.4</v>
      </c>
      <c r="I661" s="21" t="str">
        <f t="shared" si="40"/>
        <v>No cumple</v>
      </c>
      <c r="J661" s="22" t="str">
        <f t="shared" si="41"/>
        <v>Sin bono</v>
      </c>
      <c r="K661" s="23" t="str">
        <f t="shared" si="42"/>
        <v>OK</v>
      </c>
      <c r="L661" s="24" t="str">
        <f t="shared" si="43"/>
        <v>Revisar</v>
      </c>
    </row>
    <row r="662" spans="1:12" ht="18" customHeight="1" x14ac:dyDescent="0.3">
      <c r="A662" s="25" t="s">
        <v>1371</v>
      </c>
      <c r="B662" s="8" t="s">
        <v>1372</v>
      </c>
      <c r="C662" s="25" t="s">
        <v>81</v>
      </c>
      <c r="D662" s="25" t="s">
        <v>78</v>
      </c>
      <c r="E662" s="9">
        <v>9500000</v>
      </c>
      <c r="F662" s="26">
        <v>0.84</v>
      </c>
      <c r="G662" s="25">
        <v>95</v>
      </c>
      <c r="H662" s="27">
        <v>12.2</v>
      </c>
      <c r="I662" s="21" t="str">
        <f t="shared" si="40"/>
        <v>Cumple</v>
      </c>
      <c r="J662" s="22" t="str">
        <f t="shared" si="41"/>
        <v>BONO</v>
      </c>
      <c r="K662" s="23" t="str">
        <f t="shared" si="42"/>
        <v>OK</v>
      </c>
      <c r="L662" s="24" t="str">
        <f t="shared" si="43"/>
        <v>Bueno</v>
      </c>
    </row>
    <row r="663" spans="1:12" ht="18" customHeight="1" x14ac:dyDescent="0.3">
      <c r="A663" s="18" t="s">
        <v>1373</v>
      </c>
      <c r="B663" s="5" t="s">
        <v>1374</v>
      </c>
      <c r="C663" s="18" t="s">
        <v>71</v>
      </c>
      <c r="D663" s="18" t="s">
        <v>92</v>
      </c>
      <c r="E663" s="6">
        <v>10000000</v>
      </c>
      <c r="F663" s="19">
        <v>0.93</v>
      </c>
      <c r="G663" s="18">
        <v>49</v>
      </c>
      <c r="H663" s="20">
        <v>3.2</v>
      </c>
      <c r="I663" s="21" t="str">
        <f t="shared" si="40"/>
        <v>Cumple</v>
      </c>
      <c r="J663" s="22" t="str">
        <f t="shared" si="41"/>
        <v>Sin bono</v>
      </c>
      <c r="K663" s="23" t="str">
        <f t="shared" si="42"/>
        <v>ALERTA</v>
      </c>
      <c r="L663" s="24" t="str">
        <f t="shared" si="43"/>
        <v>Revisar</v>
      </c>
    </row>
    <row r="664" spans="1:12" ht="18" customHeight="1" x14ac:dyDescent="0.3">
      <c r="A664" s="25" t="s">
        <v>1375</v>
      </c>
      <c r="B664" s="8" t="s">
        <v>1376</v>
      </c>
      <c r="C664" s="25" t="s">
        <v>59</v>
      </c>
      <c r="D664" s="25" t="s">
        <v>88</v>
      </c>
      <c r="E664" s="9">
        <v>8500000</v>
      </c>
      <c r="F664" s="26">
        <v>0.61</v>
      </c>
      <c r="G664" s="25">
        <v>53</v>
      </c>
      <c r="H664" s="27">
        <v>2.4</v>
      </c>
      <c r="I664" s="21" t="str">
        <f t="shared" si="40"/>
        <v>No cumple</v>
      </c>
      <c r="J664" s="22" t="str">
        <f t="shared" si="41"/>
        <v>Sin bono</v>
      </c>
      <c r="K664" s="23" t="str">
        <f t="shared" si="42"/>
        <v>OK</v>
      </c>
      <c r="L664" s="24" t="str">
        <f t="shared" si="43"/>
        <v>Revisar</v>
      </c>
    </row>
    <row r="665" spans="1:12" ht="18" customHeight="1" x14ac:dyDescent="0.3">
      <c r="A665" s="18" t="s">
        <v>1377</v>
      </c>
      <c r="B665" s="5" t="s">
        <v>1378</v>
      </c>
      <c r="C665" s="18" t="s">
        <v>59</v>
      </c>
      <c r="D665" s="18" t="s">
        <v>64</v>
      </c>
      <c r="E665" s="6">
        <v>8600000</v>
      </c>
      <c r="F665" s="19">
        <v>0.72</v>
      </c>
      <c r="G665" s="18">
        <v>93</v>
      </c>
      <c r="H665" s="20">
        <v>10.9</v>
      </c>
      <c r="I665" s="21" t="str">
        <f t="shared" si="40"/>
        <v>No cumple</v>
      </c>
      <c r="J665" s="22" t="str">
        <f t="shared" si="41"/>
        <v>Sin bono</v>
      </c>
      <c r="K665" s="23" t="str">
        <f t="shared" si="42"/>
        <v>OK</v>
      </c>
      <c r="L665" s="24" t="str">
        <f t="shared" si="43"/>
        <v>Revisar</v>
      </c>
    </row>
    <row r="666" spans="1:12" ht="18" customHeight="1" x14ac:dyDescent="0.3">
      <c r="A666" s="25" t="s">
        <v>1379</v>
      </c>
      <c r="B666" s="8" t="s">
        <v>1380</v>
      </c>
      <c r="C666" s="25" t="s">
        <v>91</v>
      </c>
      <c r="D666" s="25" t="s">
        <v>60</v>
      </c>
      <c r="E666" s="9">
        <v>9800000</v>
      </c>
      <c r="F666" s="26">
        <v>0.6</v>
      </c>
      <c r="G666" s="25">
        <v>56</v>
      </c>
      <c r="H666" s="27">
        <v>1</v>
      </c>
      <c r="I666" s="21" t="str">
        <f t="shared" si="40"/>
        <v>No cumple</v>
      </c>
      <c r="J666" s="22" t="str">
        <f t="shared" si="41"/>
        <v>Sin bono</v>
      </c>
      <c r="K666" s="23" t="str">
        <f t="shared" si="42"/>
        <v>OK</v>
      </c>
      <c r="L666" s="24" t="str">
        <f t="shared" si="43"/>
        <v>Revisar</v>
      </c>
    </row>
    <row r="667" spans="1:12" ht="18" customHeight="1" x14ac:dyDescent="0.3">
      <c r="A667" s="18" t="s">
        <v>1381</v>
      </c>
      <c r="B667" s="5" t="s">
        <v>1382</v>
      </c>
      <c r="C667" s="18" t="s">
        <v>59</v>
      </c>
      <c r="D667" s="18" t="s">
        <v>92</v>
      </c>
      <c r="E667" s="6">
        <v>3900000</v>
      </c>
      <c r="F667" s="19">
        <v>0.48</v>
      </c>
      <c r="G667" s="18">
        <v>83</v>
      </c>
      <c r="H667" s="20">
        <v>19.899999999999999</v>
      </c>
      <c r="I667" s="21" t="str">
        <f t="shared" si="40"/>
        <v>No cumple</v>
      </c>
      <c r="J667" s="22" t="str">
        <f t="shared" si="41"/>
        <v>Sin bono</v>
      </c>
      <c r="K667" s="23" t="str">
        <f t="shared" si="42"/>
        <v>ALERTA</v>
      </c>
      <c r="L667" s="24" t="str">
        <f t="shared" si="43"/>
        <v>Revisar</v>
      </c>
    </row>
    <row r="668" spans="1:12" ht="18" customHeight="1" x14ac:dyDescent="0.3">
      <c r="A668" s="25" t="s">
        <v>1383</v>
      </c>
      <c r="B668" s="8" t="s">
        <v>1384</v>
      </c>
      <c r="C668" s="25" t="s">
        <v>59</v>
      </c>
      <c r="D668" s="25" t="s">
        <v>114</v>
      </c>
      <c r="E668" s="9">
        <v>8600000</v>
      </c>
      <c r="F668" s="26">
        <v>0.86</v>
      </c>
      <c r="G668" s="25">
        <v>76</v>
      </c>
      <c r="H668" s="27">
        <v>18.600000000000001</v>
      </c>
      <c r="I668" s="21" t="str">
        <f t="shared" si="40"/>
        <v>Cumple</v>
      </c>
      <c r="J668" s="22" t="str">
        <f t="shared" si="41"/>
        <v>BONO</v>
      </c>
      <c r="K668" s="23" t="str">
        <f t="shared" si="42"/>
        <v>OK</v>
      </c>
      <c r="L668" s="24" t="str">
        <f t="shared" si="43"/>
        <v>Bueno</v>
      </c>
    </row>
    <row r="669" spans="1:12" ht="18" customHeight="1" x14ac:dyDescent="0.3">
      <c r="A669" s="18" t="s">
        <v>1385</v>
      </c>
      <c r="B669" s="5" t="s">
        <v>1386</v>
      </c>
      <c r="C669" s="18" t="s">
        <v>81</v>
      </c>
      <c r="D669" s="18" t="s">
        <v>68</v>
      </c>
      <c r="E669" s="6">
        <v>3600000</v>
      </c>
      <c r="F669" s="19">
        <v>0.87</v>
      </c>
      <c r="G669" s="18">
        <v>100</v>
      </c>
      <c r="H669" s="20">
        <v>1.3</v>
      </c>
      <c r="I669" s="21" t="str">
        <f t="shared" si="40"/>
        <v>Cumple</v>
      </c>
      <c r="J669" s="22" t="str">
        <f t="shared" si="41"/>
        <v>BONO</v>
      </c>
      <c r="K669" s="23" t="str">
        <f t="shared" si="42"/>
        <v>OK</v>
      </c>
      <c r="L669" s="24" t="str">
        <f t="shared" si="43"/>
        <v>Bueno</v>
      </c>
    </row>
    <row r="670" spans="1:12" ht="18" customHeight="1" x14ac:dyDescent="0.3">
      <c r="A670" s="25" t="s">
        <v>1387</v>
      </c>
      <c r="B670" s="8" t="s">
        <v>1388</v>
      </c>
      <c r="C670" s="25" t="s">
        <v>91</v>
      </c>
      <c r="D670" s="25" t="s">
        <v>78</v>
      </c>
      <c r="E670" s="9">
        <v>10100000</v>
      </c>
      <c r="F670" s="26">
        <v>0.85</v>
      </c>
      <c r="G670" s="25">
        <v>97</v>
      </c>
      <c r="H670" s="27">
        <v>19.7</v>
      </c>
      <c r="I670" s="21" t="str">
        <f t="shared" si="40"/>
        <v>Cumple</v>
      </c>
      <c r="J670" s="22" t="str">
        <f t="shared" si="41"/>
        <v>BONO</v>
      </c>
      <c r="K670" s="23" t="str">
        <f t="shared" si="42"/>
        <v>OK</v>
      </c>
      <c r="L670" s="24" t="str">
        <f t="shared" si="43"/>
        <v>Bueno</v>
      </c>
    </row>
    <row r="671" spans="1:12" ht="18" customHeight="1" x14ac:dyDescent="0.3">
      <c r="A671" s="18" t="s">
        <v>1389</v>
      </c>
      <c r="B671" s="5" t="s">
        <v>1390</v>
      </c>
      <c r="C671" s="18" t="s">
        <v>59</v>
      </c>
      <c r="D671" s="18" t="s">
        <v>68</v>
      </c>
      <c r="E671" s="6">
        <v>10500000</v>
      </c>
      <c r="F671" s="19">
        <v>0.92</v>
      </c>
      <c r="G671" s="18">
        <v>63</v>
      </c>
      <c r="H671" s="20">
        <v>10.5</v>
      </c>
      <c r="I671" s="21" t="str">
        <f t="shared" si="40"/>
        <v>Cumple</v>
      </c>
      <c r="J671" s="22" t="str">
        <f t="shared" si="41"/>
        <v>Sin bono</v>
      </c>
      <c r="K671" s="23" t="str">
        <f t="shared" si="42"/>
        <v>OK</v>
      </c>
      <c r="L671" s="24" t="str">
        <f t="shared" si="43"/>
        <v>Revisar</v>
      </c>
    </row>
    <row r="672" spans="1:12" ht="18" customHeight="1" x14ac:dyDescent="0.3">
      <c r="A672" s="25" t="s">
        <v>1391</v>
      </c>
      <c r="B672" s="8" t="s">
        <v>1392</v>
      </c>
      <c r="C672" s="25" t="s">
        <v>71</v>
      </c>
      <c r="D672" s="25" t="s">
        <v>105</v>
      </c>
      <c r="E672" s="9">
        <v>9400000</v>
      </c>
      <c r="F672" s="26">
        <v>0.85</v>
      </c>
      <c r="G672" s="25">
        <v>93</v>
      </c>
      <c r="H672" s="27">
        <v>9.9</v>
      </c>
      <c r="I672" s="21" t="str">
        <f t="shared" si="40"/>
        <v>Cumple</v>
      </c>
      <c r="J672" s="22" t="str">
        <f t="shared" si="41"/>
        <v>BONO</v>
      </c>
      <c r="K672" s="23" t="str">
        <f t="shared" si="42"/>
        <v>OK</v>
      </c>
      <c r="L672" s="24" t="str">
        <f t="shared" si="43"/>
        <v>Bueno</v>
      </c>
    </row>
    <row r="673" spans="1:12" ht="18" customHeight="1" x14ac:dyDescent="0.3">
      <c r="A673" s="18" t="s">
        <v>1393</v>
      </c>
      <c r="B673" s="5" t="s">
        <v>1394</v>
      </c>
      <c r="C673" s="18" t="s">
        <v>91</v>
      </c>
      <c r="D673" s="18" t="s">
        <v>105</v>
      </c>
      <c r="E673" s="6">
        <v>10800000</v>
      </c>
      <c r="F673" s="19">
        <v>0.89</v>
      </c>
      <c r="G673" s="18">
        <v>56</v>
      </c>
      <c r="H673" s="20">
        <v>16</v>
      </c>
      <c r="I673" s="21" t="str">
        <f t="shared" si="40"/>
        <v>Cumple</v>
      </c>
      <c r="J673" s="22" t="str">
        <f t="shared" si="41"/>
        <v>Sin bono</v>
      </c>
      <c r="K673" s="23" t="str">
        <f t="shared" si="42"/>
        <v>OK</v>
      </c>
      <c r="L673" s="24" t="str">
        <f t="shared" si="43"/>
        <v>Revisar</v>
      </c>
    </row>
    <row r="674" spans="1:12" ht="18" customHeight="1" x14ac:dyDescent="0.3">
      <c r="A674" s="25" t="s">
        <v>1395</v>
      </c>
      <c r="B674" s="8" t="s">
        <v>1396</v>
      </c>
      <c r="C674" s="25" t="s">
        <v>67</v>
      </c>
      <c r="D674" s="25" t="s">
        <v>88</v>
      </c>
      <c r="E674" s="9">
        <v>6000000</v>
      </c>
      <c r="F674" s="26">
        <v>0.88</v>
      </c>
      <c r="G674" s="25">
        <v>69</v>
      </c>
      <c r="H674" s="27">
        <v>6</v>
      </c>
      <c r="I674" s="21" t="str">
        <f t="shared" si="40"/>
        <v>Cumple</v>
      </c>
      <c r="J674" s="22" t="str">
        <f t="shared" si="41"/>
        <v>Sin bono</v>
      </c>
      <c r="K674" s="23" t="str">
        <f t="shared" si="42"/>
        <v>OK</v>
      </c>
      <c r="L674" s="24" t="str">
        <f t="shared" si="43"/>
        <v>Revisar</v>
      </c>
    </row>
    <row r="675" spans="1:12" ht="18" customHeight="1" x14ac:dyDescent="0.3">
      <c r="A675" s="18" t="s">
        <v>1397</v>
      </c>
      <c r="B675" s="5" t="s">
        <v>1398</v>
      </c>
      <c r="C675" s="18" t="s">
        <v>91</v>
      </c>
      <c r="D675" s="18" t="s">
        <v>78</v>
      </c>
      <c r="E675" s="6">
        <v>11500000</v>
      </c>
      <c r="F675" s="19">
        <v>0.63</v>
      </c>
      <c r="G675" s="18">
        <v>80</v>
      </c>
      <c r="H675" s="20">
        <v>14.5</v>
      </c>
      <c r="I675" s="21" t="str">
        <f t="shared" si="40"/>
        <v>No cumple</v>
      </c>
      <c r="J675" s="22" t="str">
        <f t="shared" si="41"/>
        <v>Sin bono</v>
      </c>
      <c r="K675" s="23" t="str">
        <f t="shared" si="42"/>
        <v>OK</v>
      </c>
      <c r="L675" s="24" t="str">
        <f t="shared" si="43"/>
        <v>Revisar</v>
      </c>
    </row>
    <row r="676" spans="1:12" ht="18" customHeight="1" x14ac:dyDescent="0.3">
      <c r="A676" s="25" t="s">
        <v>1399</v>
      </c>
      <c r="B676" s="8" t="s">
        <v>1400</v>
      </c>
      <c r="C676" s="25" t="s">
        <v>71</v>
      </c>
      <c r="D676" s="25" t="s">
        <v>60</v>
      </c>
      <c r="E676" s="9">
        <v>7000000</v>
      </c>
      <c r="F676" s="26">
        <v>0.91</v>
      </c>
      <c r="G676" s="25">
        <v>91</v>
      </c>
      <c r="H676" s="27">
        <v>18.3</v>
      </c>
      <c r="I676" s="21" t="str">
        <f t="shared" si="40"/>
        <v>Cumple</v>
      </c>
      <c r="J676" s="22" t="str">
        <f t="shared" si="41"/>
        <v>BONO</v>
      </c>
      <c r="K676" s="23" t="str">
        <f t="shared" si="42"/>
        <v>OK</v>
      </c>
      <c r="L676" s="24" t="str">
        <f t="shared" si="43"/>
        <v>Excelente</v>
      </c>
    </row>
    <row r="677" spans="1:12" ht="18" customHeight="1" x14ac:dyDescent="0.3">
      <c r="A677" s="18" t="s">
        <v>1401</v>
      </c>
      <c r="B677" s="5" t="s">
        <v>1402</v>
      </c>
      <c r="C677" s="18" t="s">
        <v>71</v>
      </c>
      <c r="D677" s="18" t="s">
        <v>105</v>
      </c>
      <c r="E677" s="6">
        <v>4700000</v>
      </c>
      <c r="F677" s="19">
        <v>0.79</v>
      </c>
      <c r="G677" s="18">
        <v>98</v>
      </c>
      <c r="H677" s="20">
        <v>17.899999999999999</v>
      </c>
      <c r="I677" s="21" t="str">
        <f t="shared" si="40"/>
        <v>No cumple</v>
      </c>
      <c r="J677" s="22" t="str">
        <f t="shared" si="41"/>
        <v>Sin bono</v>
      </c>
      <c r="K677" s="23" t="str">
        <f t="shared" si="42"/>
        <v>OK</v>
      </c>
      <c r="L677" s="24" t="str">
        <f t="shared" si="43"/>
        <v>Revisar</v>
      </c>
    </row>
    <row r="678" spans="1:12" ht="18" customHeight="1" x14ac:dyDescent="0.3">
      <c r="A678" s="25" t="s">
        <v>1403</v>
      </c>
      <c r="B678" s="8" t="s">
        <v>1404</v>
      </c>
      <c r="C678" s="25" t="s">
        <v>63</v>
      </c>
      <c r="D678" s="25" t="s">
        <v>64</v>
      </c>
      <c r="E678" s="9">
        <v>9400000</v>
      </c>
      <c r="F678" s="26">
        <v>0.61</v>
      </c>
      <c r="G678" s="25">
        <v>70</v>
      </c>
      <c r="H678" s="27">
        <v>11.1</v>
      </c>
      <c r="I678" s="21" t="str">
        <f t="shared" si="40"/>
        <v>No cumple</v>
      </c>
      <c r="J678" s="22" t="str">
        <f t="shared" si="41"/>
        <v>Sin bono</v>
      </c>
      <c r="K678" s="23" t="str">
        <f t="shared" si="42"/>
        <v>OK</v>
      </c>
      <c r="L678" s="24" t="str">
        <f t="shared" si="43"/>
        <v>Revisar</v>
      </c>
    </row>
    <row r="679" spans="1:12" ht="18" customHeight="1" x14ac:dyDescent="0.3">
      <c r="A679" s="18" t="s">
        <v>1405</v>
      </c>
      <c r="B679" s="5" t="s">
        <v>1406</v>
      </c>
      <c r="C679" s="18" t="s">
        <v>81</v>
      </c>
      <c r="D679" s="18" t="s">
        <v>92</v>
      </c>
      <c r="E679" s="6">
        <v>3600000</v>
      </c>
      <c r="F679" s="19">
        <v>0.98</v>
      </c>
      <c r="G679" s="18">
        <v>65</v>
      </c>
      <c r="H679" s="20">
        <v>16.8</v>
      </c>
      <c r="I679" s="21" t="str">
        <f t="shared" si="40"/>
        <v>Cumple</v>
      </c>
      <c r="J679" s="22" t="str">
        <f t="shared" si="41"/>
        <v>Sin bono</v>
      </c>
      <c r="K679" s="23" t="str">
        <f t="shared" si="42"/>
        <v>OK</v>
      </c>
      <c r="L679" s="24" t="str">
        <f t="shared" si="43"/>
        <v>Revisar</v>
      </c>
    </row>
    <row r="680" spans="1:12" ht="18" customHeight="1" x14ac:dyDescent="0.3">
      <c r="A680" s="25" t="s">
        <v>1407</v>
      </c>
      <c r="B680" s="8" t="s">
        <v>1408</v>
      </c>
      <c r="C680" s="25" t="s">
        <v>71</v>
      </c>
      <c r="D680" s="25" t="s">
        <v>68</v>
      </c>
      <c r="E680" s="9">
        <v>5100000</v>
      </c>
      <c r="F680" s="26">
        <v>0.78</v>
      </c>
      <c r="G680" s="25">
        <v>69</v>
      </c>
      <c r="H680" s="27">
        <v>14.1</v>
      </c>
      <c r="I680" s="21" t="str">
        <f t="shared" si="40"/>
        <v>No cumple</v>
      </c>
      <c r="J680" s="22" t="str">
        <f t="shared" si="41"/>
        <v>Sin bono</v>
      </c>
      <c r="K680" s="23" t="str">
        <f t="shared" si="42"/>
        <v>OK</v>
      </c>
      <c r="L680" s="24" t="str">
        <f t="shared" si="43"/>
        <v>Revisar</v>
      </c>
    </row>
    <row r="681" spans="1:12" ht="18" customHeight="1" x14ac:dyDescent="0.3">
      <c r="A681" s="18" t="s">
        <v>1409</v>
      </c>
      <c r="B681" s="5" t="s">
        <v>1410</v>
      </c>
      <c r="C681" s="18" t="s">
        <v>63</v>
      </c>
      <c r="D681" s="18" t="s">
        <v>78</v>
      </c>
      <c r="E681" s="6">
        <v>9100000</v>
      </c>
      <c r="F681" s="19">
        <v>0.93</v>
      </c>
      <c r="G681" s="18">
        <v>77</v>
      </c>
      <c r="H681" s="20">
        <v>9</v>
      </c>
      <c r="I681" s="21" t="str">
        <f t="shared" si="40"/>
        <v>Cumple</v>
      </c>
      <c r="J681" s="22" t="str">
        <f t="shared" si="41"/>
        <v>BONO</v>
      </c>
      <c r="K681" s="23" t="str">
        <f t="shared" si="42"/>
        <v>OK</v>
      </c>
      <c r="L681" s="24" t="str">
        <f t="shared" si="43"/>
        <v>Bueno</v>
      </c>
    </row>
    <row r="682" spans="1:12" ht="18" customHeight="1" x14ac:dyDescent="0.3">
      <c r="A682" s="25" t="s">
        <v>1411</v>
      </c>
      <c r="B682" s="8" t="s">
        <v>1412</v>
      </c>
      <c r="C682" s="25" t="s">
        <v>59</v>
      </c>
      <c r="D682" s="25" t="s">
        <v>114</v>
      </c>
      <c r="E682" s="9">
        <v>4200000</v>
      </c>
      <c r="F682" s="26">
        <v>0.66</v>
      </c>
      <c r="G682" s="25">
        <v>34</v>
      </c>
      <c r="H682" s="27">
        <v>15.6</v>
      </c>
      <c r="I682" s="21" t="str">
        <f t="shared" si="40"/>
        <v>No cumple</v>
      </c>
      <c r="J682" s="22" t="str">
        <f t="shared" si="41"/>
        <v>Sin bono</v>
      </c>
      <c r="K682" s="23" t="str">
        <f t="shared" si="42"/>
        <v>ALERTA</v>
      </c>
      <c r="L682" s="24" t="str">
        <f t="shared" si="43"/>
        <v>Revisar</v>
      </c>
    </row>
    <row r="683" spans="1:12" ht="18" customHeight="1" x14ac:dyDescent="0.3">
      <c r="A683" s="18" t="s">
        <v>1413</v>
      </c>
      <c r="B683" s="5" t="s">
        <v>1414</v>
      </c>
      <c r="C683" s="18" t="s">
        <v>91</v>
      </c>
      <c r="D683" s="18" t="s">
        <v>105</v>
      </c>
      <c r="E683" s="6">
        <v>9200000</v>
      </c>
      <c r="F683" s="19">
        <v>0.53</v>
      </c>
      <c r="G683" s="18">
        <v>73</v>
      </c>
      <c r="H683" s="20">
        <v>18.5</v>
      </c>
      <c r="I683" s="21" t="str">
        <f t="shared" si="40"/>
        <v>No cumple</v>
      </c>
      <c r="J683" s="22" t="str">
        <f t="shared" si="41"/>
        <v>Sin bono</v>
      </c>
      <c r="K683" s="23" t="str">
        <f t="shared" si="42"/>
        <v>ALERTA</v>
      </c>
      <c r="L683" s="24" t="str">
        <f t="shared" si="43"/>
        <v>Revisar</v>
      </c>
    </row>
    <row r="684" spans="1:12" ht="18" customHeight="1" x14ac:dyDescent="0.3">
      <c r="A684" s="25" t="s">
        <v>1415</v>
      </c>
      <c r="B684" s="8" t="s">
        <v>1416</v>
      </c>
      <c r="C684" s="25" t="s">
        <v>74</v>
      </c>
      <c r="D684" s="25" t="s">
        <v>114</v>
      </c>
      <c r="E684" s="9">
        <v>5400000</v>
      </c>
      <c r="F684" s="26">
        <v>0.85</v>
      </c>
      <c r="G684" s="25">
        <v>88</v>
      </c>
      <c r="H684" s="27">
        <v>7.8</v>
      </c>
      <c r="I684" s="21" t="str">
        <f t="shared" si="40"/>
        <v>Cumple</v>
      </c>
      <c r="J684" s="22" t="str">
        <f t="shared" si="41"/>
        <v>BONO</v>
      </c>
      <c r="K684" s="23" t="str">
        <f t="shared" si="42"/>
        <v>OK</v>
      </c>
      <c r="L684" s="24" t="str">
        <f t="shared" si="43"/>
        <v>Bueno</v>
      </c>
    </row>
    <row r="685" spans="1:12" ht="18" customHeight="1" x14ac:dyDescent="0.3">
      <c r="A685" s="18" t="s">
        <v>1417</v>
      </c>
      <c r="B685" s="5" t="s">
        <v>1418</v>
      </c>
      <c r="C685" s="18" t="s">
        <v>77</v>
      </c>
      <c r="D685" s="18" t="s">
        <v>64</v>
      </c>
      <c r="E685" s="6">
        <v>4100000</v>
      </c>
      <c r="F685" s="19">
        <v>0.74</v>
      </c>
      <c r="G685" s="18">
        <v>69</v>
      </c>
      <c r="H685" s="20">
        <v>0.4</v>
      </c>
      <c r="I685" s="21" t="str">
        <f t="shared" si="40"/>
        <v>No cumple</v>
      </c>
      <c r="J685" s="22" t="str">
        <f t="shared" si="41"/>
        <v>Sin bono</v>
      </c>
      <c r="K685" s="23" t="str">
        <f t="shared" si="42"/>
        <v>OK</v>
      </c>
      <c r="L685" s="24" t="str">
        <f t="shared" si="43"/>
        <v>Revisar</v>
      </c>
    </row>
    <row r="686" spans="1:12" ht="18" customHeight="1" x14ac:dyDescent="0.3">
      <c r="A686" s="25" t="s">
        <v>1419</v>
      </c>
      <c r="B686" s="8" t="s">
        <v>1420</v>
      </c>
      <c r="C686" s="25" t="s">
        <v>67</v>
      </c>
      <c r="D686" s="25" t="s">
        <v>60</v>
      </c>
      <c r="E686" s="9">
        <v>6400000</v>
      </c>
      <c r="F686" s="26">
        <v>0.6</v>
      </c>
      <c r="G686" s="25">
        <v>70</v>
      </c>
      <c r="H686" s="27">
        <v>15.5</v>
      </c>
      <c r="I686" s="21" t="str">
        <f t="shared" si="40"/>
        <v>No cumple</v>
      </c>
      <c r="J686" s="22" t="str">
        <f t="shared" si="41"/>
        <v>Sin bono</v>
      </c>
      <c r="K686" s="23" t="str">
        <f t="shared" si="42"/>
        <v>OK</v>
      </c>
      <c r="L686" s="24" t="str">
        <f t="shared" si="43"/>
        <v>Revisar</v>
      </c>
    </row>
    <row r="687" spans="1:12" ht="18" customHeight="1" x14ac:dyDescent="0.3">
      <c r="A687" s="18" t="s">
        <v>1421</v>
      </c>
      <c r="B687" s="5" t="s">
        <v>1422</v>
      </c>
      <c r="C687" s="18" t="s">
        <v>67</v>
      </c>
      <c r="D687" s="18" t="s">
        <v>114</v>
      </c>
      <c r="E687" s="6">
        <v>3700000</v>
      </c>
      <c r="F687" s="19">
        <v>0.62</v>
      </c>
      <c r="G687" s="18">
        <v>73</v>
      </c>
      <c r="H687" s="20">
        <v>10.8</v>
      </c>
      <c r="I687" s="21" t="str">
        <f t="shared" si="40"/>
        <v>No cumple</v>
      </c>
      <c r="J687" s="22" t="str">
        <f t="shared" si="41"/>
        <v>Sin bono</v>
      </c>
      <c r="K687" s="23" t="str">
        <f t="shared" si="42"/>
        <v>OK</v>
      </c>
      <c r="L687" s="24" t="str">
        <f t="shared" si="43"/>
        <v>Revisar</v>
      </c>
    </row>
    <row r="688" spans="1:12" ht="18" customHeight="1" x14ac:dyDescent="0.3">
      <c r="A688" s="25" t="s">
        <v>1423</v>
      </c>
      <c r="B688" s="8" t="s">
        <v>1424</v>
      </c>
      <c r="C688" s="25" t="s">
        <v>63</v>
      </c>
      <c r="D688" s="25" t="s">
        <v>64</v>
      </c>
      <c r="E688" s="9">
        <v>3900000</v>
      </c>
      <c r="F688" s="26">
        <v>0.68</v>
      </c>
      <c r="G688" s="25">
        <v>52</v>
      </c>
      <c r="H688" s="27">
        <v>14.1</v>
      </c>
      <c r="I688" s="21" t="str">
        <f t="shared" si="40"/>
        <v>No cumple</v>
      </c>
      <c r="J688" s="22" t="str">
        <f t="shared" si="41"/>
        <v>Sin bono</v>
      </c>
      <c r="K688" s="23" t="str">
        <f t="shared" si="42"/>
        <v>OK</v>
      </c>
      <c r="L688" s="24" t="str">
        <f t="shared" si="43"/>
        <v>Revisar</v>
      </c>
    </row>
    <row r="689" spans="1:12" ht="18" customHeight="1" x14ac:dyDescent="0.3">
      <c r="A689" s="18" t="s">
        <v>1425</v>
      </c>
      <c r="B689" s="5" t="s">
        <v>1426</v>
      </c>
      <c r="C689" s="18" t="s">
        <v>81</v>
      </c>
      <c r="D689" s="18" t="s">
        <v>88</v>
      </c>
      <c r="E689" s="6">
        <v>7000000</v>
      </c>
      <c r="F689" s="19">
        <v>0.9</v>
      </c>
      <c r="G689" s="18">
        <v>98</v>
      </c>
      <c r="H689" s="20">
        <v>1.6</v>
      </c>
      <c r="I689" s="21" t="str">
        <f t="shared" si="40"/>
        <v>Cumple</v>
      </c>
      <c r="J689" s="22" t="str">
        <f t="shared" si="41"/>
        <v>BONO</v>
      </c>
      <c r="K689" s="23" t="str">
        <f t="shared" si="42"/>
        <v>OK</v>
      </c>
      <c r="L689" s="24" t="str">
        <f t="shared" si="43"/>
        <v>Excelente</v>
      </c>
    </row>
    <row r="690" spans="1:12" ht="18" customHeight="1" x14ac:dyDescent="0.3">
      <c r="A690" s="25" t="s">
        <v>1427</v>
      </c>
      <c r="B690" s="8" t="s">
        <v>1428</v>
      </c>
      <c r="C690" s="25" t="s">
        <v>67</v>
      </c>
      <c r="D690" s="25" t="s">
        <v>60</v>
      </c>
      <c r="E690" s="9">
        <v>4600000</v>
      </c>
      <c r="F690" s="26">
        <v>0.92</v>
      </c>
      <c r="G690" s="25">
        <v>63</v>
      </c>
      <c r="H690" s="27">
        <v>18.3</v>
      </c>
      <c r="I690" s="21" t="str">
        <f t="shared" si="40"/>
        <v>Cumple</v>
      </c>
      <c r="J690" s="22" t="str">
        <f t="shared" si="41"/>
        <v>Sin bono</v>
      </c>
      <c r="K690" s="23" t="str">
        <f t="shared" si="42"/>
        <v>OK</v>
      </c>
      <c r="L690" s="24" t="str">
        <f t="shared" si="43"/>
        <v>Revisar</v>
      </c>
    </row>
    <row r="691" spans="1:12" ht="18" customHeight="1" x14ac:dyDescent="0.3">
      <c r="A691" s="18" t="s">
        <v>1429</v>
      </c>
      <c r="B691" s="5" t="s">
        <v>1430</v>
      </c>
      <c r="C691" s="18" t="s">
        <v>81</v>
      </c>
      <c r="D691" s="18" t="s">
        <v>92</v>
      </c>
      <c r="E691" s="6">
        <v>8600000</v>
      </c>
      <c r="F691" s="19">
        <v>0.72</v>
      </c>
      <c r="G691" s="18">
        <v>38</v>
      </c>
      <c r="H691" s="20">
        <v>9.5</v>
      </c>
      <c r="I691" s="21" t="str">
        <f t="shared" si="40"/>
        <v>No cumple</v>
      </c>
      <c r="J691" s="22" t="str">
        <f t="shared" si="41"/>
        <v>Sin bono</v>
      </c>
      <c r="K691" s="23" t="str">
        <f t="shared" si="42"/>
        <v>ALERTA</v>
      </c>
      <c r="L691" s="24" t="str">
        <f t="shared" si="43"/>
        <v>Revisar</v>
      </c>
    </row>
    <row r="692" spans="1:12" ht="18" customHeight="1" x14ac:dyDescent="0.3">
      <c r="A692" s="25" t="s">
        <v>1431</v>
      </c>
      <c r="B692" s="8" t="s">
        <v>1432</v>
      </c>
      <c r="C692" s="25" t="s">
        <v>71</v>
      </c>
      <c r="D692" s="25" t="s">
        <v>88</v>
      </c>
      <c r="E692" s="9">
        <v>7200000</v>
      </c>
      <c r="F692" s="26">
        <v>0.78</v>
      </c>
      <c r="G692" s="25">
        <v>46</v>
      </c>
      <c r="H692" s="27">
        <v>10.199999999999999</v>
      </c>
      <c r="I692" s="21" t="str">
        <f t="shared" si="40"/>
        <v>No cumple</v>
      </c>
      <c r="J692" s="22" t="str">
        <f t="shared" si="41"/>
        <v>Sin bono</v>
      </c>
      <c r="K692" s="23" t="str">
        <f t="shared" si="42"/>
        <v>ALERTA</v>
      </c>
      <c r="L692" s="24" t="str">
        <f t="shared" si="43"/>
        <v>Revisar</v>
      </c>
    </row>
    <row r="693" spans="1:12" ht="18" customHeight="1" x14ac:dyDescent="0.3">
      <c r="A693" s="18" t="s">
        <v>1433</v>
      </c>
      <c r="B693" s="5" t="s">
        <v>1434</v>
      </c>
      <c r="C693" s="18" t="s">
        <v>74</v>
      </c>
      <c r="D693" s="18" t="s">
        <v>92</v>
      </c>
      <c r="E693" s="6">
        <v>9900000</v>
      </c>
      <c r="F693" s="19">
        <v>0.81</v>
      </c>
      <c r="G693" s="18">
        <v>68</v>
      </c>
      <c r="H693" s="20">
        <v>10.7</v>
      </c>
      <c r="I693" s="21" t="str">
        <f t="shared" si="40"/>
        <v>Cumple</v>
      </c>
      <c r="J693" s="22" t="str">
        <f t="shared" si="41"/>
        <v>Sin bono</v>
      </c>
      <c r="K693" s="23" t="str">
        <f t="shared" si="42"/>
        <v>OK</v>
      </c>
      <c r="L693" s="24" t="str">
        <f t="shared" si="43"/>
        <v>Revisar</v>
      </c>
    </row>
    <row r="694" spans="1:12" ht="18" customHeight="1" x14ac:dyDescent="0.3">
      <c r="A694" s="25" t="s">
        <v>1435</v>
      </c>
      <c r="B694" s="8" t="s">
        <v>1436</v>
      </c>
      <c r="C694" s="25" t="s">
        <v>77</v>
      </c>
      <c r="D694" s="25" t="s">
        <v>68</v>
      </c>
      <c r="E694" s="9">
        <v>3600000</v>
      </c>
      <c r="F694" s="26">
        <v>0.64</v>
      </c>
      <c r="G694" s="25">
        <v>85</v>
      </c>
      <c r="H694" s="27">
        <v>15.7</v>
      </c>
      <c r="I694" s="21" t="str">
        <f t="shared" si="40"/>
        <v>No cumple</v>
      </c>
      <c r="J694" s="22" t="str">
        <f t="shared" si="41"/>
        <v>Sin bono</v>
      </c>
      <c r="K694" s="23" t="str">
        <f t="shared" si="42"/>
        <v>OK</v>
      </c>
      <c r="L694" s="24" t="str">
        <f t="shared" si="43"/>
        <v>Revisar</v>
      </c>
    </row>
    <row r="695" spans="1:12" ht="18" customHeight="1" x14ac:dyDescent="0.3">
      <c r="A695" s="18" t="s">
        <v>1437</v>
      </c>
      <c r="B695" s="5" t="s">
        <v>1438</v>
      </c>
      <c r="C695" s="18" t="s">
        <v>81</v>
      </c>
      <c r="D695" s="18" t="s">
        <v>60</v>
      </c>
      <c r="E695" s="6">
        <v>5000000</v>
      </c>
      <c r="F695" s="19">
        <v>0.81</v>
      </c>
      <c r="G695" s="18">
        <v>39</v>
      </c>
      <c r="H695" s="20">
        <v>14.8</v>
      </c>
      <c r="I695" s="21" t="str">
        <f t="shared" si="40"/>
        <v>Cumple</v>
      </c>
      <c r="J695" s="22" t="str">
        <f t="shared" si="41"/>
        <v>Sin bono</v>
      </c>
      <c r="K695" s="23" t="str">
        <f t="shared" si="42"/>
        <v>ALERTA</v>
      </c>
      <c r="L695" s="24" t="str">
        <f t="shared" si="43"/>
        <v>Revisar</v>
      </c>
    </row>
    <row r="696" spans="1:12" ht="18" customHeight="1" x14ac:dyDescent="0.3">
      <c r="A696" s="25" t="s">
        <v>1439</v>
      </c>
      <c r="B696" s="8" t="s">
        <v>1440</v>
      </c>
      <c r="C696" s="25" t="s">
        <v>77</v>
      </c>
      <c r="D696" s="25" t="s">
        <v>78</v>
      </c>
      <c r="E696" s="9">
        <v>10300000</v>
      </c>
      <c r="F696" s="26">
        <v>0.78</v>
      </c>
      <c r="G696" s="25">
        <v>71</v>
      </c>
      <c r="H696" s="27">
        <v>11.1</v>
      </c>
      <c r="I696" s="21" t="str">
        <f t="shared" si="40"/>
        <v>No cumple</v>
      </c>
      <c r="J696" s="22" t="str">
        <f t="shared" si="41"/>
        <v>Sin bono</v>
      </c>
      <c r="K696" s="23" t="str">
        <f t="shared" si="42"/>
        <v>OK</v>
      </c>
      <c r="L696" s="24" t="str">
        <f t="shared" si="43"/>
        <v>Revisar</v>
      </c>
    </row>
    <row r="697" spans="1:12" ht="18" customHeight="1" x14ac:dyDescent="0.3">
      <c r="A697" s="18" t="s">
        <v>1441</v>
      </c>
      <c r="B697" s="5" t="s">
        <v>1442</v>
      </c>
      <c r="C697" s="18" t="s">
        <v>74</v>
      </c>
      <c r="D697" s="18" t="s">
        <v>68</v>
      </c>
      <c r="E697" s="6">
        <v>6900000</v>
      </c>
      <c r="F697" s="19">
        <v>0.72</v>
      </c>
      <c r="G697" s="18">
        <v>37</v>
      </c>
      <c r="H697" s="20">
        <v>1.8</v>
      </c>
      <c r="I697" s="21" t="str">
        <f t="shared" si="40"/>
        <v>No cumple</v>
      </c>
      <c r="J697" s="22" t="str">
        <f t="shared" si="41"/>
        <v>Sin bono</v>
      </c>
      <c r="K697" s="23" t="str">
        <f t="shared" si="42"/>
        <v>ALERTA</v>
      </c>
      <c r="L697" s="24" t="str">
        <f t="shared" si="43"/>
        <v>Revisar</v>
      </c>
    </row>
    <row r="698" spans="1:12" ht="18" customHeight="1" x14ac:dyDescent="0.3">
      <c r="A698" s="25" t="s">
        <v>1443</v>
      </c>
      <c r="B698" s="8" t="s">
        <v>1444</v>
      </c>
      <c r="C698" s="25" t="s">
        <v>77</v>
      </c>
      <c r="D698" s="25" t="s">
        <v>60</v>
      </c>
      <c r="E698" s="9">
        <v>5400000</v>
      </c>
      <c r="F698" s="26">
        <v>0.82</v>
      </c>
      <c r="G698" s="25">
        <v>70</v>
      </c>
      <c r="H698" s="27">
        <v>6</v>
      </c>
      <c r="I698" s="21" t="str">
        <f t="shared" si="40"/>
        <v>Cumple</v>
      </c>
      <c r="J698" s="22" t="str">
        <f t="shared" si="41"/>
        <v>BONO</v>
      </c>
      <c r="K698" s="23" t="str">
        <f t="shared" si="42"/>
        <v>OK</v>
      </c>
      <c r="L698" s="24" t="str">
        <f t="shared" si="43"/>
        <v>Bueno</v>
      </c>
    </row>
    <row r="699" spans="1:12" ht="18" customHeight="1" x14ac:dyDescent="0.3">
      <c r="A699" s="18" t="s">
        <v>1445</v>
      </c>
      <c r="B699" s="5" t="s">
        <v>1446</v>
      </c>
      <c r="C699" s="18" t="s">
        <v>91</v>
      </c>
      <c r="D699" s="18" t="s">
        <v>68</v>
      </c>
      <c r="E699" s="6">
        <v>4400000</v>
      </c>
      <c r="F699" s="19">
        <v>0.92</v>
      </c>
      <c r="G699" s="18">
        <v>37</v>
      </c>
      <c r="H699" s="20">
        <v>7.4</v>
      </c>
      <c r="I699" s="21" t="str">
        <f t="shared" si="40"/>
        <v>Cumple</v>
      </c>
      <c r="J699" s="22" t="str">
        <f t="shared" si="41"/>
        <v>Sin bono</v>
      </c>
      <c r="K699" s="23" t="str">
        <f t="shared" si="42"/>
        <v>ALERTA</v>
      </c>
      <c r="L699" s="24" t="str">
        <f t="shared" si="43"/>
        <v>Revisar</v>
      </c>
    </row>
    <row r="700" spans="1:12" ht="18" customHeight="1" x14ac:dyDescent="0.3">
      <c r="A700" s="25" t="s">
        <v>1447</v>
      </c>
      <c r="B700" s="8" t="s">
        <v>1448</v>
      </c>
      <c r="C700" s="25" t="s">
        <v>91</v>
      </c>
      <c r="D700" s="25" t="s">
        <v>92</v>
      </c>
      <c r="E700" s="9">
        <v>4200000</v>
      </c>
      <c r="F700" s="26">
        <v>0.92</v>
      </c>
      <c r="G700" s="25">
        <v>33</v>
      </c>
      <c r="H700" s="27">
        <v>4.7</v>
      </c>
      <c r="I700" s="21" t="str">
        <f t="shared" si="40"/>
        <v>Cumple</v>
      </c>
      <c r="J700" s="22" t="str">
        <f t="shared" si="41"/>
        <v>Sin bono</v>
      </c>
      <c r="K700" s="23" t="str">
        <f t="shared" si="42"/>
        <v>ALERTA</v>
      </c>
      <c r="L700" s="24" t="str">
        <f t="shared" si="43"/>
        <v>Revisar</v>
      </c>
    </row>
    <row r="701" spans="1:12" ht="18" customHeight="1" x14ac:dyDescent="0.3">
      <c r="A701" s="18" t="s">
        <v>1449</v>
      </c>
      <c r="B701" s="5" t="s">
        <v>1450</v>
      </c>
      <c r="C701" s="18" t="s">
        <v>81</v>
      </c>
      <c r="D701" s="18" t="s">
        <v>68</v>
      </c>
      <c r="E701" s="6">
        <v>7900000</v>
      </c>
      <c r="F701" s="19">
        <v>0.66</v>
      </c>
      <c r="G701" s="18">
        <v>99</v>
      </c>
      <c r="H701" s="20">
        <v>4.2</v>
      </c>
      <c r="I701" s="21" t="str">
        <f t="shared" si="40"/>
        <v>No cumple</v>
      </c>
      <c r="J701" s="22" t="str">
        <f t="shared" si="41"/>
        <v>Sin bono</v>
      </c>
      <c r="K701" s="23" t="str">
        <f t="shared" si="42"/>
        <v>OK</v>
      </c>
      <c r="L701" s="24" t="str">
        <f t="shared" si="43"/>
        <v>Revisar</v>
      </c>
    </row>
    <row r="702" spans="1:12" ht="18" customHeight="1" x14ac:dyDescent="0.3">
      <c r="A702" s="25" t="s">
        <v>1451</v>
      </c>
      <c r="B702" s="8" t="s">
        <v>1452</v>
      </c>
      <c r="C702" s="25" t="s">
        <v>71</v>
      </c>
      <c r="D702" s="25" t="s">
        <v>114</v>
      </c>
      <c r="E702" s="9">
        <v>2900000</v>
      </c>
      <c r="F702" s="26">
        <v>0.49</v>
      </c>
      <c r="G702" s="25">
        <v>32</v>
      </c>
      <c r="H702" s="27">
        <v>2.9</v>
      </c>
      <c r="I702" s="21" t="str">
        <f t="shared" si="40"/>
        <v>No cumple</v>
      </c>
      <c r="J702" s="22" t="str">
        <f t="shared" si="41"/>
        <v>Sin bono</v>
      </c>
      <c r="K702" s="23" t="str">
        <f t="shared" si="42"/>
        <v>ALERTA</v>
      </c>
      <c r="L702" s="24" t="str">
        <f t="shared" si="43"/>
        <v>Revisar</v>
      </c>
    </row>
    <row r="703" spans="1:12" ht="18" customHeight="1" x14ac:dyDescent="0.3">
      <c r="A703" s="18" t="s">
        <v>1453</v>
      </c>
      <c r="B703" s="5" t="s">
        <v>1454</v>
      </c>
      <c r="C703" s="18" t="s">
        <v>63</v>
      </c>
      <c r="D703" s="18" t="s">
        <v>114</v>
      </c>
      <c r="E703" s="6">
        <v>3800000</v>
      </c>
      <c r="F703" s="19">
        <v>0.53</v>
      </c>
      <c r="G703" s="18">
        <v>83</v>
      </c>
      <c r="H703" s="20">
        <v>17.2</v>
      </c>
      <c r="I703" s="21" t="str">
        <f t="shared" si="40"/>
        <v>No cumple</v>
      </c>
      <c r="J703" s="22" t="str">
        <f t="shared" si="41"/>
        <v>Sin bono</v>
      </c>
      <c r="K703" s="23" t="str">
        <f t="shared" si="42"/>
        <v>ALERTA</v>
      </c>
      <c r="L703" s="24" t="str">
        <f t="shared" si="43"/>
        <v>Revisar</v>
      </c>
    </row>
    <row r="704" spans="1:12" ht="18" customHeight="1" x14ac:dyDescent="0.3">
      <c r="A704" s="25" t="s">
        <v>1455</v>
      </c>
      <c r="B704" s="8" t="s">
        <v>1456</v>
      </c>
      <c r="C704" s="25" t="s">
        <v>63</v>
      </c>
      <c r="D704" s="25" t="s">
        <v>114</v>
      </c>
      <c r="E704" s="9">
        <v>8600000</v>
      </c>
      <c r="F704" s="26">
        <v>0.73</v>
      </c>
      <c r="G704" s="25">
        <v>100</v>
      </c>
      <c r="H704" s="27">
        <v>16.399999999999999</v>
      </c>
      <c r="I704" s="21" t="str">
        <f t="shared" si="40"/>
        <v>No cumple</v>
      </c>
      <c r="J704" s="22" t="str">
        <f t="shared" si="41"/>
        <v>Sin bono</v>
      </c>
      <c r="K704" s="23" t="str">
        <f t="shared" si="42"/>
        <v>OK</v>
      </c>
      <c r="L704" s="24" t="str">
        <f t="shared" si="43"/>
        <v>Revisar</v>
      </c>
    </row>
    <row r="705" spans="1:12" ht="18" customHeight="1" x14ac:dyDescent="0.3">
      <c r="A705" s="18" t="s">
        <v>1457</v>
      </c>
      <c r="B705" s="5" t="s">
        <v>1458</v>
      </c>
      <c r="C705" s="18" t="s">
        <v>63</v>
      </c>
      <c r="D705" s="18" t="s">
        <v>64</v>
      </c>
      <c r="E705" s="6">
        <v>10100000</v>
      </c>
      <c r="F705" s="19">
        <v>0.72</v>
      </c>
      <c r="G705" s="18">
        <v>60</v>
      </c>
      <c r="H705" s="20">
        <v>14.2</v>
      </c>
      <c r="I705" s="21" t="str">
        <f t="shared" si="40"/>
        <v>No cumple</v>
      </c>
      <c r="J705" s="22" t="str">
        <f t="shared" si="41"/>
        <v>Sin bono</v>
      </c>
      <c r="K705" s="23" t="str">
        <f t="shared" si="42"/>
        <v>OK</v>
      </c>
      <c r="L705" s="24" t="str">
        <f t="shared" si="43"/>
        <v>Revisar</v>
      </c>
    </row>
    <row r="706" spans="1:12" ht="18" customHeight="1" x14ac:dyDescent="0.3">
      <c r="A706" s="25" t="s">
        <v>1459</v>
      </c>
      <c r="B706" s="8" t="s">
        <v>1460</v>
      </c>
      <c r="C706" s="25" t="s">
        <v>81</v>
      </c>
      <c r="D706" s="25" t="s">
        <v>64</v>
      </c>
      <c r="E706" s="9">
        <v>3200000</v>
      </c>
      <c r="F706" s="26">
        <v>0.76</v>
      </c>
      <c r="G706" s="25">
        <v>77</v>
      </c>
      <c r="H706" s="27">
        <v>2.2999999999999998</v>
      </c>
      <c r="I706" s="21" t="str">
        <f t="shared" si="40"/>
        <v>No cumple</v>
      </c>
      <c r="J706" s="22" t="str">
        <f t="shared" si="41"/>
        <v>Sin bono</v>
      </c>
      <c r="K706" s="23" t="str">
        <f t="shared" si="42"/>
        <v>OK</v>
      </c>
      <c r="L706" s="24" t="str">
        <f t="shared" si="43"/>
        <v>Revisar</v>
      </c>
    </row>
    <row r="707" spans="1:12" ht="18" customHeight="1" x14ac:dyDescent="0.3">
      <c r="A707" s="18" t="s">
        <v>1461</v>
      </c>
      <c r="B707" s="5" t="s">
        <v>1462</v>
      </c>
      <c r="C707" s="18" t="s">
        <v>59</v>
      </c>
      <c r="D707" s="18" t="s">
        <v>105</v>
      </c>
      <c r="E707" s="6">
        <v>9400000</v>
      </c>
      <c r="F707" s="19">
        <v>0.49</v>
      </c>
      <c r="G707" s="18">
        <v>41</v>
      </c>
      <c r="H707" s="20">
        <v>4.9000000000000004</v>
      </c>
      <c r="I707" s="21" t="str">
        <f t="shared" si="40"/>
        <v>No cumple</v>
      </c>
      <c r="J707" s="22" t="str">
        <f t="shared" si="41"/>
        <v>Sin bono</v>
      </c>
      <c r="K707" s="23" t="str">
        <f t="shared" si="42"/>
        <v>ALERTA</v>
      </c>
      <c r="L707" s="24" t="str">
        <f t="shared" si="43"/>
        <v>Revisar</v>
      </c>
    </row>
    <row r="708" spans="1:12" ht="18" customHeight="1" x14ac:dyDescent="0.3">
      <c r="A708" s="25" t="s">
        <v>1463</v>
      </c>
      <c r="B708" s="8" t="s">
        <v>1464</v>
      </c>
      <c r="C708" s="25" t="s">
        <v>59</v>
      </c>
      <c r="D708" s="25" t="s">
        <v>64</v>
      </c>
      <c r="E708" s="9">
        <v>7100000</v>
      </c>
      <c r="F708" s="26">
        <v>0.74</v>
      </c>
      <c r="G708" s="25">
        <v>31</v>
      </c>
      <c r="H708" s="27">
        <v>9.4</v>
      </c>
      <c r="I708" s="21" t="str">
        <f t="shared" si="40"/>
        <v>No cumple</v>
      </c>
      <c r="J708" s="22" t="str">
        <f t="shared" si="41"/>
        <v>Sin bono</v>
      </c>
      <c r="K708" s="23" t="str">
        <f t="shared" si="42"/>
        <v>ALERTA</v>
      </c>
      <c r="L708" s="24" t="str">
        <f t="shared" si="43"/>
        <v>Revisar</v>
      </c>
    </row>
    <row r="709" spans="1:12" ht="18" customHeight="1" x14ac:dyDescent="0.3">
      <c r="A709" s="18" t="s">
        <v>1465</v>
      </c>
      <c r="B709" s="5" t="s">
        <v>1466</v>
      </c>
      <c r="C709" s="18" t="s">
        <v>77</v>
      </c>
      <c r="D709" s="18" t="s">
        <v>92</v>
      </c>
      <c r="E709" s="6">
        <v>8100000</v>
      </c>
      <c r="F709" s="19">
        <v>0.64</v>
      </c>
      <c r="G709" s="18">
        <v>67</v>
      </c>
      <c r="H709" s="20">
        <v>5.8</v>
      </c>
      <c r="I709" s="21" t="str">
        <f t="shared" si="40"/>
        <v>No cumple</v>
      </c>
      <c r="J709" s="22" t="str">
        <f t="shared" si="41"/>
        <v>Sin bono</v>
      </c>
      <c r="K709" s="23" t="str">
        <f t="shared" si="42"/>
        <v>OK</v>
      </c>
      <c r="L709" s="24" t="str">
        <f t="shared" si="43"/>
        <v>Revisar</v>
      </c>
    </row>
    <row r="710" spans="1:12" ht="18" customHeight="1" x14ac:dyDescent="0.3">
      <c r="A710" s="25" t="s">
        <v>1467</v>
      </c>
      <c r="B710" s="8" t="s">
        <v>1468</v>
      </c>
      <c r="C710" s="25" t="s">
        <v>59</v>
      </c>
      <c r="D710" s="25" t="s">
        <v>88</v>
      </c>
      <c r="E710" s="9">
        <v>3500000</v>
      </c>
      <c r="F710" s="26">
        <v>0.8</v>
      </c>
      <c r="G710" s="25">
        <v>51</v>
      </c>
      <c r="H710" s="27">
        <v>11.5</v>
      </c>
      <c r="I710" s="21" t="str">
        <f t="shared" si="40"/>
        <v>Cumple</v>
      </c>
      <c r="J710" s="22" t="str">
        <f t="shared" si="41"/>
        <v>Sin bono</v>
      </c>
      <c r="K710" s="23" t="str">
        <f t="shared" si="42"/>
        <v>OK</v>
      </c>
      <c r="L710" s="24" t="str">
        <f t="shared" si="43"/>
        <v>Revisar</v>
      </c>
    </row>
    <row r="711" spans="1:12" ht="18" customHeight="1" x14ac:dyDescent="0.3">
      <c r="A711" s="18" t="s">
        <v>1469</v>
      </c>
      <c r="B711" s="5" t="s">
        <v>1470</v>
      </c>
      <c r="C711" s="18" t="s">
        <v>74</v>
      </c>
      <c r="D711" s="18" t="s">
        <v>114</v>
      </c>
      <c r="E711" s="6">
        <v>9200000</v>
      </c>
      <c r="F711" s="19">
        <v>0.49</v>
      </c>
      <c r="G711" s="18">
        <v>65</v>
      </c>
      <c r="H711" s="20">
        <v>5</v>
      </c>
      <c r="I711" s="21" t="str">
        <f t="shared" si="40"/>
        <v>No cumple</v>
      </c>
      <c r="J711" s="22" t="str">
        <f t="shared" si="41"/>
        <v>Sin bono</v>
      </c>
      <c r="K711" s="23" t="str">
        <f t="shared" si="42"/>
        <v>ALERTA</v>
      </c>
      <c r="L711" s="24" t="str">
        <f t="shared" si="43"/>
        <v>Revisar</v>
      </c>
    </row>
    <row r="712" spans="1:12" ht="18" customHeight="1" x14ac:dyDescent="0.3">
      <c r="A712" s="25" t="s">
        <v>1471</v>
      </c>
      <c r="B712" s="8" t="s">
        <v>1472</v>
      </c>
      <c r="C712" s="25" t="s">
        <v>74</v>
      </c>
      <c r="D712" s="25" t="s">
        <v>114</v>
      </c>
      <c r="E712" s="9">
        <v>10300000</v>
      </c>
      <c r="F712" s="26">
        <v>0.86</v>
      </c>
      <c r="G712" s="25">
        <v>87</v>
      </c>
      <c r="H712" s="27">
        <v>7.4</v>
      </c>
      <c r="I712" s="21" t="str">
        <f t="shared" si="40"/>
        <v>Cumple</v>
      </c>
      <c r="J712" s="22" t="str">
        <f t="shared" si="41"/>
        <v>BONO</v>
      </c>
      <c r="K712" s="23" t="str">
        <f t="shared" si="42"/>
        <v>OK</v>
      </c>
      <c r="L712" s="24" t="str">
        <f t="shared" si="43"/>
        <v>Bueno</v>
      </c>
    </row>
    <row r="713" spans="1:12" ht="18" customHeight="1" x14ac:dyDescent="0.3">
      <c r="A713" s="18" t="s">
        <v>1473</v>
      </c>
      <c r="B713" s="5" t="s">
        <v>1474</v>
      </c>
      <c r="C713" s="18" t="s">
        <v>67</v>
      </c>
      <c r="D713" s="18" t="s">
        <v>105</v>
      </c>
      <c r="E713" s="6">
        <v>5100000</v>
      </c>
      <c r="F713" s="19">
        <v>0.89</v>
      </c>
      <c r="G713" s="18">
        <v>34</v>
      </c>
      <c r="H713" s="20">
        <v>6.9</v>
      </c>
      <c r="I713" s="21" t="str">
        <f t="shared" si="40"/>
        <v>Cumple</v>
      </c>
      <c r="J713" s="22" t="str">
        <f t="shared" si="41"/>
        <v>Sin bono</v>
      </c>
      <c r="K713" s="23" t="str">
        <f t="shared" si="42"/>
        <v>ALERTA</v>
      </c>
      <c r="L713" s="24" t="str">
        <f t="shared" si="43"/>
        <v>Revisar</v>
      </c>
    </row>
    <row r="714" spans="1:12" ht="18" customHeight="1" x14ac:dyDescent="0.3">
      <c r="A714" s="25" t="s">
        <v>1475</v>
      </c>
      <c r="B714" s="8" t="s">
        <v>1476</v>
      </c>
      <c r="C714" s="25" t="s">
        <v>63</v>
      </c>
      <c r="D714" s="25" t="s">
        <v>68</v>
      </c>
      <c r="E714" s="9">
        <v>5800000</v>
      </c>
      <c r="F714" s="26">
        <v>0.81</v>
      </c>
      <c r="G714" s="25">
        <v>51</v>
      </c>
      <c r="H714" s="27">
        <v>4.2</v>
      </c>
      <c r="I714" s="21" t="str">
        <f t="shared" si="40"/>
        <v>Cumple</v>
      </c>
      <c r="J714" s="22" t="str">
        <f t="shared" si="41"/>
        <v>Sin bono</v>
      </c>
      <c r="K714" s="23" t="str">
        <f t="shared" si="42"/>
        <v>OK</v>
      </c>
      <c r="L714" s="24" t="str">
        <f t="shared" si="43"/>
        <v>Revisar</v>
      </c>
    </row>
    <row r="715" spans="1:12" ht="18" customHeight="1" x14ac:dyDescent="0.3">
      <c r="A715" s="18" t="s">
        <v>1477</v>
      </c>
      <c r="B715" s="5" t="s">
        <v>1478</v>
      </c>
      <c r="C715" s="18" t="s">
        <v>71</v>
      </c>
      <c r="D715" s="18" t="s">
        <v>105</v>
      </c>
      <c r="E715" s="6">
        <v>7900000</v>
      </c>
      <c r="F715" s="19">
        <v>0.71</v>
      </c>
      <c r="G715" s="18">
        <v>90</v>
      </c>
      <c r="H715" s="20">
        <v>14.9</v>
      </c>
      <c r="I715" s="21" t="str">
        <f t="shared" si="40"/>
        <v>No cumple</v>
      </c>
      <c r="J715" s="22" t="str">
        <f t="shared" si="41"/>
        <v>Sin bono</v>
      </c>
      <c r="K715" s="23" t="str">
        <f t="shared" si="42"/>
        <v>OK</v>
      </c>
      <c r="L715" s="24" t="str">
        <f t="shared" si="43"/>
        <v>Revisar</v>
      </c>
    </row>
    <row r="716" spans="1:12" ht="18" customHeight="1" x14ac:dyDescent="0.3">
      <c r="A716" s="25" t="s">
        <v>1479</v>
      </c>
      <c r="B716" s="8" t="s">
        <v>1480</v>
      </c>
      <c r="C716" s="25" t="s">
        <v>63</v>
      </c>
      <c r="D716" s="25" t="s">
        <v>68</v>
      </c>
      <c r="E716" s="9">
        <v>8800000</v>
      </c>
      <c r="F716" s="26">
        <v>0.59</v>
      </c>
      <c r="G716" s="25">
        <v>97</v>
      </c>
      <c r="H716" s="27">
        <v>17.399999999999999</v>
      </c>
      <c r="I716" s="21" t="str">
        <f t="shared" si="40"/>
        <v>No cumple</v>
      </c>
      <c r="J716" s="22" t="str">
        <f t="shared" si="41"/>
        <v>Sin bono</v>
      </c>
      <c r="K716" s="23" t="str">
        <f t="shared" si="42"/>
        <v>ALERTA</v>
      </c>
      <c r="L716" s="24" t="str">
        <f t="shared" si="43"/>
        <v>Revisar</v>
      </c>
    </row>
    <row r="717" spans="1:12" ht="18" customHeight="1" x14ac:dyDescent="0.3">
      <c r="A717" s="18" t="s">
        <v>1481</v>
      </c>
      <c r="B717" s="5" t="s">
        <v>1482</v>
      </c>
      <c r="C717" s="18" t="s">
        <v>81</v>
      </c>
      <c r="D717" s="18" t="s">
        <v>68</v>
      </c>
      <c r="E717" s="6">
        <v>10600000</v>
      </c>
      <c r="F717" s="19">
        <v>0.95</v>
      </c>
      <c r="G717" s="18">
        <v>64</v>
      </c>
      <c r="H717" s="20">
        <v>6.7</v>
      </c>
      <c r="I717" s="21" t="str">
        <f t="shared" ref="I717:I780" si="44">IF(F717&gt;=0.8,"Cumple","No cumple")</f>
        <v>Cumple</v>
      </c>
      <c r="J717" s="22" t="str">
        <f t="shared" ref="J717:J780" si="45">IF(AND(F717&gt;=0.8,G717&gt;=70),"BONO","Sin bono")</f>
        <v>Sin bono</v>
      </c>
      <c r="K717" s="23" t="str">
        <f t="shared" ref="K717:K780" si="46">IF(OR(F717&lt;0.6,G717&lt;50),"ALERTA","OK")</f>
        <v>OK</v>
      </c>
      <c r="L717" s="24" t="str">
        <f t="shared" ref="L717:L780" si="47">IF(AND(F717&gt;=0.9,G717&gt;=85),"Excelente",IF(AND(F717&gt;=0.8,G717&gt;=70),"Bueno","Revisar"))</f>
        <v>Revisar</v>
      </c>
    </row>
    <row r="718" spans="1:12" ht="18" customHeight="1" x14ac:dyDescent="0.3">
      <c r="A718" s="25" t="s">
        <v>1483</v>
      </c>
      <c r="B718" s="8" t="s">
        <v>1484</v>
      </c>
      <c r="C718" s="25" t="s">
        <v>63</v>
      </c>
      <c r="D718" s="25" t="s">
        <v>105</v>
      </c>
      <c r="E718" s="9">
        <v>11400000</v>
      </c>
      <c r="F718" s="26">
        <v>0.86</v>
      </c>
      <c r="G718" s="25">
        <v>54</v>
      </c>
      <c r="H718" s="27">
        <v>10.4</v>
      </c>
      <c r="I718" s="21" t="str">
        <f t="shared" si="44"/>
        <v>Cumple</v>
      </c>
      <c r="J718" s="22" t="str">
        <f t="shared" si="45"/>
        <v>Sin bono</v>
      </c>
      <c r="K718" s="23" t="str">
        <f t="shared" si="46"/>
        <v>OK</v>
      </c>
      <c r="L718" s="24" t="str">
        <f t="shared" si="47"/>
        <v>Revisar</v>
      </c>
    </row>
    <row r="719" spans="1:12" ht="18" customHeight="1" x14ac:dyDescent="0.3">
      <c r="A719" s="18" t="s">
        <v>1485</v>
      </c>
      <c r="B719" s="5" t="s">
        <v>1486</v>
      </c>
      <c r="C719" s="18" t="s">
        <v>91</v>
      </c>
      <c r="D719" s="18" t="s">
        <v>64</v>
      </c>
      <c r="E719" s="6">
        <v>3600000</v>
      </c>
      <c r="F719" s="19">
        <v>0.46</v>
      </c>
      <c r="G719" s="18">
        <v>42</v>
      </c>
      <c r="H719" s="20">
        <v>10.5</v>
      </c>
      <c r="I719" s="21" t="str">
        <f t="shared" si="44"/>
        <v>No cumple</v>
      </c>
      <c r="J719" s="22" t="str">
        <f t="shared" si="45"/>
        <v>Sin bono</v>
      </c>
      <c r="K719" s="23" t="str">
        <f t="shared" si="46"/>
        <v>ALERTA</v>
      </c>
      <c r="L719" s="24" t="str">
        <f t="shared" si="47"/>
        <v>Revisar</v>
      </c>
    </row>
    <row r="720" spans="1:12" ht="18" customHeight="1" x14ac:dyDescent="0.3">
      <c r="A720" s="25" t="s">
        <v>1487</v>
      </c>
      <c r="B720" s="8" t="s">
        <v>1488</v>
      </c>
      <c r="C720" s="25" t="s">
        <v>67</v>
      </c>
      <c r="D720" s="25" t="s">
        <v>64</v>
      </c>
      <c r="E720" s="9">
        <v>3100000</v>
      </c>
      <c r="F720" s="26">
        <v>0.79</v>
      </c>
      <c r="G720" s="25">
        <v>37</v>
      </c>
      <c r="H720" s="27">
        <v>18.8</v>
      </c>
      <c r="I720" s="21" t="str">
        <f t="shared" si="44"/>
        <v>No cumple</v>
      </c>
      <c r="J720" s="22" t="str">
        <f t="shared" si="45"/>
        <v>Sin bono</v>
      </c>
      <c r="K720" s="23" t="str">
        <f t="shared" si="46"/>
        <v>ALERTA</v>
      </c>
      <c r="L720" s="24" t="str">
        <f t="shared" si="47"/>
        <v>Revisar</v>
      </c>
    </row>
    <row r="721" spans="1:12" ht="18" customHeight="1" x14ac:dyDescent="0.3">
      <c r="A721" s="18" t="s">
        <v>1489</v>
      </c>
      <c r="B721" s="5" t="s">
        <v>1490</v>
      </c>
      <c r="C721" s="18" t="s">
        <v>77</v>
      </c>
      <c r="D721" s="18" t="s">
        <v>88</v>
      </c>
      <c r="E721" s="6">
        <v>8200000</v>
      </c>
      <c r="F721" s="19">
        <v>0.83</v>
      </c>
      <c r="G721" s="18">
        <v>71</v>
      </c>
      <c r="H721" s="20">
        <v>5.0999999999999996</v>
      </c>
      <c r="I721" s="21" t="str">
        <f t="shared" si="44"/>
        <v>Cumple</v>
      </c>
      <c r="J721" s="22" t="str">
        <f t="shared" si="45"/>
        <v>BONO</v>
      </c>
      <c r="K721" s="23" t="str">
        <f t="shared" si="46"/>
        <v>OK</v>
      </c>
      <c r="L721" s="24" t="str">
        <f t="shared" si="47"/>
        <v>Bueno</v>
      </c>
    </row>
    <row r="722" spans="1:12" ht="18" customHeight="1" x14ac:dyDescent="0.3">
      <c r="A722" s="25" t="s">
        <v>1491</v>
      </c>
      <c r="B722" s="8" t="s">
        <v>1492</v>
      </c>
      <c r="C722" s="25" t="s">
        <v>91</v>
      </c>
      <c r="D722" s="25" t="s">
        <v>68</v>
      </c>
      <c r="E722" s="9">
        <v>7700000</v>
      </c>
      <c r="F722" s="26">
        <v>0.63</v>
      </c>
      <c r="G722" s="25">
        <v>37</v>
      </c>
      <c r="H722" s="27">
        <v>5.2</v>
      </c>
      <c r="I722" s="21" t="str">
        <f t="shared" si="44"/>
        <v>No cumple</v>
      </c>
      <c r="J722" s="22" t="str">
        <f t="shared" si="45"/>
        <v>Sin bono</v>
      </c>
      <c r="K722" s="23" t="str">
        <f t="shared" si="46"/>
        <v>ALERTA</v>
      </c>
      <c r="L722" s="24" t="str">
        <f t="shared" si="47"/>
        <v>Revisar</v>
      </c>
    </row>
    <row r="723" spans="1:12" ht="18" customHeight="1" x14ac:dyDescent="0.3">
      <c r="A723" s="18" t="s">
        <v>1493</v>
      </c>
      <c r="B723" s="5" t="s">
        <v>1494</v>
      </c>
      <c r="C723" s="18" t="s">
        <v>77</v>
      </c>
      <c r="D723" s="18" t="s">
        <v>78</v>
      </c>
      <c r="E723" s="6">
        <v>9000000</v>
      </c>
      <c r="F723" s="19">
        <v>0.99</v>
      </c>
      <c r="G723" s="18">
        <v>55</v>
      </c>
      <c r="H723" s="20">
        <v>12.2</v>
      </c>
      <c r="I723" s="21" t="str">
        <f t="shared" si="44"/>
        <v>Cumple</v>
      </c>
      <c r="J723" s="22" t="str">
        <f t="shared" si="45"/>
        <v>Sin bono</v>
      </c>
      <c r="K723" s="23" t="str">
        <f t="shared" si="46"/>
        <v>OK</v>
      </c>
      <c r="L723" s="24" t="str">
        <f t="shared" si="47"/>
        <v>Revisar</v>
      </c>
    </row>
    <row r="724" spans="1:12" ht="18" customHeight="1" x14ac:dyDescent="0.3">
      <c r="A724" s="25" t="s">
        <v>1495</v>
      </c>
      <c r="B724" s="8" t="s">
        <v>1496</v>
      </c>
      <c r="C724" s="25" t="s">
        <v>77</v>
      </c>
      <c r="D724" s="25" t="s">
        <v>78</v>
      </c>
      <c r="E724" s="9">
        <v>4600000</v>
      </c>
      <c r="F724" s="26">
        <v>0.75</v>
      </c>
      <c r="G724" s="25">
        <v>85</v>
      </c>
      <c r="H724" s="27">
        <v>4.4000000000000004</v>
      </c>
      <c r="I724" s="21" t="str">
        <f t="shared" si="44"/>
        <v>No cumple</v>
      </c>
      <c r="J724" s="22" t="str">
        <f t="shared" si="45"/>
        <v>Sin bono</v>
      </c>
      <c r="K724" s="23" t="str">
        <f t="shared" si="46"/>
        <v>OK</v>
      </c>
      <c r="L724" s="24" t="str">
        <f t="shared" si="47"/>
        <v>Revisar</v>
      </c>
    </row>
    <row r="725" spans="1:12" ht="18" customHeight="1" x14ac:dyDescent="0.3">
      <c r="A725" s="18" t="s">
        <v>1497</v>
      </c>
      <c r="B725" s="5" t="s">
        <v>1498</v>
      </c>
      <c r="C725" s="18" t="s">
        <v>59</v>
      </c>
      <c r="D725" s="18" t="s">
        <v>78</v>
      </c>
      <c r="E725" s="6">
        <v>3200000</v>
      </c>
      <c r="F725" s="19">
        <v>0.49</v>
      </c>
      <c r="G725" s="18">
        <v>62</v>
      </c>
      <c r="H725" s="20">
        <v>15.5</v>
      </c>
      <c r="I725" s="21" t="str">
        <f t="shared" si="44"/>
        <v>No cumple</v>
      </c>
      <c r="J725" s="22" t="str">
        <f t="shared" si="45"/>
        <v>Sin bono</v>
      </c>
      <c r="K725" s="23" t="str">
        <f t="shared" si="46"/>
        <v>ALERTA</v>
      </c>
      <c r="L725" s="24" t="str">
        <f t="shared" si="47"/>
        <v>Revisar</v>
      </c>
    </row>
    <row r="726" spans="1:12" ht="18" customHeight="1" x14ac:dyDescent="0.3">
      <c r="A726" s="25" t="s">
        <v>1499</v>
      </c>
      <c r="B726" s="8" t="s">
        <v>1500</v>
      </c>
      <c r="C726" s="25" t="s">
        <v>77</v>
      </c>
      <c r="D726" s="25" t="s">
        <v>114</v>
      </c>
      <c r="E726" s="9">
        <v>11100000</v>
      </c>
      <c r="F726" s="26">
        <v>0.8</v>
      </c>
      <c r="G726" s="25">
        <v>34</v>
      </c>
      <c r="H726" s="27">
        <v>13.3</v>
      </c>
      <c r="I726" s="21" t="str">
        <f t="shared" si="44"/>
        <v>Cumple</v>
      </c>
      <c r="J726" s="22" t="str">
        <f t="shared" si="45"/>
        <v>Sin bono</v>
      </c>
      <c r="K726" s="23" t="str">
        <f t="shared" si="46"/>
        <v>ALERTA</v>
      </c>
      <c r="L726" s="24" t="str">
        <f t="shared" si="47"/>
        <v>Revisar</v>
      </c>
    </row>
    <row r="727" spans="1:12" ht="18" customHeight="1" x14ac:dyDescent="0.3">
      <c r="A727" s="18" t="s">
        <v>1501</v>
      </c>
      <c r="B727" s="5" t="s">
        <v>1502</v>
      </c>
      <c r="C727" s="18" t="s">
        <v>77</v>
      </c>
      <c r="D727" s="18" t="s">
        <v>105</v>
      </c>
      <c r="E727" s="6">
        <v>8300000</v>
      </c>
      <c r="F727" s="19">
        <v>0.67</v>
      </c>
      <c r="G727" s="18">
        <v>38</v>
      </c>
      <c r="H727" s="20">
        <v>10.8</v>
      </c>
      <c r="I727" s="21" t="str">
        <f t="shared" si="44"/>
        <v>No cumple</v>
      </c>
      <c r="J727" s="22" t="str">
        <f t="shared" si="45"/>
        <v>Sin bono</v>
      </c>
      <c r="K727" s="23" t="str">
        <f t="shared" si="46"/>
        <v>ALERTA</v>
      </c>
      <c r="L727" s="24" t="str">
        <f t="shared" si="47"/>
        <v>Revisar</v>
      </c>
    </row>
    <row r="728" spans="1:12" ht="18" customHeight="1" x14ac:dyDescent="0.3">
      <c r="A728" s="25" t="s">
        <v>1503</v>
      </c>
      <c r="B728" s="8" t="s">
        <v>1504</v>
      </c>
      <c r="C728" s="25" t="s">
        <v>77</v>
      </c>
      <c r="D728" s="25" t="s">
        <v>78</v>
      </c>
      <c r="E728" s="9">
        <v>10000000</v>
      </c>
      <c r="F728" s="26">
        <v>0.74</v>
      </c>
      <c r="G728" s="25">
        <v>75</v>
      </c>
      <c r="H728" s="27">
        <v>6.7</v>
      </c>
      <c r="I728" s="21" t="str">
        <f t="shared" si="44"/>
        <v>No cumple</v>
      </c>
      <c r="J728" s="22" t="str">
        <f t="shared" si="45"/>
        <v>Sin bono</v>
      </c>
      <c r="K728" s="23" t="str">
        <f t="shared" si="46"/>
        <v>OK</v>
      </c>
      <c r="L728" s="24" t="str">
        <f t="shared" si="47"/>
        <v>Revisar</v>
      </c>
    </row>
    <row r="729" spans="1:12" ht="18" customHeight="1" x14ac:dyDescent="0.3">
      <c r="A729" s="18" t="s">
        <v>1505</v>
      </c>
      <c r="B729" s="5" t="s">
        <v>1506</v>
      </c>
      <c r="C729" s="18" t="s">
        <v>81</v>
      </c>
      <c r="D729" s="18" t="s">
        <v>78</v>
      </c>
      <c r="E729" s="6">
        <v>8600000</v>
      </c>
      <c r="F729" s="19">
        <v>0.87</v>
      </c>
      <c r="G729" s="18">
        <v>67</v>
      </c>
      <c r="H729" s="20">
        <v>13</v>
      </c>
      <c r="I729" s="21" t="str">
        <f t="shared" si="44"/>
        <v>Cumple</v>
      </c>
      <c r="J729" s="22" t="str">
        <f t="shared" si="45"/>
        <v>Sin bono</v>
      </c>
      <c r="K729" s="23" t="str">
        <f t="shared" si="46"/>
        <v>OK</v>
      </c>
      <c r="L729" s="24" t="str">
        <f t="shared" si="47"/>
        <v>Revisar</v>
      </c>
    </row>
    <row r="730" spans="1:12" ht="18" customHeight="1" x14ac:dyDescent="0.3">
      <c r="A730" s="25" t="s">
        <v>1507</v>
      </c>
      <c r="B730" s="8" t="s">
        <v>1508</v>
      </c>
      <c r="C730" s="25" t="s">
        <v>63</v>
      </c>
      <c r="D730" s="25" t="s">
        <v>78</v>
      </c>
      <c r="E730" s="9">
        <v>10800000</v>
      </c>
      <c r="F730" s="26">
        <v>0.83</v>
      </c>
      <c r="G730" s="25">
        <v>92</v>
      </c>
      <c r="H730" s="27">
        <v>1.7</v>
      </c>
      <c r="I730" s="21" t="str">
        <f t="shared" si="44"/>
        <v>Cumple</v>
      </c>
      <c r="J730" s="22" t="str">
        <f t="shared" si="45"/>
        <v>BONO</v>
      </c>
      <c r="K730" s="23" t="str">
        <f t="shared" si="46"/>
        <v>OK</v>
      </c>
      <c r="L730" s="24" t="str">
        <f t="shared" si="47"/>
        <v>Bueno</v>
      </c>
    </row>
    <row r="731" spans="1:12" ht="18" customHeight="1" x14ac:dyDescent="0.3">
      <c r="A731" s="18" t="s">
        <v>1509</v>
      </c>
      <c r="B731" s="5" t="s">
        <v>1510</v>
      </c>
      <c r="C731" s="18" t="s">
        <v>91</v>
      </c>
      <c r="D731" s="18" t="s">
        <v>60</v>
      </c>
      <c r="E731" s="6">
        <v>9000000</v>
      </c>
      <c r="F731" s="19">
        <v>0.66</v>
      </c>
      <c r="G731" s="18">
        <v>99</v>
      </c>
      <c r="H731" s="20">
        <v>12.9</v>
      </c>
      <c r="I731" s="21" t="str">
        <f t="shared" si="44"/>
        <v>No cumple</v>
      </c>
      <c r="J731" s="22" t="str">
        <f t="shared" si="45"/>
        <v>Sin bono</v>
      </c>
      <c r="K731" s="23" t="str">
        <f t="shared" si="46"/>
        <v>OK</v>
      </c>
      <c r="L731" s="24" t="str">
        <f t="shared" si="47"/>
        <v>Revisar</v>
      </c>
    </row>
    <row r="732" spans="1:12" ht="18" customHeight="1" x14ac:dyDescent="0.3">
      <c r="A732" s="25" t="s">
        <v>1511</v>
      </c>
      <c r="B732" s="8" t="s">
        <v>1512</v>
      </c>
      <c r="C732" s="25" t="s">
        <v>77</v>
      </c>
      <c r="D732" s="25" t="s">
        <v>64</v>
      </c>
      <c r="E732" s="9">
        <v>3200000</v>
      </c>
      <c r="F732" s="26">
        <v>0.64</v>
      </c>
      <c r="G732" s="25">
        <v>73</v>
      </c>
      <c r="H732" s="27">
        <v>15.8</v>
      </c>
      <c r="I732" s="21" t="str">
        <f t="shared" si="44"/>
        <v>No cumple</v>
      </c>
      <c r="J732" s="22" t="str">
        <f t="shared" si="45"/>
        <v>Sin bono</v>
      </c>
      <c r="K732" s="23" t="str">
        <f t="shared" si="46"/>
        <v>OK</v>
      </c>
      <c r="L732" s="24" t="str">
        <f t="shared" si="47"/>
        <v>Revisar</v>
      </c>
    </row>
    <row r="733" spans="1:12" ht="18" customHeight="1" x14ac:dyDescent="0.3">
      <c r="A733" s="18" t="s">
        <v>1513</v>
      </c>
      <c r="B733" s="5" t="s">
        <v>1514</v>
      </c>
      <c r="C733" s="18" t="s">
        <v>71</v>
      </c>
      <c r="D733" s="18" t="s">
        <v>105</v>
      </c>
      <c r="E733" s="6">
        <v>11100000</v>
      </c>
      <c r="F733" s="19">
        <v>0.46</v>
      </c>
      <c r="G733" s="18">
        <v>35</v>
      </c>
      <c r="H733" s="20">
        <v>4.9000000000000004</v>
      </c>
      <c r="I733" s="21" t="str">
        <f t="shared" si="44"/>
        <v>No cumple</v>
      </c>
      <c r="J733" s="22" t="str">
        <f t="shared" si="45"/>
        <v>Sin bono</v>
      </c>
      <c r="K733" s="23" t="str">
        <f t="shared" si="46"/>
        <v>ALERTA</v>
      </c>
      <c r="L733" s="24" t="str">
        <f t="shared" si="47"/>
        <v>Revisar</v>
      </c>
    </row>
    <row r="734" spans="1:12" ht="18" customHeight="1" x14ac:dyDescent="0.3">
      <c r="A734" s="25" t="s">
        <v>1515</v>
      </c>
      <c r="B734" s="8" t="s">
        <v>1516</v>
      </c>
      <c r="C734" s="25" t="s">
        <v>59</v>
      </c>
      <c r="D734" s="25" t="s">
        <v>78</v>
      </c>
      <c r="E734" s="9">
        <v>8600000</v>
      </c>
      <c r="F734" s="26">
        <v>0.79</v>
      </c>
      <c r="G734" s="25">
        <v>38</v>
      </c>
      <c r="H734" s="27">
        <v>16.399999999999999</v>
      </c>
      <c r="I734" s="21" t="str">
        <f t="shared" si="44"/>
        <v>No cumple</v>
      </c>
      <c r="J734" s="22" t="str">
        <f t="shared" si="45"/>
        <v>Sin bono</v>
      </c>
      <c r="K734" s="23" t="str">
        <f t="shared" si="46"/>
        <v>ALERTA</v>
      </c>
      <c r="L734" s="24" t="str">
        <f t="shared" si="47"/>
        <v>Revisar</v>
      </c>
    </row>
    <row r="735" spans="1:12" ht="18" customHeight="1" x14ac:dyDescent="0.3">
      <c r="A735" s="18" t="s">
        <v>1517</v>
      </c>
      <c r="B735" s="5" t="s">
        <v>1518</v>
      </c>
      <c r="C735" s="18" t="s">
        <v>67</v>
      </c>
      <c r="D735" s="18" t="s">
        <v>78</v>
      </c>
      <c r="E735" s="6">
        <v>5300000</v>
      </c>
      <c r="F735" s="19">
        <v>0.68</v>
      </c>
      <c r="G735" s="18">
        <v>81</v>
      </c>
      <c r="H735" s="20">
        <v>6.5</v>
      </c>
      <c r="I735" s="21" t="str">
        <f t="shared" si="44"/>
        <v>No cumple</v>
      </c>
      <c r="J735" s="22" t="str">
        <f t="shared" si="45"/>
        <v>Sin bono</v>
      </c>
      <c r="K735" s="23" t="str">
        <f t="shared" si="46"/>
        <v>OK</v>
      </c>
      <c r="L735" s="24" t="str">
        <f t="shared" si="47"/>
        <v>Revisar</v>
      </c>
    </row>
    <row r="736" spans="1:12" ht="18" customHeight="1" x14ac:dyDescent="0.3">
      <c r="A736" s="25" t="s">
        <v>1519</v>
      </c>
      <c r="B736" s="8" t="s">
        <v>1520</v>
      </c>
      <c r="C736" s="25" t="s">
        <v>71</v>
      </c>
      <c r="D736" s="25" t="s">
        <v>92</v>
      </c>
      <c r="E736" s="9">
        <v>5500000</v>
      </c>
      <c r="F736" s="26">
        <v>0.87</v>
      </c>
      <c r="G736" s="25">
        <v>52</v>
      </c>
      <c r="H736" s="27">
        <v>6.7</v>
      </c>
      <c r="I736" s="21" t="str">
        <f t="shared" si="44"/>
        <v>Cumple</v>
      </c>
      <c r="J736" s="22" t="str">
        <f t="shared" si="45"/>
        <v>Sin bono</v>
      </c>
      <c r="K736" s="23" t="str">
        <f t="shared" si="46"/>
        <v>OK</v>
      </c>
      <c r="L736" s="24" t="str">
        <f t="shared" si="47"/>
        <v>Revisar</v>
      </c>
    </row>
    <row r="737" spans="1:12" ht="18" customHeight="1" x14ac:dyDescent="0.3">
      <c r="A737" s="18" t="s">
        <v>1521</v>
      </c>
      <c r="B737" s="5" t="s">
        <v>1522</v>
      </c>
      <c r="C737" s="18" t="s">
        <v>91</v>
      </c>
      <c r="D737" s="18" t="s">
        <v>114</v>
      </c>
      <c r="E737" s="6">
        <v>4000000</v>
      </c>
      <c r="F737" s="19">
        <v>0.89</v>
      </c>
      <c r="G737" s="18">
        <v>78</v>
      </c>
      <c r="H737" s="20">
        <v>15.6</v>
      </c>
      <c r="I737" s="21" t="str">
        <f t="shared" si="44"/>
        <v>Cumple</v>
      </c>
      <c r="J737" s="22" t="str">
        <f t="shared" si="45"/>
        <v>BONO</v>
      </c>
      <c r="K737" s="23" t="str">
        <f t="shared" si="46"/>
        <v>OK</v>
      </c>
      <c r="L737" s="24" t="str">
        <f t="shared" si="47"/>
        <v>Bueno</v>
      </c>
    </row>
    <row r="738" spans="1:12" ht="18" customHeight="1" x14ac:dyDescent="0.3">
      <c r="A738" s="25" t="s">
        <v>1523</v>
      </c>
      <c r="B738" s="8" t="s">
        <v>1524</v>
      </c>
      <c r="C738" s="25" t="s">
        <v>91</v>
      </c>
      <c r="D738" s="25" t="s">
        <v>64</v>
      </c>
      <c r="E738" s="9">
        <v>5000000</v>
      </c>
      <c r="F738" s="26">
        <v>0.96</v>
      </c>
      <c r="G738" s="25">
        <v>66</v>
      </c>
      <c r="H738" s="27">
        <v>8.3000000000000007</v>
      </c>
      <c r="I738" s="21" t="str">
        <f t="shared" si="44"/>
        <v>Cumple</v>
      </c>
      <c r="J738" s="22" t="str">
        <f t="shared" si="45"/>
        <v>Sin bono</v>
      </c>
      <c r="K738" s="23" t="str">
        <f t="shared" si="46"/>
        <v>OK</v>
      </c>
      <c r="L738" s="24" t="str">
        <f t="shared" si="47"/>
        <v>Revisar</v>
      </c>
    </row>
    <row r="739" spans="1:12" ht="18" customHeight="1" x14ac:dyDescent="0.3">
      <c r="A739" s="18" t="s">
        <v>1525</v>
      </c>
      <c r="B739" s="5" t="s">
        <v>1526</v>
      </c>
      <c r="C739" s="18" t="s">
        <v>59</v>
      </c>
      <c r="D739" s="18" t="s">
        <v>105</v>
      </c>
      <c r="E739" s="6">
        <v>8000000</v>
      </c>
      <c r="F739" s="19">
        <v>0.57999999999999996</v>
      </c>
      <c r="G739" s="18">
        <v>52</v>
      </c>
      <c r="H739" s="20">
        <v>12.2</v>
      </c>
      <c r="I739" s="21" t="str">
        <f t="shared" si="44"/>
        <v>No cumple</v>
      </c>
      <c r="J739" s="22" t="str">
        <f t="shared" si="45"/>
        <v>Sin bono</v>
      </c>
      <c r="K739" s="23" t="str">
        <f t="shared" si="46"/>
        <v>ALERTA</v>
      </c>
      <c r="L739" s="24" t="str">
        <f t="shared" si="47"/>
        <v>Revisar</v>
      </c>
    </row>
    <row r="740" spans="1:12" ht="18" customHeight="1" x14ac:dyDescent="0.3">
      <c r="A740" s="25" t="s">
        <v>1527</v>
      </c>
      <c r="B740" s="8" t="s">
        <v>1528</v>
      </c>
      <c r="C740" s="25" t="s">
        <v>71</v>
      </c>
      <c r="D740" s="25" t="s">
        <v>105</v>
      </c>
      <c r="E740" s="9">
        <v>10600000</v>
      </c>
      <c r="F740" s="26">
        <v>0.97</v>
      </c>
      <c r="G740" s="25">
        <v>68</v>
      </c>
      <c r="H740" s="27">
        <v>7</v>
      </c>
      <c r="I740" s="21" t="str">
        <f t="shared" si="44"/>
        <v>Cumple</v>
      </c>
      <c r="J740" s="22" t="str">
        <f t="shared" si="45"/>
        <v>Sin bono</v>
      </c>
      <c r="K740" s="23" t="str">
        <f t="shared" si="46"/>
        <v>OK</v>
      </c>
      <c r="L740" s="24" t="str">
        <f t="shared" si="47"/>
        <v>Revisar</v>
      </c>
    </row>
    <row r="741" spans="1:12" ht="18" customHeight="1" x14ac:dyDescent="0.3">
      <c r="A741" s="18" t="s">
        <v>1529</v>
      </c>
      <c r="B741" s="5" t="s">
        <v>1530</v>
      </c>
      <c r="C741" s="18" t="s">
        <v>74</v>
      </c>
      <c r="D741" s="18" t="s">
        <v>92</v>
      </c>
      <c r="E741" s="6">
        <v>9700000</v>
      </c>
      <c r="F741" s="19">
        <v>0.73</v>
      </c>
      <c r="G741" s="18">
        <v>89</v>
      </c>
      <c r="H741" s="20">
        <v>15.4</v>
      </c>
      <c r="I741" s="21" t="str">
        <f t="shared" si="44"/>
        <v>No cumple</v>
      </c>
      <c r="J741" s="22" t="str">
        <f t="shared" si="45"/>
        <v>Sin bono</v>
      </c>
      <c r="K741" s="23" t="str">
        <f t="shared" si="46"/>
        <v>OK</v>
      </c>
      <c r="L741" s="24" t="str">
        <f t="shared" si="47"/>
        <v>Revisar</v>
      </c>
    </row>
    <row r="742" spans="1:12" ht="18" customHeight="1" x14ac:dyDescent="0.3">
      <c r="A742" s="25" t="s">
        <v>1531</v>
      </c>
      <c r="B742" s="8" t="s">
        <v>1532</v>
      </c>
      <c r="C742" s="25" t="s">
        <v>91</v>
      </c>
      <c r="D742" s="25" t="s">
        <v>60</v>
      </c>
      <c r="E742" s="9">
        <v>4200000</v>
      </c>
      <c r="F742" s="26">
        <v>0.89</v>
      </c>
      <c r="G742" s="25">
        <v>90</v>
      </c>
      <c r="H742" s="27">
        <v>10</v>
      </c>
      <c r="I742" s="21" t="str">
        <f t="shared" si="44"/>
        <v>Cumple</v>
      </c>
      <c r="J742" s="22" t="str">
        <f t="shared" si="45"/>
        <v>BONO</v>
      </c>
      <c r="K742" s="23" t="str">
        <f t="shared" si="46"/>
        <v>OK</v>
      </c>
      <c r="L742" s="24" t="str">
        <f t="shared" si="47"/>
        <v>Bueno</v>
      </c>
    </row>
    <row r="743" spans="1:12" ht="18" customHeight="1" x14ac:dyDescent="0.3">
      <c r="A743" s="18" t="s">
        <v>1533</v>
      </c>
      <c r="B743" s="5" t="s">
        <v>1534</v>
      </c>
      <c r="C743" s="18" t="s">
        <v>67</v>
      </c>
      <c r="D743" s="18" t="s">
        <v>68</v>
      </c>
      <c r="E743" s="6">
        <v>6000000</v>
      </c>
      <c r="F743" s="19">
        <v>0.63</v>
      </c>
      <c r="G743" s="18">
        <v>88</v>
      </c>
      <c r="H743" s="20">
        <v>0.9</v>
      </c>
      <c r="I743" s="21" t="str">
        <f t="shared" si="44"/>
        <v>No cumple</v>
      </c>
      <c r="J743" s="22" t="str">
        <f t="shared" si="45"/>
        <v>Sin bono</v>
      </c>
      <c r="K743" s="23" t="str">
        <f t="shared" si="46"/>
        <v>OK</v>
      </c>
      <c r="L743" s="24" t="str">
        <f t="shared" si="47"/>
        <v>Revisar</v>
      </c>
    </row>
    <row r="744" spans="1:12" ht="18" customHeight="1" x14ac:dyDescent="0.3">
      <c r="A744" s="25" t="s">
        <v>1535</v>
      </c>
      <c r="B744" s="8" t="s">
        <v>1536</v>
      </c>
      <c r="C744" s="25" t="s">
        <v>91</v>
      </c>
      <c r="D744" s="25" t="s">
        <v>105</v>
      </c>
      <c r="E744" s="9">
        <v>9300000</v>
      </c>
      <c r="F744" s="26">
        <v>0.51</v>
      </c>
      <c r="G744" s="25">
        <v>60</v>
      </c>
      <c r="H744" s="27">
        <v>14.4</v>
      </c>
      <c r="I744" s="21" t="str">
        <f t="shared" si="44"/>
        <v>No cumple</v>
      </c>
      <c r="J744" s="22" t="str">
        <f t="shared" si="45"/>
        <v>Sin bono</v>
      </c>
      <c r="K744" s="23" t="str">
        <f t="shared" si="46"/>
        <v>ALERTA</v>
      </c>
      <c r="L744" s="24" t="str">
        <f t="shared" si="47"/>
        <v>Revisar</v>
      </c>
    </row>
    <row r="745" spans="1:12" ht="18" customHeight="1" x14ac:dyDescent="0.3">
      <c r="A745" s="18" t="s">
        <v>1537</v>
      </c>
      <c r="B745" s="5" t="s">
        <v>1538</v>
      </c>
      <c r="C745" s="18" t="s">
        <v>81</v>
      </c>
      <c r="D745" s="18" t="s">
        <v>60</v>
      </c>
      <c r="E745" s="6">
        <v>4200000</v>
      </c>
      <c r="F745" s="19">
        <v>0.63</v>
      </c>
      <c r="G745" s="18">
        <v>42</v>
      </c>
      <c r="H745" s="20">
        <v>4.7</v>
      </c>
      <c r="I745" s="21" t="str">
        <f t="shared" si="44"/>
        <v>No cumple</v>
      </c>
      <c r="J745" s="22" t="str">
        <f t="shared" si="45"/>
        <v>Sin bono</v>
      </c>
      <c r="K745" s="23" t="str">
        <f t="shared" si="46"/>
        <v>ALERTA</v>
      </c>
      <c r="L745" s="24" t="str">
        <f t="shared" si="47"/>
        <v>Revisar</v>
      </c>
    </row>
    <row r="746" spans="1:12" ht="18" customHeight="1" x14ac:dyDescent="0.3">
      <c r="A746" s="25" t="s">
        <v>1539</v>
      </c>
      <c r="B746" s="8" t="s">
        <v>1540</v>
      </c>
      <c r="C746" s="25" t="s">
        <v>67</v>
      </c>
      <c r="D746" s="25" t="s">
        <v>68</v>
      </c>
      <c r="E746" s="9">
        <v>5600000</v>
      </c>
      <c r="F746" s="26">
        <v>0.49</v>
      </c>
      <c r="G746" s="25">
        <v>92</v>
      </c>
      <c r="H746" s="27">
        <v>1.1000000000000001</v>
      </c>
      <c r="I746" s="21" t="str">
        <f t="shared" si="44"/>
        <v>No cumple</v>
      </c>
      <c r="J746" s="22" t="str">
        <f t="shared" si="45"/>
        <v>Sin bono</v>
      </c>
      <c r="K746" s="23" t="str">
        <f t="shared" si="46"/>
        <v>ALERTA</v>
      </c>
      <c r="L746" s="24" t="str">
        <f t="shared" si="47"/>
        <v>Revisar</v>
      </c>
    </row>
    <row r="747" spans="1:12" ht="18" customHeight="1" x14ac:dyDescent="0.3">
      <c r="A747" s="18" t="s">
        <v>1541</v>
      </c>
      <c r="B747" s="5" t="s">
        <v>1542</v>
      </c>
      <c r="C747" s="18" t="s">
        <v>67</v>
      </c>
      <c r="D747" s="18" t="s">
        <v>105</v>
      </c>
      <c r="E747" s="6">
        <v>5000000</v>
      </c>
      <c r="F747" s="19">
        <v>0.66</v>
      </c>
      <c r="G747" s="18">
        <v>47</v>
      </c>
      <c r="H747" s="20">
        <v>9.1999999999999993</v>
      </c>
      <c r="I747" s="21" t="str">
        <f t="shared" si="44"/>
        <v>No cumple</v>
      </c>
      <c r="J747" s="22" t="str">
        <f t="shared" si="45"/>
        <v>Sin bono</v>
      </c>
      <c r="K747" s="23" t="str">
        <f t="shared" si="46"/>
        <v>ALERTA</v>
      </c>
      <c r="L747" s="24" t="str">
        <f t="shared" si="47"/>
        <v>Revisar</v>
      </c>
    </row>
    <row r="748" spans="1:12" ht="18" customHeight="1" x14ac:dyDescent="0.3">
      <c r="A748" s="25" t="s">
        <v>1543</v>
      </c>
      <c r="B748" s="8" t="s">
        <v>1544</v>
      </c>
      <c r="C748" s="25" t="s">
        <v>81</v>
      </c>
      <c r="D748" s="25" t="s">
        <v>88</v>
      </c>
      <c r="E748" s="9">
        <v>5300000</v>
      </c>
      <c r="F748" s="26">
        <v>0.63</v>
      </c>
      <c r="G748" s="25">
        <v>34</v>
      </c>
      <c r="H748" s="27">
        <v>13.8</v>
      </c>
      <c r="I748" s="21" t="str">
        <f t="shared" si="44"/>
        <v>No cumple</v>
      </c>
      <c r="J748" s="22" t="str">
        <f t="shared" si="45"/>
        <v>Sin bono</v>
      </c>
      <c r="K748" s="23" t="str">
        <f t="shared" si="46"/>
        <v>ALERTA</v>
      </c>
      <c r="L748" s="24" t="str">
        <f t="shared" si="47"/>
        <v>Revisar</v>
      </c>
    </row>
    <row r="749" spans="1:12" ht="18" customHeight="1" x14ac:dyDescent="0.3">
      <c r="A749" s="18" t="s">
        <v>1545</v>
      </c>
      <c r="B749" s="5" t="s">
        <v>1546</v>
      </c>
      <c r="C749" s="18" t="s">
        <v>71</v>
      </c>
      <c r="D749" s="18" t="s">
        <v>78</v>
      </c>
      <c r="E749" s="6">
        <v>8700000</v>
      </c>
      <c r="F749" s="19">
        <v>0.7</v>
      </c>
      <c r="G749" s="18">
        <v>51</v>
      </c>
      <c r="H749" s="20">
        <v>15.2</v>
      </c>
      <c r="I749" s="21" t="str">
        <f t="shared" si="44"/>
        <v>No cumple</v>
      </c>
      <c r="J749" s="22" t="str">
        <f t="shared" si="45"/>
        <v>Sin bono</v>
      </c>
      <c r="K749" s="23" t="str">
        <f t="shared" si="46"/>
        <v>OK</v>
      </c>
      <c r="L749" s="24" t="str">
        <f t="shared" si="47"/>
        <v>Revisar</v>
      </c>
    </row>
    <row r="750" spans="1:12" ht="18" customHeight="1" x14ac:dyDescent="0.3">
      <c r="A750" s="25" t="s">
        <v>1547</v>
      </c>
      <c r="B750" s="8" t="s">
        <v>1548</v>
      </c>
      <c r="C750" s="25" t="s">
        <v>59</v>
      </c>
      <c r="D750" s="25" t="s">
        <v>114</v>
      </c>
      <c r="E750" s="9">
        <v>10900000</v>
      </c>
      <c r="F750" s="26">
        <v>0.97</v>
      </c>
      <c r="G750" s="25">
        <v>51</v>
      </c>
      <c r="H750" s="27">
        <v>11.6</v>
      </c>
      <c r="I750" s="21" t="str">
        <f t="shared" si="44"/>
        <v>Cumple</v>
      </c>
      <c r="J750" s="22" t="str">
        <f t="shared" si="45"/>
        <v>Sin bono</v>
      </c>
      <c r="K750" s="23" t="str">
        <f t="shared" si="46"/>
        <v>OK</v>
      </c>
      <c r="L750" s="24" t="str">
        <f t="shared" si="47"/>
        <v>Revisar</v>
      </c>
    </row>
    <row r="751" spans="1:12" ht="18" customHeight="1" x14ac:dyDescent="0.3">
      <c r="A751" s="18" t="s">
        <v>1549</v>
      </c>
      <c r="B751" s="5" t="s">
        <v>1550</v>
      </c>
      <c r="C751" s="18" t="s">
        <v>63</v>
      </c>
      <c r="D751" s="18" t="s">
        <v>105</v>
      </c>
      <c r="E751" s="6">
        <v>5500000</v>
      </c>
      <c r="F751" s="19">
        <v>0.78</v>
      </c>
      <c r="G751" s="18">
        <v>89</v>
      </c>
      <c r="H751" s="20">
        <v>5.6</v>
      </c>
      <c r="I751" s="21" t="str">
        <f t="shared" si="44"/>
        <v>No cumple</v>
      </c>
      <c r="J751" s="22" t="str">
        <f t="shared" si="45"/>
        <v>Sin bono</v>
      </c>
      <c r="K751" s="23" t="str">
        <f t="shared" si="46"/>
        <v>OK</v>
      </c>
      <c r="L751" s="24" t="str">
        <f t="shared" si="47"/>
        <v>Revisar</v>
      </c>
    </row>
    <row r="752" spans="1:12" ht="18" customHeight="1" x14ac:dyDescent="0.3">
      <c r="A752" s="25" t="s">
        <v>1551</v>
      </c>
      <c r="B752" s="8" t="s">
        <v>1552</v>
      </c>
      <c r="C752" s="25" t="s">
        <v>81</v>
      </c>
      <c r="D752" s="25" t="s">
        <v>68</v>
      </c>
      <c r="E752" s="9">
        <v>10200000</v>
      </c>
      <c r="F752" s="26">
        <v>0.56999999999999995</v>
      </c>
      <c r="G752" s="25">
        <v>49</v>
      </c>
      <c r="H752" s="27">
        <v>18.3</v>
      </c>
      <c r="I752" s="21" t="str">
        <f t="shared" si="44"/>
        <v>No cumple</v>
      </c>
      <c r="J752" s="22" t="str">
        <f t="shared" si="45"/>
        <v>Sin bono</v>
      </c>
      <c r="K752" s="23" t="str">
        <f t="shared" si="46"/>
        <v>ALERTA</v>
      </c>
      <c r="L752" s="24" t="str">
        <f t="shared" si="47"/>
        <v>Revisar</v>
      </c>
    </row>
    <row r="753" spans="1:12" ht="18" customHeight="1" x14ac:dyDescent="0.3">
      <c r="A753" s="18" t="s">
        <v>1553</v>
      </c>
      <c r="B753" s="5" t="s">
        <v>1554</v>
      </c>
      <c r="C753" s="18" t="s">
        <v>91</v>
      </c>
      <c r="D753" s="18" t="s">
        <v>64</v>
      </c>
      <c r="E753" s="6">
        <v>8800000</v>
      </c>
      <c r="F753" s="19">
        <v>0.85</v>
      </c>
      <c r="G753" s="18">
        <v>94</v>
      </c>
      <c r="H753" s="20">
        <v>0.7</v>
      </c>
      <c r="I753" s="21" t="str">
        <f t="shared" si="44"/>
        <v>Cumple</v>
      </c>
      <c r="J753" s="22" t="str">
        <f t="shared" si="45"/>
        <v>BONO</v>
      </c>
      <c r="K753" s="23" t="str">
        <f t="shared" si="46"/>
        <v>OK</v>
      </c>
      <c r="L753" s="24" t="str">
        <f t="shared" si="47"/>
        <v>Bueno</v>
      </c>
    </row>
    <row r="754" spans="1:12" ht="18" customHeight="1" x14ac:dyDescent="0.3">
      <c r="A754" s="25" t="s">
        <v>1555</v>
      </c>
      <c r="B754" s="8" t="s">
        <v>1556</v>
      </c>
      <c r="C754" s="25" t="s">
        <v>77</v>
      </c>
      <c r="D754" s="25" t="s">
        <v>78</v>
      </c>
      <c r="E754" s="9">
        <v>8500000</v>
      </c>
      <c r="F754" s="26">
        <v>0.72</v>
      </c>
      <c r="G754" s="25">
        <v>40</v>
      </c>
      <c r="H754" s="27">
        <v>11.2</v>
      </c>
      <c r="I754" s="21" t="str">
        <f t="shared" si="44"/>
        <v>No cumple</v>
      </c>
      <c r="J754" s="22" t="str">
        <f t="shared" si="45"/>
        <v>Sin bono</v>
      </c>
      <c r="K754" s="23" t="str">
        <f t="shared" si="46"/>
        <v>ALERTA</v>
      </c>
      <c r="L754" s="24" t="str">
        <f t="shared" si="47"/>
        <v>Revisar</v>
      </c>
    </row>
    <row r="755" spans="1:12" ht="18" customHeight="1" x14ac:dyDescent="0.3">
      <c r="A755" s="18" t="s">
        <v>1557</v>
      </c>
      <c r="B755" s="5" t="s">
        <v>1558</v>
      </c>
      <c r="C755" s="18" t="s">
        <v>71</v>
      </c>
      <c r="D755" s="18" t="s">
        <v>92</v>
      </c>
      <c r="E755" s="6">
        <v>6500000</v>
      </c>
      <c r="F755" s="19">
        <v>0.57999999999999996</v>
      </c>
      <c r="G755" s="18">
        <v>41</v>
      </c>
      <c r="H755" s="20">
        <v>0.3</v>
      </c>
      <c r="I755" s="21" t="str">
        <f t="shared" si="44"/>
        <v>No cumple</v>
      </c>
      <c r="J755" s="22" t="str">
        <f t="shared" si="45"/>
        <v>Sin bono</v>
      </c>
      <c r="K755" s="23" t="str">
        <f t="shared" si="46"/>
        <v>ALERTA</v>
      </c>
      <c r="L755" s="24" t="str">
        <f t="shared" si="47"/>
        <v>Revisar</v>
      </c>
    </row>
    <row r="756" spans="1:12" ht="18" customHeight="1" x14ac:dyDescent="0.3">
      <c r="A756" s="25" t="s">
        <v>1559</v>
      </c>
      <c r="B756" s="8" t="s">
        <v>1560</v>
      </c>
      <c r="C756" s="25" t="s">
        <v>77</v>
      </c>
      <c r="D756" s="25" t="s">
        <v>105</v>
      </c>
      <c r="E756" s="9">
        <v>4500000</v>
      </c>
      <c r="F756" s="26">
        <v>0.93</v>
      </c>
      <c r="G756" s="25">
        <v>81</v>
      </c>
      <c r="H756" s="27">
        <v>3.7</v>
      </c>
      <c r="I756" s="21" t="str">
        <f t="shared" si="44"/>
        <v>Cumple</v>
      </c>
      <c r="J756" s="22" t="str">
        <f t="shared" si="45"/>
        <v>BONO</v>
      </c>
      <c r="K756" s="23" t="str">
        <f t="shared" si="46"/>
        <v>OK</v>
      </c>
      <c r="L756" s="24" t="str">
        <f t="shared" si="47"/>
        <v>Bueno</v>
      </c>
    </row>
    <row r="757" spans="1:12" ht="18" customHeight="1" x14ac:dyDescent="0.3">
      <c r="A757" s="18" t="s">
        <v>1561</v>
      </c>
      <c r="B757" s="5" t="s">
        <v>1562</v>
      </c>
      <c r="C757" s="18" t="s">
        <v>77</v>
      </c>
      <c r="D757" s="18" t="s">
        <v>64</v>
      </c>
      <c r="E757" s="6">
        <v>10800000</v>
      </c>
      <c r="F757" s="19">
        <v>0.49</v>
      </c>
      <c r="G757" s="18">
        <v>72</v>
      </c>
      <c r="H757" s="20">
        <v>10.6</v>
      </c>
      <c r="I757" s="21" t="str">
        <f t="shared" si="44"/>
        <v>No cumple</v>
      </c>
      <c r="J757" s="22" t="str">
        <f t="shared" si="45"/>
        <v>Sin bono</v>
      </c>
      <c r="K757" s="23" t="str">
        <f t="shared" si="46"/>
        <v>ALERTA</v>
      </c>
      <c r="L757" s="24" t="str">
        <f t="shared" si="47"/>
        <v>Revisar</v>
      </c>
    </row>
    <row r="758" spans="1:12" ht="18" customHeight="1" x14ac:dyDescent="0.3">
      <c r="A758" s="25" t="s">
        <v>1563</v>
      </c>
      <c r="B758" s="8" t="s">
        <v>1564</v>
      </c>
      <c r="C758" s="25" t="s">
        <v>67</v>
      </c>
      <c r="D758" s="25" t="s">
        <v>78</v>
      </c>
      <c r="E758" s="9">
        <v>10700000</v>
      </c>
      <c r="F758" s="26">
        <v>0.93</v>
      </c>
      <c r="G758" s="25">
        <v>37</v>
      </c>
      <c r="H758" s="27">
        <v>10.3</v>
      </c>
      <c r="I758" s="21" t="str">
        <f t="shared" si="44"/>
        <v>Cumple</v>
      </c>
      <c r="J758" s="22" t="str">
        <f t="shared" si="45"/>
        <v>Sin bono</v>
      </c>
      <c r="K758" s="23" t="str">
        <f t="shared" si="46"/>
        <v>ALERTA</v>
      </c>
      <c r="L758" s="24" t="str">
        <f t="shared" si="47"/>
        <v>Revisar</v>
      </c>
    </row>
    <row r="759" spans="1:12" ht="18" customHeight="1" x14ac:dyDescent="0.3">
      <c r="A759" s="18" t="s">
        <v>1565</v>
      </c>
      <c r="B759" s="5" t="s">
        <v>1566</v>
      </c>
      <c r="C759" s="18" t="s">
        <v>91</v>
      </c>
      <c r="D759" s="18" t="s">
        <v>78</v>
      </c>
      <c r="E759" s="6">
        <v>7700000</v>
      </c>
      <c r="F759" s="19">
        <v>0.65</v>
      </c>
      <c r="G759" s="18">
        <v>35</v>
      </c>
      <c r="H759" s="20">
        <v>7.3</v>
      </c>
      <c r="I759" s="21" t="str">
        <f t="shared" si="44"/>
        <v>No cumple</v>
      </c>
      <c r="J759" s="22" t="str">
        <f t="shared" si="45"/>
        <v>Sin bono</v>
      </c>
      <c r="K759" s="23" t="str">
        <f t="shared" si="46"/>
        <v>ALERTA</v>
      </c>
      <c r="L759" s="24" t="str">
        <f t="shared" si="47"/>
        <v>Revisar</v>
      </c>
    </row>
    <row r="760" spans="1:12" ht="18" customHeight="1" x14ac:dyDescent="0.3">
      <c r="A760" s="25" t="s">
        <v>1567</v>
      </c>
      <c r="B760" s="8" t="s">
        <v>1568</v>
      </c>
      <c r="C760" s="25" t="s">
        <v>67</v>
      </c>
      <c r="D760" s="25" t="s">
        <v>114</v>
      </c>
      <c r="E760" s="9">
        <v>7000000</v>
      </c>
      <c r="F760" s="26">
        <v>0.57999999999999996</v>
      </c>
      <c r="G760" s="25">
        <v>44</v>
      </c>
      <c r="H760" s="27">
        <v>13</v>
      </c>
      <c r="I760" s="21" t="str">
        <f t="shared" si="44"/>
        <v>No cumple</v>
      </c>
      <c r="J760" s="22" t="str">
        <f t="shared" si="45"/>
        <v>Sin bono</v>
      </c>
      <c r="K760" s="23" t="str">
        <f t="shared" si="46"/>
        <v>ALERTA</v>
      </c>
      <c r="L760" s="24" t="str">
        <f t="shared" si="47"/>
        <v>Revisar</v>
      </c>
    </row>
    <row r="761" spans="1:12" ht="18" customHeight="1" x14ac:dyDescent="0.3">
      <c r="A761" s="18" t="s">
        <v>1569</v>
      </c>
      <c r="B761" s="5" t="s">
        <v>1570</v>
      </c>
      <c r="C761" s="18" t="s">
        <v>91</v>
      </c>
      <c r="D761" s="18" t="s">
        <v>78</v>
      </c>
      <c r="E761" s="6">
        <v>7500000</v>
      </c>
      <c r="F761" s="19">
        <v>0.64</v>
      </c>
      <c r="G761" s="18">
        <v>92</v>
      </c>
      <c r="H761" s="20">
        <v>10</v>
      </c>
      <c r="I761" s="21" t="str">
        <f t="shared" si="44"/>
        <v>No cumple</v>
      </c>
      <c r="J761" s="22" t="str">
        <f t="shared" si="45"/>
        <v>Sin bono</v>
      </c>
      <c r="K761" s="23" t="str">
        <f t="shared" si="46"/>
        <v>OK</v>
      </c>
      <c r="L761" s="24" t="str">
        <f t="shared" si="47"/>
        <v>Revisar</v>
      </c>
    </row>
    <row r="762" spans="1:12" ht="18" customHeight="1" x14ac:dyDescent="0.3">
      <c r="A762" s="25" t="s">
        <v>1571</v>
      </c>
      <c r="B762" s="8" t="s">
        <v>1572</v>
      </c>
      <c r="C762" s="25" t="s">
        <v>59</v>
      </c>
      <c r="D762" s="25" t="s">
        <v>105</v>
      </c>
      <c r="E762" s="9">
        <v>10700000</v>
      </c>
      <c r="F762" s="26">
        <v>0.65</v>
      </c>
      <c r="G762" s="25">
        <v>38</v>
      </c>
      <c r="H762" s="27">
        <v>3.8</v>
      </c>
      <c r="I762" s="21" t="str">
        <f t="shared" si="44"/>
        <v>No cumple</v>
      </c>
      <c r="J762" s="22" t="str">
        <f t="shared" si="45"/>
        <v>Sin bono</v>
      </c>
      <c r="K762" s="23" t="str">
        <f t="shared" si="46"/>
        <v>ALERTA</v>
      </c>
      <c r="L762" s="24" t="str">
        <f t="shared" si="47"/>
        <v>Revisar</v>
      </c>
    </row>
    <row r="763" spans="1:12" ht="18" customHeight="1" x14ac:dyDescent="0.3">
      <c r="A763" s="18" t="s">
        <v>1573</v>
      </c>
      <c r="B763" s="5" t="s">
        <v>1574</v>
      </c>
      <c r="C763" s="18" t="s">
        <v>74</v>
      </c>
      <c r="D763" s="18" t="s">
        <v>78</v>
      </c>
      <c r="E763" s="6">
        <v>4900000</v>
      </c>
      <c r="F763" s="19">
        <v>0.6</v>
      </c>
      <c r="G763" s="18">
        <v>48</v>
      </c>
      <c r="H763" s="20">
        <v>9.9</v>
      </c>
      <c r="I763" s="21" t="str">
        <f t="shared" si="44"/>
        <v>No cumple</v>
      </c>
      <c r="J763" s="22" t="str">
        <f t="shared" si="45"/>
        <v>Sin bono</v>
      </c>
      <c r="K763" s="23" t="str">
        <f t="shared" si="46"/>
        <v>ALERTA</v>
      </c>
      <c r="L763" s="24" t="str">
        <f t="shared" si="47"/>
        <v>Revisar</v>
      </c>
    </row>
    <row r="764" spans="1:12" ht="18" customHeight="1" x14ac:dyDescent="0.3">
      <c r="A764" s="25" t="s">
        <v>1575</v>
      </c>
      <c r="B764" s="8" t="s">
        <v>1576</v>
      </c>
      <c r="C764" s="25" t="s">
        <v>91</v>
      </c>
      <c r="D764" s="25" t="s">
        <v>88</v>
      </c>
      <c r="E764" s="9">
        <v>8100000</v>
      </c>
      <c r="F764" s="26">
        <v>0.98</v>
      </c>
      <c r="G764" s="25">
        <v>99</v>
      </c>
      <c r="H764" s="27">
        <v>18.600000000000001</v>
      </c>
      <c r="I764" s="21" t="str">
        <f t="shared" si="44"/>
        <v>Cumple</v>
      </c>
      <c r="J764" s="22" t="str">
        <f t="shared" si="45"/>
        <v>BONO</v>
      </c>
      <c r="K764" s="23" t="str">
        <f t="shared" si="46"/>
        <v>OK</v>
      </c>
      <c r="L764" s="24" t="str">
        <f t="shared" si="47"/>
        <v>Excelente</v>
      </c>
    </row>
    <row r="765" spans="1:12" ht="18" customHeight="1" x14ac:dyDescent="0.3">
      <c r="A765" s="18" t="s">
        <v>1577</v>
      </c>
      <c r="B765" s="5" t="s">
        <v>1578</v>
      </c>
      <c r="C765" s="18" t="s">
        <v>81</v>
      </c>
      <c r="D765" s="18" t="s">
        <v>68</v>
      </c>
      <c r="E765" s="6">
        <v>10200000</v>
      </c>
      <c r="F765" s="19">
        <v>0.64</v>
      </c>
      <c r="G765" s="18">
        <v>71</v>
      </c>
      <c r="H765" s="20">
        <v>9.6999999999999993</v>
      </c>
      <c r="I765" s="21" t="str">
        <f t="shared" si="44"/>
        <v>No cumple</v>
      </c>
      <c r="J765" s="22" t="str">
        <f t="shared" si="45"/>
        <v>Sin bono</v>
      </c>
      <c r="K765" s="23" t="str">
        <f t="shared" si="46"/>
        <v>OK</v>
      </c>
      <c r="L765" s="24" t="str">
        <f t="shared" si="47"/>
        <v>Revisar</v>
      </c>
    </row>
    <row r="766" spans="1:12" ht="18" customHeight="1" x14ac:dyDescent="0.3">
      <c r="A766" s="25" t="s">
        <v>1579</v>
      </c>
      <c r="B766" s="8" t="s">
        <v>1580</v>
      </c>
      <c r="C766" s="25" t="s">
        <v>77</v>
      </c>
      <c r="D766" s="25" t="s">
        <v>105</v>
      </c>
      <c r="E766" s="9">
        <v>6600000</v>
      </c>
      <c r="F766" s="26">
        <v>0.76</v>
      </c>
      <c r="G766" s="25">
        <v>69</v>
      </c>
      <c r="H766" s="27">
        <v>3.4</v>
      </c>
      <c r="I766" s="21" t="str">
        <f t="shared" si="44"/>
        <v>No cumple</v>
      </c>
      <c r="J766" s="22" t="str">
        <f t="shared" si="45"/>
        <v>Sin bono</v>
      </c>
      <c r="K766" s="23" t="str">
        <f t="shared" si="46"/>
        <v>OK</v>
      </c>
      <c r="L766" s="24" t="str">
        <f t="shared" si="47"/>
        <v>Revisar</v>
      </c>
    </row>
    <row r="767" spans="1:12" ht="18" customHeight="1" x14ac:dyDescent="0.3">
      <c r="A767" s="18" t="s">
        <v>1581</v>
      </c>
      <c r="B767" s="5" t="s">
        <v>1582</v>
      </c>
      <c r="C767" s="18" t="s">
        <v>91</v>
      </c>
      <c r="D767" s="18" t="s">
        <v>114</v>
      </c>
      <c r="E767" s="6">
        <v>7300000</v>
      </c>
      <c r="F767" s="19">
        <v>0.61</v>
      </c>
      <c r="G767" s="18">
        <v>51</v>
      </c>
      <c r="H767" s="20">
        <v>12.4</v>
      </c>
      <c r="I767" s="21" t="str">
        <f t="shared" si="44"/>
        <v>No cumple</v>
      </c>
      <c r="J767" s="22" t="str">
        <f t="shared" si="45"/>
        <v>Sin bono</v>
      </c>
      <c r="K767" s="23" t="str">
        <f t="shared" si="46"/>
        <v>OK</v>
      </c>
      <c r="L767" s="24" t="str">
        <f t="shared" si="47"/>
        <v>Revisar</v>
      </c>
    </row>
    <row r="768" spans="1:12" ht="18" customHeight="1" x14ac:dyDescent="0.3">
      <c r="A768" s="25" t="s">
        <v>1583</v>
      </c>
      <c r="B768" s="8" t="s">
        <v>1584</v>
      </c>
      <c r="C768" s="25" t="s">
        <v>59</v>
      </c>
      <c r="D768" s="25" t="s">
        <v>114</v>
      </c>
      <c r="E768" s="9">
        <v>5000000</v>
      </c>
      <c r="F768" s="26">
        <v>0.91</v>
      </c>
      <c r="G768" s="25">
        <v>49</v>
      </c>
      <c r="H768" s="27">
        <v>3.2</v>
      </c>
      <c r="I768" s="21" t="str">
        <f t="shared" si="44"/>
        <v>Cumple</v>
      </c>
      <c r="J768" s="22" t="str">
        <f t="shared" si="45"/>
        <v>Sin bono</v>
      </c>
      <c r="K768" s="23" t="str">
        <f t="shared" si="46"/>
        <v>ALERTA</v>
      </c>
      <c r="L768" s="24" t="str">
        <f t="shared" si="47"/>
        <v>Revisar</v>
      </c>
    </row>
    <row r="769" spans="1:12" ht="18" customHeight="1" x14ac:dyDescent="0.3">
      <c r="A769" s="18" t="s">
        <v>1585</v>
      </c>
      <c r="B769" s="5" t="s">
        <v>1586</v>
      </c>
      <c r="C769" s="18" t="s">
        <v>71</v>
      </c>
      <c r="D769" s="18" t="s">
        <v>105</v>
      </c>
      <c r="E769" s="6">
        <v>6100000</v>
      </c>
      <c r="F769" s="19">
        <v>0.65</v>
      </c>
      <c r="G769" s="18">
        <v>56</v>
      </c>
      <c r="H769" s="20">
        <v>11.2</v>
      </c>
      <c r="I769" s="21" t="str">
        <f t="shared" si="44"/>
        <v>No cumple</v>
      </c>
      <c r="J769" s="22" t="str">
        <f t="shared" si="45"/>
        <v>Sin bono</v>
      </c>
      <c r="K769" s="23" t="str">
        <f t="shared" si="46"/>
        <v>OK</v>
      </c>
      <c r="L769" s="24" t="str">
        <f t="shared" si="47"/>
        <v>Revisar</v>
      </c>
    </row>
    <row r="770" spans="1:12" ht="18" customHeight="1" x14ac:dyDescent="0.3">
      <c r="A770" s="25" t="s">
        <v>1587</v>
      </c>
      <c r="B770" s="8" t="s">
        <v>1588</v>
      </c>
      <c r="C770" s="25" t="s">
        <v>91</v>
      </c>
      <c r="D770" s="25" t="s">
        <v>68</v>
      </c>
      <c r="E770" s="9">
        <v>9100000</v>
      </c>
      <c r="F770" s="26">
        <v>0.87</v>
      </c>
      <c r="G770" s="25">
        <v>88</v>
      </c>
      <c r="H770" s="27">
        <v>18.600000000000001</v>
      </c>
      <c r="I770" s="21" t="str">
        <f t="shared" si="44"/>
        <v>Cumple</v>
      </c>
      <c r="J770" s="22" t="str">
        <f t="shared" si="45"/>
        <v>BONO</v>
      </c>
      <c r="K770" s="23" t="str">
        <f t="shared" si="46"/>
        <v>OK</v>
      </c>
      <c r="L770" s="24" t="str">
        <f t="shared" si="47"/>
        <v>Bueno</v>
      </c>
    </row>
    <row r="771" spans="1:12" ht="18" customHeight="1" x14ac:dyDescent="0.3">
      <c r="A771" s="18" t="s">
        <v>1589</v>
      </c>
      <c r="B771" s="5" t="s">
        <v>1590</v>
      </c>
      <c r="C771" s="18" t="s">
        <v>81</v>
      </c>
      <c r="D771" s="18" t="s">
        <v>88</v>
      </c>
      <c r="E771" s="6">
        <v>8800000</v>
      </c>
      <c r="F771" s="19">
        <v>0.94</v>
      </c>
      <c r="G771" s="18">
        <v>48</v>
      </c>
      <c r="H771" s="20">
        <v>16</v>
      </c>
      <c r="I771" s="21" t="str">
        <f t="shared" si="44"/>
        <v>Cumple</v>
      </c>
      <c r="J771" s="22" t="str">
        <f t="shared" si="45"/>
        <v>Sin bono</v>
      </c>
      <c r="K771" s="23" t="str">
        <f t="shared" si="46"/>
        <v>ALERTA</v>
      </c>
      <c r="L771" s="24" t="str">
        <f t="shared" si="47"/>
        <v>Revisar</v>
      </c>
    </row>
    <row r="772" spans="1:12" ht="18" customHeight="1" x14ac:dyDescent="0.3">
      <c r="A772" s="25" t="s">
        <v>1591</v>
      </c>
      <c r="B772" s="8" t="s">
        <v>1592</v>
      </c>
      <c r="C772" s="25" t="s">
        <v>91</v>
      </c>
      <c r="D772" s="25" t="s">
        <v>114</v>
      </c>
      <c r="E772" s="9">
        <v>11400000</v>
      </c>
      <c r="F772" s="26">
        <v>0.75</v>
      </c>
      <c r="G772" s="25">
        <v>69</v>
      </c>
      <c r="H772" s="27">
        <v>0.5</v>
      </c>
      <c r="I772" s="21" t="str">
        <f t="shared" si="44"/>
        <v>No cumple</v>
      </c>
      <c r="J772" s="22" t="str">
        <f t="shared" si="45"/>
        <v>Sin bono</v>
      </c>
      <c r="K772" s="23" t="str">
        <f t="shared" si="46"/>
        <v>OK</v>
      </c>
      <c r="L772" s="24" t="str">
        <f t="shared" si="47"/>
        <v>Revisar</v>
      </c>
    </row>
    <row r="773" spans="1:12" ht="18" customHeight="1" x14ac:dyDescent="0.3">
      <c r="A773" s="18" t="s">
        <v>1593</v>
      </c>
      <c r="B773" s="5" t="s">
        <v>1594</v>
      </c>
      <c r="C773" s="18" t="s">
        <v>67</v>
      </c>
      <c r="D773" s="18" t="s">
        <v>105</v>
      </c>
      <c r="E773" s="6">
        <v>7300000</v>
      </c>
      <c r="F773" s="19">
        <v>0.5</v>
      </c>
      <c r="G773" s="18">
        <v>37</v>
      </c>
      <c r="H773" s="20">
        <v>12.2</v>
      </c>
      <c r="I773" s="21" t="str">
        <f t="shared" si="44"/>
        <v>No cumple</v>
      </c>
      <c r="J773" s="22" t="str">
        <f t="shared" si="45"/>
        <v>Sin bono</v>
      </c>
      <c r="K773" s="23" t="str">
        <f t="shared" si="46"/>
        <v>ALERTA</v>
      </c>
      <c r="L773" s="24" t="str">
        <f t="shared" si="47"/>
        <v>Revisar</v>
      </c>
    </row>
    <row r="774" spans="1:12" ht="18" customHeight="1" x14ac:dyDescent="0.3">
      <c r="A774" s="25" t="s">
        <v>1595</v>
      </c>
      <c r="B774" s="8" t="s">
        <v>1596</v>
      </c>
      <c r="C774" s="25" t="s">
        <v>91</v>
      </c>
      <c r="D774" s="25" t="s">
        <v>92</v>
      </c>
      <c r="E774" s="9">
        <v>7800000</v>
      </c>
      <c r="F774" s="26">
        <v>0.53</v>
      </c>
      <c r="G774" s="25">
        <v>84</v>
      </c>
      <c r="H774" s="27">
        <v>7.4</v>
      </c>
      <c r="I774" s="21" t="str">
        <f t="shared" si="44"/>
        <v>No cumple</v>
      </c>
      <c r="J774" s="22" t="str">
        <f t="shared" si="45"/>
        <v>Sin bono</v>
      </c>
      <c r="K774" s="23" t="str">
        <f t="shared" si="46"/>
        <v>ALERTA</v>
      </c>
      <c r="L774" s="24" t="str">
        <f t="shared" si="47"/>
        <v>Revisar</v>
      </c>
    </row>
    <row r="775" spans="1:12" ht="18" customHeight="1" x14ac:dyDescent="0.3">
      <c r="A775" s="18" t="s">
        <v>1597</v>
      </c>
      <c r="B775" s="5" t="s">
        <v>1598</v>
      </c>
      <c r="C775" s="18" t="s">
        <v>59</v>
      </c>
      <c r="D775" s="18" t="s">
        <v>92</v>
      </c>
      <c r="E775" s="6">
        <v>7200000</v>
      </c>
      <c r="F775" s="19">
        <v>0.62</v>
      </c>
      <c r="G775" s="18">
        <v>87</v>
      </c>
      <c r="H775" s="20">
        <v>17.5</v>
      </c>
      <c r="I775" s="21" t="str">
        <f t="shared" si="44"/>
        <v>No cumple</v>
      </c>
      <c r="J775" s="22" t="str">
        <f t="shared" si="45"/>
        <v>Sin bono</v>
      </c>
      <c r="K775" s="23" t="str">
        <f t="shared" si="46"/>
        <v>OK</v>
      </c>
      <c r="L775" s="24" t="str">
        <f t="shared" si="47"/>
        <v>Revisar</v>
      </c>
    </row>
    <row r="776" spans="1:12" ht="18" customHeight="1" x14ac:dyDescent="0.3">
      <c r="A776" s="25" t="s">
        <v>1599</v>
      </c>
      <c r="B776" s="8" t="s">
        <v>1600</v>
      </c>
      <c r="C776" s="25" t="s">
        <v>77</v>
      </c>
      <c r="D776" s="25" t="s">
        <v>88</v>
      </c>
      <c r="E776" s="9">
        <v>4800000</v>
      </c>
      <c r="F776" s="26">
        <v>0.89</v>
      </c>
      <c r="G776" s="25">
        <v>84</v>
      </c>
      <c r="H776" s="27">
        <v>14.6</v>
      </c>
      <c r="I776" s="21" t="str">
        <f t="shared" si="44"/>
        <v>Cumple</v>
      </c>
      <c r="J776" s="22" t="str">
        <f t="shared" si="45"/>
        <v>BONO</v>
      </c>
      <c r="K776" s="23" t="str">
        <f t="shared" si="46"/>
        <v>OK</v>
      </c>
      <c r="L776" s="24" t="str">
        <f t="shared" si="47"/>
        <v>Bueno</v>
      </c>
    </row>
    <row r="777" spans="1:12" ht="18" customHeight="1" x14ac:dyDescent="0.3">
      <c r="A777" s="18" t="s">
        <v>1601</v>
      </c>
      <c r="B777" s="5" t="s">
        <v>1602</v>
      </c>
      <c r="C777" s="18" t="s">
        <v>74</v>
      </c>
      <c r="D777" s="18" t="s">
        <v>114</v>
      </c>
      <c r="E777" s="6">
        <v>5400000</v>
      </c>
      <c r="F777" s="19">
        <v>0.62</v>
      </c>
      <c r="G777" s="18">
        <v>97</v>
      </c>
      <c r="H777" s="20">
        <v>19.7</v>
      </c>
      <c r="I777" s="21" t="str">
        <f t="shared" si="44"/>
        <v>No cumple</v>
      </c>
      <c r="J777" s="22" t="str">
        <f t="shared" si="45"/>
        <v>Sin bono</v>
      </c>
      <c r="K777" s="23" t="str">
        <f t="shared" si="46"/>
        <v>OK</v>
      </c>
      <c r="L777" s="24" t="str">
        <f t="shared" si="47"/>
        <v>Revisar</v>
      </c>
    </row>
    <row r="778" spans="1:12" ht="18" customHeight="1" x14ac:dyDescent="0.3">
      <c r="A778" s="25" t="s">
        <v>1603</v>
      </c>
      <c r="B778" s="8" t="s">
        <v>1604</v>
      </c>
      <c r="C778" s="25" t="s">
        <v>63</v>
      </c>
      <c r="D778" s="25" t="s">
        <v>78</v>
      </c>
      <c r="E778" s="9">
        <v>2800000</v>
      </c>
      <c r="F778" s="26">
        <v>0.68</v>
      </c>
      <c r="G778" s="25">
        <v>64</v>
      </c>
      <c r="H778" s="27">
        <v>8.3000000000000007</v>
      </c>
      <c r="I778" s="21" t="str">
        <f t="shared" si="44"/>
        <v>No cumple</v>
      </c>
      <c r="J778" s="22" t="str">
        <f t="shared" si="45"/>
        <v>Sin bono</v>
      </c>
      <c r="K778" s="23" t="str">
        <f t="shared" si="46"/>
        <v>OK</v>
      </c>
      <c r="L778" s="24" t="str">
        <f t="shared" si="47"/>
        <v>Revisar</v>
      </c>
    </row>
    <row r="779" spans="1:12" ht="18" customHeight="1" x14ac:dyDescent="0.3">
      <c r="A779" s="18" t="s">
        <v>1605</v>
      </c>
      <c r="B779" s="5" t="s">
        <v>1606</v>
      </c>
      <c r="C779" s="18" t="s">
        <v>91</v>
      </c>
      <c r="D779" s="18" t="s">
        <v>88</v>
      </c>
      <c r="E779" s="6">
        <v>10200000</v>
      </c>
      <c r="F779" s="19">
        <v>0.62</v>
      </c>
      <c r="G779" s="18">
        <v>89</v>
      </c>
      <c r="H779" s="20">
        <v>4.5</v>
      </c>
      <c r="I779" s="21" t="str">
        <f t="shared" si="44"/>
        <v>No cumple</v>
      </c>
      <c r="J779" s="22" t="str">
        <f t="shared" si="45"/>
        <v>Sin bono</v>
      </c>
      <c r="K779" s="23" t="str">
        <f t="shared" si="46"/>
        <v>OK</v>
      </c>
      <c r="L779" s="24" t="str">
        <f t="shared" si="47"/>
        <v>Revisar</v>
      </c>
    </row>
    <row r="780" spans="1:12" ht="18" customHeight="1" x14ac:dyDescent="0.3">
      <c r="A780" s="25" t="s">
        <v>1607</v>
      </c>
      <c r="B780" s="8" t="s">
        <v>1608</v>
      </c>
      <c r="C780" s="25" t="s">
        <v>59</v>
      </c>
      <c r="D780" s="25" t="s">
        <v>88</v>
      </c>
      <c r="E780" s="9">
        <v>10900000</v>
      </c>
      <c r="F780" s="26">
        <v>0.91</v>
      </c>
      <c r="G780" s="25">
        <v>90</v>
      </c>
      <c r="H780" s="27">
        <v>2.5</v>
      </c>
      <c r="I780" s="21" t="str">
        <f t="shared" si="44"/>
        <v>Cumple</v>
      </c>
      <c r="J780" s="22" t="str">
        <f t="shared" si="45"/>
        <v>BONO</v>
      </c>
      <c r="K780" s="23" t="str">
        <f t="shared" si="46"/>
        <v>OK</v>
      </c>
      <c r="L780" s="24" t="str">
        <f t="shared" si="47"/>
        <v>Excelente</v>
      </c>
    </row>
    <row r="781" spans="1:12" ht="18" customHeight="1" x14ac:dyDescent="0.3">
      <c r="A781" s="18" t="s">
        <v>1609</v>
      </c>
      <c r="B781" s="5" t="s">
        <v>1610</v>
      </c>
      <c r="C781" s="18" t="s">
        <v>74</v>
      </c>
      <c r="D781" s="18" t="s">
        <v>88</v>
      </c>
      <c r="E781" s="6">
        <v>9100000</v>
      </c>
      <c r="F781" s="19">
        <v>1</v>
      </c>
      <c r="G781" s="18">
        <v>38</v>
      </c>
      <c r="H781" s="20">
        <v>12</v>
      </c>
      <c r="I781" s="21" t="str">
        <f t="shared" ref="I781:I844" si="48">IF(F781&gt;=0.8,"Cumple","No cumple")</f>
        <v>Cumple</v>
      </c>
      <c r="J781" s="22" t="str">
        <f t="shared" ref="J781:J844" si="49">IF(AND(F781&gt;=0.8,G781&gt;=70),"BONO","Sin bono")</f>
        <v>Sin bono</v>
      </c>
      <c r="K781" s="23" t="str">
        <f t="shared" ref="K781:K844" si="50">IF(OR(F781&lt;0.6,G781&lt;50),"ALERTA","OK")</f>
        <v>ALERTA</v>
      </c>
      <c r="L781" s="24" t="str">
        <f t="shared" ref="L781:L844" si="51">IF(AND(F781&gt;=0.9,G781&gt;=85),"Excelente",IF(AND(F781&gt;=0.8,G781&gt;=70),"Bueno","Revisar"))</f>
        <v>Revisar</v>
      </c>
    </row>
    <row r="782" spans="1:12" ht="18" customHeight="1" x14ac:dyDescent="0.3">
      <c r="A782" s="25" t="s">
        <v>1611</v>
      </c>
      <c r="B782" s="8" t="s">
        <v>1612</v>
      </c>
      <c r="C782" s="25" t="s">
        <v>59</v>
      </c>
      <c r="D782" s="25" t="s">
        <v>105</v>
      </c>
      <c r="E782" s="9">
        <v>11600000</v>
      </c>
      <c r="F782" s="26">
        <v>0.9</v>
      </c>
      <c r="G782" s="25">
        <v>77</v>
      </c>
      <c r="H782" s="27">
        <v>10.3</v>
      </c>
      <c r="I782" s="21" t="str">
        <f t="shared" si="48"/>
        <v>Cumple</v>
      </c>
      <c r="J782" s="22" t="str">
        <f t="shared" si="49"/>
        <v>BONO</v>
      </c>
      <c r="K782" s="23" t="str">
        <f t="shared" si="50"/>
        <v>OK</v>
      </c>
      <c r="L782" s="24" t="str">
        <f t="shared" si="51"/>
        <v>Bueno</v>
      </c>
    </row>
    <row r="783" spans="1:12" ht="18" customHeight="1" x14ac:dyDescent="0.3">
      <c r="A783" s="18" t="s">
        <v>1613</v>
      </c>
      <c r="B783" s="5" t="s">
        <v>1614</v>
      </c>
      <c r="C783" s="18" t="s">
        <v>71</v>
      </c>
      <c r="D783" s="18" t="s">
        <v>92</v>
      </c>
      <c r="E783" s="6">
        <v>8700000</v>
      </c>
      <c r="F783" s="19">
        <v>0.93</v>
      </c>
      <c r="G783" s="18">
        <v>47</v>
      </c>
      <c r="H783" s="20">
        <v>7.1</v>
      </c>
      <c r="I783" s="21" t="str">
        <f t="shared" si="48"/>
        <v>Cumple</v>
      </c>
      <c r="J783" s="22" t="str">
        <f t="shared" si="49"/>
        <v>Sin bono</v>
      </c>
      <c r="K783" s="23" t="str">
        <f t="shared" si="50"/>
        <v>ALERTA</v>
      </c>
      <c r="L783" s="24" t="str">
        <f t="shared" si="51"/>
        <v>Revisar</v>
      </c>
    </row>
    <row r="784" spans="1:12" ht="18" customHeight="1" x14ac:dyDescent="0.3">
      <c r="A784" s="25" t="s">
        <v>1615</v>
      </c>
      <c r="B784" s="8" t="s">
        <v>1616</v>
      </c>
      <c r="C784" s="25" t="s">
        <v>67</v>
      </c>
      <c r="D784" s="25" t="s">
        <v>114</v>
      </c>
      <c r="E784" s="9">
        <v>4000000</v>
      </c>
      <c r="F784" s="26">
        <v>0.78</v>
      </c>
      <c r="G784" s="25">
        <v>51</v>
      </c>
      <c r="H784" s="27">
        <v>10.9</v>
      </c>
      <c r="I784" s="21" t="str">
        <f t="shared" si="48"/>
        <v>No cumple</v>
      </c>
      <c r="J784" s="22" t="str">
        <f t="shared" si="49"/>
        <v>Sin bono</v>
      </c>
      <c r="K784" s="23" t="str">
        <f t="shared" si="50"/>
        <v>OK</v>
      </c>
      <c r="L784" s="24" t="str">
        <f t="shared" si="51"/>
        <v>Revisar</v>
      </c>
    </row>
    <row r="785" spans="1:12" ht="18" customHeight="1" x14ac:dyDescent="0.3">
      <c r="A785" s="18" t="s">
        <v>1617</v>
      </c>
      <c r="B785" s="5" t="s">
        <v>1618</v>
      </c>
      <c r="C785" s="18" t="s">
        <v>59</v>
      </c>
      <c r="D785" s="18" t="s">
        <v>88</v>
      </c>
      <c r="E785" s="6">
        <v>11500000</v>
      </c>
      <c r="F785" s="19">
        <v>0.83</v>
      </c>
      <c r="G785" s="18">
        <v>76</v>
      </c>
      <c r="H785" s="20">
        <v>1.9</v>
      </c>
      <c r="I785" s="21" t="str">
        <f t="shared" si="48"/>
        <v>Cumple</v>
      </c>
      <c r="J785" s="22" t="str">
        <f t="shared" si="49"/>
        <v>BONO</v>
      </c>
      <c r="K785" s="23" t="str">
        <f t="shared" si="50"/>
        <v>OK</v>
      </c>
      <c r="L785" s="24" t="str">
        <f t="shared" si="51"/>
        <v>Bueno</v>
      </c>
    </row>
    <row r="786" spans="1:12" ht="18" customHeight="1" x14ac:dyDescent="0.3">
      <c r="A786" s="25" t="s">
        <v>1619</v>
      </c>
      <c r="B786" s="8" t="s">
        <v>1620</v>
      </c>
      <c r="C786" s="25" t="s">
        <v>71</v>
      </c>
      <c r="D786" s="25" t="s">
        <v>64</v>
      </c>
      <c r="E786" s="9">
        <v>4500000</v>
      </c>
      <c r="F786" s="26">
        <v>0.73</v>
      </c>
      <c r="G786" s="25">
        <v>77</v>
      </c>
      <c r="H786" s="27">
        <v>15.6</v>
      </c>
      <c r="I786" s="21" t="str">
        <f t="shared" si="48"/>
        <v>No cumple</v>
      </c>
      <c r="J786" s="22" t="str">
        <f t="shared" si="49"/>
        <v>Sin bono</v>
      </c>
      <c r="K786" s="23" t="str">
        <f t="shared" si="50"/>
        <v>OK</v>
      </c>
      <c r="L786" s="24" t="str">
        <f t="shared" si="51"/>
        <v>Revisar</v>
      </c>
    </row>
    <row r="787" spans="1:12" ht="18" customHeight="1" x14ac:dyDescent="0.3">
      <c r="A787" s="18" t="s">
        <v>1621</v>
      </c>
      <c r="B787" s="5" t="s">
        <v>1622</v>
      </c>
      <c r="C787" s="18" t="s">
        <v>67</v>
      </c>
      <c r="D787" s="18" t="s">
        <v>60</v>
      </c>
      <c r="E787" s="6">
        <v>9900000</v>
      </c>
      <c r="F787" s="19">
        <v>0.79</v>
      </c>
      <c r="G787" s="18">
        <v>97</v>
      </c>
      <c r="H787" s="20">
        <v>16.899999999999999</v>
      </c>
      <c r="I787" s="21" t="str">
        <f t="shared" si="48"/>
        <v>No cumple</v>
      </c>
      <c r="J787" s="22" t="str">
        <f t="shared" si="49"/>
        <v>Sin bono</v>
      </c>
      <c r="K787" s="23" t="str">
        <f t="shared" si="50"/>
        <v>OK</v>
      </c>
      <c r="L787" s="24" t="str">
        <f t="shared" si="51"/>
        <v>Revisar</v>
      </c>
    </row>
    <row r="788" spans="1:12" ht="18" customHeight="1" x14ac:dyDescent="0.3">
      <c r="A788" s="25" t="s">
        <v>1623</v>
      </c>
      <c r="B788" s="8" t="s">
        <v>1624</v>
      </c>
      <c r="C788" s="25" t="s">
        <v>91</v>
      </c>
      <c r="D788" s="25" t="s">
        <v>105</v>
      </c>
      <c r="E788" s="9">
        <v>7200000</v>
      </c>
      <c r="F788" s="26">
        <v>0.62</v>
      </c>
      <c r="G788" s="25">
        <v>76</v>
      </c>
      <c r="H788" s="27">
        <v>2.8</v>
      </c>
      <c r="I788" s="21" t="str">
        <f t="shared" si="48"/>
        <v>No cumple</v>
      </c>
      <c r="J788" s="22" t="str">
        <f t="shared" si="49"/>
        <v>Sin bono</v>
      </c>
      <c r="K788" s="23" t="str">
        <f t="shared" si="50"/>
        <v>OK</v>
      </c>
      <c r="L788" s="24" t="str">
        <f t="shared" si="51"/>
        <v>Revisar</v>
      </c>
    </row>
    <row r="789" spans="1:12" ht="18" customHeight="1" x14ac:dyDescent="0.3">
      <c r="A789" s="18" t="s">
        <v>1625</v>
      </c>
      <c r="B789" s="5" t="s">
        <v>1626</v>
      </c>
      <c r="C789" s="18" t="s">
        <v>74</v>
      </c>
      <c r="D789" s="18" t="s">
        <v>60</v>
      </c>
      <c r="E789" s="6">
        <v>4400000</v>
      </c>
      <c r="F789" s="19">
        <v>0.92</v>
      </c>
      <c r="G789" s="18">
        <v>48</v>
      </c>
      <c r="H789" s="20">
        <v>13.8</v>
      </c>
      <c r="I789" s="21" t="str">
        <f t="shared" si="48"/>
        <v>Cumple</v>
      </c>
      <c r="J789" s="22" t="str">
        <f t="shared" si="49"/>
        <v>Sin bono</v>
      </c>
      <c r="K789" s="23" t="str">
        <f t="shared" si="50"/>
        <v>ALERTA</v>
      </c>
      <c r="L789" s="24" t="str">
        <f t="shared" si="51"/>
        <v>Revisar</v>
      </c>
    </row>
    <row r="790" spans="1:12" ht="18" customHeight="1" x14ac:dyDescent="0.3">
      <c r="A790" s="25" t="s">
        <v>1627</v>
      </c>
      <c r="B790" s="8" t="s">
        <v>1628</v>
      </c>
      <c r="C790" s="25" t="s">
        <v>67</v>
      </c>
      <c r="D790" s="25" t="s">
        <v>114</v>
      </c>
      <c r="E790" s="9">
        <v>3800000</v>
      </c>
      <c r="F790" s="26">
        <v>0.68</v>
      </c>
      <c r="G790" s="25">
        <v>44</v>
      </c>
      <c r="H790" s="27">
        <v>1.6</v>
      </c>
      <c r="I790" s="21" t="str">
        <f t="shared" si="48"/>
        <v>No cumple</v>
      </c>
      <c r="J790" s="22" t="str">
        <f t="shared" si="49"/>
        <v>Sin bono</v>
      </c>
      <c r="K790" s="23" t="str">
        <f t="shared" si="50"/>
        <v>ALERTA</v>
      </c>
      <c r="L790" s="24" t="str">
        <f t="shared" si="51"/>
        <v>Revisar</v>
      </c>
    </row>
    <row r="791" spans="1:12" ht="18" customHeight="1" x14ac:dyDescent="0.3">
      <c r="A791" s="18" t="s">
        <v>1629</v>
      </c>
      <c r="B791" s="5" t="s">
        <v>1630</v>
      </c>
      <c r="C791" s="18" t="s">
        <v>63</v>
      </c>
      <c r="D791" s="18" t="s">
        <v>64</v>
      </c>
      <c r="E791" s="6">
        <v>5300000</v>
      </c>
      <c r="F791" s="19">
        <v>0.51</v>
      </c>
      <c r="G791" s="18">
        <v>95</v>
      </c>
      <c r="H791" s="20">
        <v>11.9</v>
      </c>
      <c r="I791" s="21" t="str">
        <f t="shared" si="48"/>
        <v>No cumple</v>
      </c>
      <c r="J791" s="22" t="str">
        <f t="shared" si="49"/>
        <v>Sin bono</v>
      </c>
      <c r="K791" s="23" t="str">
        <f t="shared" si="50"/>
        <v>ALERTA</v>
      </c>
      <c r="L791" s="24" t="str">
        <f t="shared" si="51"/>
        <v>Revisar</v>
      </c>
    </row>
    <row r="792" spans="1:12" ht="18" customHeight="1" x14ac:dyDescent="0.3">
      <c r="A792" s="25" t="s">
        <v>1631</v>
      </c>
      <c r="B792" s="8" t="s">
        <v>1632</v>
      </c>
      <c r="C792" s="25" t="s">
        <v>91</v>
      </c>
      <c r="D792" s="25" t="s">
        <v>78</v>
      </c>
      <c r="E792" s="9">
        <v>4300000</v>
      </c>
      <c r="F792" s="26">
        <v>0.96</v>
      </c>
      <c r="G792" s="25">
        <v>56</v>
      </c>
      <c r="H792" s="27">
        <v>11.8</v>
      </c>
      <c r="I792" s="21" t="str">
        <f t="shared" si="48"/>
        <v>Cumple</v>
      </c>
      <c r="J792" s="22" t="str">
        <f t="shared" si="49"/>
        <v>Sin bono</v>
      </c>
      <c r="K792" s="23" t="str">
        <f t="shared" si="50"/>
        <v>OK</v>
      </c>
      <c r="L792" s="24" t="str">
        <f t="shared" si="51"/>
        <v>Revisar</v>
      </c>
    </row>
    <row r="793" spans="1:12" ht="18" customHeight="1" x14ac:dyDescent="0.3">
      <c r="A793" s="18" t="s">
        <v>1633</v>
      </c>
      <c r="B793" s="5" t="s">
        <v>1634</v>
      </c>
      <c r="C793" s="18" t="s">
        <v>74</v>
      </c>
      <c r="D793" s="18" t="s">
        <v>114</v>
      </c>
      <c r="E793" s="6">
        <v>6300000</v>
      </c>
      <c r="F793" s="19">
        <v>0.97</v>
      </c>
      <c r="G793" s="18">
        <v>74</v>
      </c>
      <c r="H793" s="20">
        <v>7</v>
      </c>
      <c r="I793" s="21" t="str">
        <f t="shared" si="48"/>
        <v>Cumple</v>
      </c>
      <c r="J793" s="22" t="str">
        <f t="shared" si="49"/>
        <v>BONO</v>
      </c>
      <c r="K793" s="23" t="str">
        <f t="shared" si="50"/>
        <v>OK</v>
      </c>
      <c r="L793" s="24" t="str">
        <f t="shared" si="51"/>
        <v>Bueno</v>
      </c>
    </row>
    <row r="794" spans="1:12" ht="18" customHeight="1" x14ac:dyDescent="0.3">
      <c r="A794" s="25" t="s">
        <v>1635</v>
      </c>
      <c r="B794" s="8" t="s">
        <v>1636</v>
      </c>
      <c r="C794" s="25" t="s">
        <v>74</v>
      </c>
      <c r="D794" s="25" t="s">
        <v>60</v>
      </c>
      <c r="E794" s="9">
        <v>9200000</v>
      </c>
      <c r="F794" s="26">
        <v>0.92</v>
      </c>
      <c r="G794" s="25">
        <v>90</v>
      </c>
      <c r="H794" s="27">
        <v>7.3</v>
      </c>
      <c r="I794" s="21" t="str">
        <f t="shared" si="48"/>
        <v>Cumple</v>
      </c>
      <c r="J794" s="22" t="str">
        <f t="shared" si="49"/>
        <v>BONO</v>
      </c>
      <c r="K794" s="23" t="str">
        <f t="shared" si="50"/>
        <v>OK</v>
      </c>
      <c r="L794" s="24" t="str">
        <f t="shared" si="51"/>
        <v>Excelente</v>
      </c>
    </row>
    <row r="795" spans="1:12" ht="18" customHeight="1" x14ac:dyDescent="0.3">
      <c r="A795" s="18" t="s">
        <v>1637</v>
      </c>
      <c r="B795" s="5" t="s">
        <v>1638</v>
      </c>
      <c r="C795" s="18" t="s">
        <v>77</v>
      </c>
      <c r="D795" s="18" t="s">
        <v>78</v>
      </c>
      <c r="E795" s="6">
        <v>5100000</v>
      </c>
      <c r="F795" s="19">
        <v>0.91</v>
      </c>
      <c r="G795" s="18">
        <v>78</v>
      </c>
      <c r="H795" s="20">
        <v>8.5</v>
      </c>
      <c r="I795" s="21" t="str">
        <f t="shared" si="48"/>
        <v>Cumple</v>
      </c>
      <c r="J795" s="22" t="str">
        <f t="shared" si="49"/>
        <v>BONO</v>
      </c>
      <c r="K795" s="23" t="str">
        <f t="shared" si="50"/>
        <v>OK</v>
      </c>
      <c r="L795" s="24" t="str">
        <f t="shared" si="51"/>
        <v>Bueno</v>
      </c>
    </row>
    <row r="796" spans="1:12" ht="18" customHeight="1" x14ac:dyDescent="0.3">
      <c r="A796" s="25" t="s">
        <v>1639</v>
      </c>
      <c r="B796" s="8" t="s">
        <v>1640</v>
      </c>
      <c r="C796" s="25" t="s">
        <v>63</v>
      </c>
      <c r="D796" s="25" t="s">
        <v>78</v>
      </c>
      <c r="E796" s="9">
        <v>6800000</v>
      </c>
      <c r="F796" s="26">
        <v>0.52</v>
      </c>
      <c r="G796" s="25">
        <v>44</v>
      </c>
      <c r="H796" s="27">
        <v>10.4</v>
      </c>
      <c r="I796" s="21" t="str">
        <f t="shared" si="48"/>
        <v>No cumple</v>
      </c>
      <c r="J796" s="22" t="str">
        <f t="shared" si="49"/>
        <v>Sin bono</v>
      </c>
      <c r="K796" s="23" t="str">
        <f t="shared" si="50"/>
        <v>ALERTA</v>
      </c>
      <c r="L796" s="24" t="str">
        <f t="shared" si="51"/>
        <v>Revisar</v>
      </c>
    </row>
    <row r="797" spans="1:12" ht="18" customHeight="1" x14ac:dyDescent="0.3">
      <c r="A797" s="18" t="s">
        <v>1641</v>
      </c>
      <c r="B797" s="5" t="s">
        <v>1642</v>
      </c>
      <c r="C797" s="18" t="s">
        <v>91</v>
      </c>
      <c r="D797" s="18" t="s">
        <v>78</v>
      </c>
      <c r="E797" s="6">
        <v>6900000</v>
      </c>
      <c r="F797" s="19">
        <v>0.72</v>
      </c>
      <c r="G797" s="18">
        <v>79</v>
      </c>
      <c r="H797" s="20">
        <v>5.7</v>
      </c>
      <c r="I797" s="21" t="str">
        <f t="shared" si="48"/>
        <v>No cumple</v>
      </c>
      <c r="J797" s="22" t="str">
        <f t="shared" si="49"/>
        <v>Sin bono</v>
      </c>
      <c r="K797" s="23" t="str">
        <f t="shared" si="50"/>
        <v>OK</v>
      </c>
      <c r="L797" s="24" t="str">
        <f t="shared" si="51"/>
        <v>Revisar</v>
      </c>
    </row>
    <row r="798" spans="1:12" ht="18" customHeight="1" x14ac:dyDescent="0.3">
      <c r="A798" s="25" t="s">
        <v>1643</v>
      </c>
      <c r="B798" s="8" t="s">
        <v>1644</v>
      </c>
      <c r="C798" s="25" t="s">
        <v>77</v>
      </c>
      <c r="D798" s="25" t="s">
        <v>60</v>
      </c>
      <c r="E798" s="9">
        <v>9800000</v>
      </c>
      <c r="F798" s="26">
        <v>0.67</v>
      </c>
      <c r="G798" s="25">
        <v>84</v>
      </c>
      <c r="H798" s="27">
        <v>3.8</v>
      </c>
      <c r="I798" s="21" t="str">
        <f t="shared" si="48"/>
        <v>No cumple</v>
      </c>
      <c r="J798" s="22" t="str">
        <f t="shared" si="49"/>
        <v>Sin bono</v>
      </c>
      <c r="K798" s="23" t="str">
        <f t="shared" si="50"/>
        <v>OK</v>
      </c>
      <c r="L798" s="24" t="str">
        <f t="shared" si="51"/>
        <v>Revisar</v>
      </c>
    </row>
    <row r="799" spans="1:12" ht="18" customHeight="1" x14ac:dyDescent="0.3">
      <c r="A799" s="18" t="s">
        <v>1645</v>
      </c>
      <c r="B799" s="5" t="s">
        <v>1646</v>
      </c>
      <c r="C799" s="18" t="s">
        <v>77</v>
      </c>
      <c r="D799" s="18" t="s">
        <v>92</v>
      </c>
      <c r="E799" s="6">
        <v>5000000</v>
      </c>
      <c r="F799" s="19">
        <v>0.46</v>
      </c>
      <c r="G799" s="18">
        <v>92</v>
      </c>
      <c r="H799" s="20">
        <v>13.4</v>
      </c>
      <c r="I799" s="21" t="str">
        <f t="shared" si="48"/>
        <v>No cumple</v>
      </c>
      <c r="J799" s="22" t="str">
        <f t="shared" si="49"/>
        <v>Sin bono</v>
      </c>
      <c r="K799" s="23" t="str">
        <f t="shared" si="50"/>
        <v>ALERTA</v>
      </c>
      <c r="L799" s="24" t="str">
        <f t="shared" si="51"/>
        <v>Revisar</v>
      </c>
    </row>
    <row r="800" spans="1:12" ht="18" customHeight="1" x14ac:dyDescent="0.3">
      <c r="A800" s="25" t="s">
        <v>1647</v>
      </c>
      <c r="B800" s="8" t="s">
        <v>1648</v>
      </c>
      <c r="C800" s="25" t="s">
        <v>74</v>
      </c>
      <c r="D800" s="25" t="s">
        <v>78</v>
      </c>
      <c r="E800" s="9">
        <v>4600000</v>
      </c>
      <c r="F800" s="26">
        <v>0.67</v>
      </c>
      <c r="G800" s="25">
        <v>43</v>
      </c>
      <c r="H800" s="27">
        <v>14.8</v>
      </c>
      <c r="I800" s="21" t="str">
        <f t="shared" si="48"/>
        <v>No cumple</v>
      </c>
      <c r="J800" s="22" t="str">
        <f t="shared" si="49"/>
        <v>Sin bono</v>
      </c>
      <c r="K800" s="23" t="str">
        <f t="shared" si="50"/>
        <v>ALERTA</v>
      </c>
      <c r="L800" s="24" t="str">
        <f t="shared" si="51"/>
        <v>Revisar</v>
      </c>
    </row>
    <row r="801" spans="1:12" ht="18" customHeight="1" x14ac:dyDescent="0.3">
      <c r="A801" s="18" t="s">
        <v>1649</v>
      </c>
      <c r="B801" s="5" t="s">
        <v>1650</v>
      </c>
      <c r="C801" s="18" t="s">
        <v>81</v>
      </c>
      <c r="D801" s="18" t="s">
        <v>60</v>
      </c>
      <c r="E801" s="6">
        <v>10400000</v>
      </c>
      <c r="F801" s="19">
        <v>0.91</v>
      </c>
      <c r="G801" s="18">
        <v>81</v>
      </c>
      <c r="H801" s="20">
        <v>2.5</v>
      </c>
      <c r="I801" s="21" t="str">
        <f t="shared" si="48"/>
        <v>Cumple</v>
      </c>
      <c r="J801" s="22" t="str">
        <f t="shared" si="49"/>
        <v>BONO</v>
      </c>
      <c r="K801" s="23" t="str">
        <f t="shared" si="50"/>
        <v>OK</v>
      </c>
      <c r="L801" s="24" t="str">
        <f t="shared" si="51"/>
        <v>Bueno</v>
      </c>
    </row>
    <row r="802" spans="1:12" ht="18" customHeight="1" x14ac:dyDescent="0.3">
      <c r="A802" s="25" t="s">
        <v>1651</v>
      </c>
      <c r="B802" s="8" t="s">
        <v>1652</v>
      </c>
      <c r="C802" s="25" t="s">
        <v>59</v>
      </c>
      <c r="D802" s="25" t="s">
        <v>68</v>
      </c>
      <c r="E802" s="9">
        <v>7300000</v>
      </c>
      <c r="F802" s="26">
        <v>0.71</v>
      </c>
      <c r="G802" s="25">
        <v>81</v>
      </c>
      <c r="H802" s="27">
        <v>19.8</v>
      </c>
      <c r="I802" s="21" t="str">
        <f t="shared" si="48"/>
        <v>No cumple</v>
      </c>
      <c r="J802" s="22" t="str">
        <f t="shared" si="49"/>
        <v>Sin bono</v>
      </c>
      <c r="K802" s="23" t="str">
        <f t="shared" si="50"/>
        <v>OK</v>
      </c>
      <c r="L802" s="24" t="str">
        <f t="shared" si="51"/>
        <v>Revisar</v>
      </c>
    </row>
    <row r="803" spans="1:12" ht="18" customHeight="1" x14ac:dyDescent="0.3">
      <c r="A803" s="18" t="s">
        <v>1653</v>
      </c>
      <c r="B803" s="5" t="s">
        <v>1654</v>
      </c>
      <c r="C803" s="18" t="s">
        <v>71</v>
      </c>
      <c r="D803" s="18" t="s">
        <v>64</v>
      </c>
      <c r="E803" s="6">
        <v>4000000</v>
      </c>
      <c r="F803" s="19">
        <v>0.86</v>
      </c>
      <c r="G803" s="18">
        <v>38</v>
      </c>
      <c r="H803" s="20">
        <v>10</v>
      </c>
      <c r="I803" s="21" t="str">
        <f t="shared" si="48"/>
        <v>Cumple</v>
      </c>
      <c r="J803" s="22" t="str">
        <f t="shared" si="49"/>
        <v>Sin bono</v>
      </c>
      <c r="K803" s="23" t="str">
        <f t="shared" si="50"/>
        <v>ALERTA</v>
      </c>
      <c r="L803" s="24" t="str">
        <f t="shared" si="51"/>
        <v>Revisar</v>
      </c>
    </row>
    <row r="804" spans="1:12" ht="18" customHeight="1" x14ac:dyDescent="0.3">
      <c r="A804" s="25" t="s">
        <v>1655</v>
      </c>
      <c r="B804" s="8" t="s">
        <v>1656</v>
      </c>
      <c r="C804" s="25" t="s">
        <v>77</v>
      </c>
      <c r="D804" s="25" t="s">
        <v>60</v>
      </c>
      <c r="E804" s="9">
        <v>6500000</v>
      </c>
      <c r="F804" s="26">
        <v>0.81</v>
      </c>
      <c r="G804" s="25">
        <v>92</v>
      </c>
      <c r="H804" s="27">
        <v>10.1</v>
      </c>
      <c r="I804" s="21" t="str">
        <f t="shared" si="48"/>
        <v>Cumple</v>
      </c>
      <c r="J804" s="22" t="str">
        <f t="shared" si="49"/>
        <v>BONO</v>
      </c>
      <c r="K804" s="23" t="str">
        <f t="shared" si="50"/>
        <v>OK</v>
      </c>
      <c r="L804" s="24" t="str">
        <f t="shared" si="51"/>
        <v>Bueno</v>
      </c>
    </row>
    <row r="805" spans="1:12" ht="18" customHeight="1" x14ac:dyDescent="0.3">
      <c r="A805" s="18" t="s">
        <v>1657</v>
      </c>
      <c r="B805" s="5" t="s">
        <v>1658</v>
      </c>
      <c r="C805" s="18" t="s">
        <v>91</v>
      </c>
      <c r="D805" s="18" t="s">
        <v>64</v>
      </c>
      <c r="E805" s="6">
        <v>8300000</v>
      </c>
      <c r="F805" s="19">
        <v>0.93</v>
      </c>
      <c r="G805" s="18">
        <v>45</v>
      </c>
      <c r="H805" s="20">
        <v>7.7</v>
      </c>
      <c r="I805" s="21" t="str">
        <f t="shared" si="48"/>
        <v>Cumple</v>
      </c>
      <c r="J805" s="22" t="str">
        <f t="shared" si="49"/>
        <v>Sin bono</v>
      </c>
      <c r="K805" s="23" t="str">
        <f t="shared" si="50"/>
        <v>ALERTA</v>
      </c>
      <c r="L805" s="24" t="str">
        <f t="shared" si="51"/>
        <v>Revisar</v>
      </c>
    </row>
    <row r="806" spans="1:12" ht="18" customHeight="1" x14ac:dyDescent="0.3">
      <c r="A806" s="25" t="s">
        <v>1659</v>
      </c>
      <c r="B806" s="8" t="s">
        <v>1660</v>
      </c>
      <c r="C806" s="25" t="s">
        <v>91</v>
      </c>
      <c r="D806" s="25" t="s">
        <v>114</v>
      </c>
      <c r="E806" s="9">
        <v>9900000</v>
      </c>
      <c r="F806" s="26">
        <v>0.81</v>
      </c>
      <c r="G806" s="25">
        <v>68</v>
      </c>
      <c r="H806" s="27">
        <v>17.7</v>
      </c>
      <c r="I806" s="21" t="str">
        <f t="shared" si="48"/>
        <v>Cumple</v>
      </c>
      <c r="J806" s="22" t="str">
        <f t="shared" si="49"/>
        <v>Sin bono</v>
      </c>
      <c r="K806" s="23" t="str">
        <f t="shared" si="50"/>
        <v>OK</v>
      </c>
      <c r="L806" s="24" t="str">
        <f t="shared" si="51"/>
        <v>Revisar</v>
      </c>
    </row>
    <row r="807" spans="1:12" ht="18" customHeight="1" x14ac:dyDescent="0.3">
      <c r="A807" s="18" t="s">
        <v>1661</v>
      </c>
      <c r="B807" s="5" t="s">
        <v>1662</v>
      </c>
      <c r="C807" s="18" t="s">
        <v>77</v>
      </c>
      <c r="D807" s="18" t="s">
        <v>105</v>
      </c>
      <c r="E807" s="6">
        <v>9900000</v>
      </c>
      <c r="F807" s="19">
        <v>0.92</v>
      </c>
      <c r="G807" s="18">
        <v>94</v>
      </c>
      <c r="H807" s="20">
        <v>1.1000000000000001</v>
      </c>
      <c r="I807" s="21" t="str">
        <f t="shared" si="48"/>
        <v>Cumple</v>
      </c>
      <c r="J807" s="22" t="str">
        <f t="shared" si="49"/>
        <v>BONO</v>
      </c>
      <c r="K807" s="23" t="str">
        <f t="shared" si="50"/>
        <v>OK</v>
      </c>
      <c r="L807" s="24" t="str">
        <f t="shared" si="51"/>
        <v>Excelente</v>
      </c>
    </row>
    <row r="808" spans="1:12" ht="18" customHeight="1" x14ac:dyDescent="0.3">
      <c r="A808" s="25" t="s">
        <v>1663</v>
      </c>
      <c r="B808" s="8" t="s">
        <v>1664</v>
      </c>
      <c r="C808" s="25" t="s">
        <v>63</v>
      </c>
      <c r="D808" s="25" t="s">
        <v>92</v>
      </c>
      <c r="E808" s="9">
        <v>6400000</v>
      </c>
      <c r="F808" s="26">
        <v>0.63</v>
      </c>
      <c r="G808" s="25">
        <v>33</v>
      </c>
      <c r="H808" s="27">
        <v>11.8</v>
      </c>
      <c r="I808" s="21" t="str">
        <f t="shared" si="48"/>
        <v>No cumple</v>
      </c>
      <c r="J808" s="22" t="str">
        <f t="shared" si="49"/>
        <v>Sin bono</v>
      </c>
      <c r="K808" s="23" t="str">
        <f t="shared" si="50"/>
        <v>ALERTA</v>
      </c>
      <c r="L808" s="24" t="str">
        <f t="shared" si="51"/>
        <v>Revisar</v>
      </c>
    </row>
    <row r="809" spans="1:12" ht="18" customHeight="1" x14ac:dyDescent="0.3">
      <c r="A809" s="18" t="s">
        <v>1665</v>
      </c>
      <c r="B809" s="5" t="s">
        <v>1666</v>
      </c>
      <c r="C809" s="18" t="s">
        <v>81</v>
      </c>
      <c r="D809" s="18" t="s">
        <v>92</v>
      </c>
      <c r="E809" s="6">
        <v>8000000</v>
      </c>
      <c r="F809" s="19">
        <v>0.64</v>
      </c>
      <c r="G809" s="18">
        <v>61</v>
      </c>
      <c r="H809" s="20">
        <v>5</v>
      </c>
      <c r="I809" s="21" t="str">
        <f t="shared" si="48"/>
        <v>No cumple</v>
      </c>
      <c r="J809" s="22" t="str">
        <f t="shared" si="49"/>
        <v>Sin bono</v>
      </c>
      <c r="K809" s="23" t="str">
        <f t="shared" si="50"/>
        <v>OK</v>
      </c>
      <c r="L809" s="24" t="str">
        <f t="shared" si="51"/>
        <v>Revisar</v>
      </c>
    </row>
    <row r="810" spans="1:12" ht="18" customHeight="1" x14ac:dyDescent="0.3">
      <c r="A810" s="25" t="s">
        <v>1667</v>
      </c>
      <c r="B810" s="8" t="s">
        <v>1668</v>
      </c>
      <c r="C810" s="25" t="s">
        <v>74</v>
      </c>
      <c r="D810" s="25" t="s">
        <v>78</v>
      </c>
      <c r="E810" s="9">
        <v>6700000</v>
      </c>
      <c r="F810" s="26">
        <v>0.51</v>
      </c>
      <c r="G810" s="25">
        <v>51</v>
      </c>
      <c r="H810" s="27">
        <v>0.4</v>
      </c>
      <c r="I810" s="21" t="str">
        <f t="shared" si="48"/>
        <v>No cumple</v>
      </c>
      <c r="J810" s="22" t="str">
        <f t="shared" si="49"/>
        <v>Sin bono</v>
      </c>
      <c r="K810" s="23" t="str">
        <f t="shared" si="50"/>
        <v>ALERTA</v>
      </c>
      <c r="L810" s="24" t="str">
        <f t="shared" si="51"/>
        <v>Revisar</v>
      </c>
    </row>
    <row r="811" spans="1:12" ht="18" customHeight="1" x14ac:dyDescent="0.3">
      <c r="A811" s="18" t="s">
        <v>1669</v>
      </c>
      <c r="B811" s="5" t="s">
        <v>1670</v>
      </c>
      <c r="C811" s="18" t="s">
        <v>77</v>
      </c>
      <c r="D811" s="18" t="s">
        <v>64</v>
      </c>
      <c r="E811" s="6">
        <v>6800000</v>
      </c>
      <c r="F811" s="19">
        <v>0.66</v>
      </c>
      <c r="G811" s="18">
        <v>79</v>
      </c>
      <c r="H811" s="20">
        <v>6.4</v>
      </c>
      <c r="I811" s="21" t="str">
        <f t="shared" si="48"/>
        <v>No cumple</v>
      </c>
      <c r="J811" s="22" t="str">
        <f t="shared" si="49"/>
        <v>Sin bono</v>
      </c>
      <c r="K811" s="23" t="str">
        <f t="shared" si="50"/>
        <v>OK</v>
      </c>
      <c r="L811" s="24" t="str">
        <f t="shared" si="51"/>
        <v>Revisar</v>
      </c>
    </row>
    <row r="812" spans="1:12" ht="18" customHeight="1" x14ac:dyDescent="0.3">
      <c r="A812" s="25" t="s">
        <v>1671</v>
      </c>
      <c r="B812" s="8" t="s">
        <v>1672</v>
      </c>
      <c r="C812" s="25" t="s">
        <v>74</v>
      </c>
      <c r="D812" s="25" t="s">
        <v>78</v>
      </c>
      <c r="E812" s="9">
        <v>10300000</v>
      </c>
      <c r="F812" s="26">
        <v>0.64</v>
      </c>
      <c r="G812" s="25">
        <v>38</v>
      </c>
      <c r="H812" s="27">
        <v>11.3</v>
      </c>
      <c r="I812" s="21" t="str">
        <f t="shared" si="48"/>
        <v>No cumple</v>
      </c>
      <c r="J812" s="22" t="str">
        <f t="shared" si="49"/>
        <v>Sin bono</v>
      </c>
      <c r="K812" s="23" t="str">
        <f t="shared" si="50"/>
        <v>ALERTA</v>
      </c>
      <c r="L812" s="24" t="str">
        <f t="shared" si="51"/>
        <v>Revisar</v>
      </c>
    </row>
    <row r="813" spans="1:12" ht="18" customHeight="1" x14ac:dyDescent="0.3">
      <c r="A813" s="18" t="s">
        <v>1673</v>
      </c>
      <c r="B813" s="5" t="s">
        <v>1674</v>
      </c>
      <c r="C813" s="18" t="s">
        <v>63</v>
      </c>
      <c r="D813" s="18" t="s">
        <v>60</v>
      </c>
      <c r="E813" s="6">
        <v>7200000</v>
      </c>
      <c r="F813" s="19">
        <v>0.89</v>
      </c>
      <c r="G813" s="18">
        <v>68</v>
      </c>
      <c r="H813" s="20">
        <v>10.1</v>
      </c>
      <c r="I813" s="21" t="str">
        <f t="shared" si="48"/>
        <v>Cumple</v>
      </c>
      <c r="J813" s="22" t="str">
        <f t="shared" si="49"/>
        <v>Sin bono</v>
      </c>
      <c r="K813" s="23" t="str">
        <f t="shared" si="50"/>
        <v>OK</v>
      </c>
      <c r="L813" s="24" t="str">
        <f t="shared" si="51"/>
        <v>Revisar</v>
      </c>
    </row>
    <row r="814" spans="1:12" ht="18" customHeight="1" x14ac:dyDescent="0.3">
      <c r="A814" s="25" t="s">
        <v>1675</v>
      </c>
      <c r="B814" s="8" t="s">
        <v>1676</v>
      </c>
      <c r="C814" s="25" t="s">
        <v>77</v>
      </c>
      <c r="D814" s="25" t="s">
        <v>114</v>
      </c>
      <c r="E814" s="9">
        <v>3000000</v>
      </c>
      <c r="F814" s="26">
        <v>0.8</v>
      </c>
      <c r="G814" s="25">
        <v>96</v>
      </c>
      <c r="H814" s="27">
        <v>17.3</v>
      </c>
      <c r="I814" s="21" t="str">
        <f t="shared" si="48"/>
        <v>Cumple</v>
      </c>
      <c r="J814" s="22" t="str">
        <f t="shared" si="49"/>
        <v>BONO</v>
      </c>
      <c r="K814" s="23" t="str">
        <f t="shared" si="50"/>
        <v>OK</v>
      </c>
      <c r="L814" s="24" t="str">
        <f t="shared" si="51"/>
        <v>Bueno</v>
      </c>
    </row>
    <row r="815" spans="1:12" ht="18" customHeight="1" x14ac:dyDescent="0.3">
      <c r="A815" s="18" t="s">
        <v>1677</v>
      </c>
      <c r="B815" s="5" t="s">
        <v>1678</v>
      </c>
      <c r="C815" s="18" t="s">
        <v>67</v>
      </c>
      <c r="D815" s="18" t="s">
        <v>105</v>
      </c>
      <c r="E815" s="6">
        <v>6200000</v>
      </c>
      <c r="F815" s="19">
        <v>0.97</v>
      </c>
      <c r="G815" s="18">
        <v>98</v>
      </c>
      <c r="H815" s="20">
        <v>16.2</v>
      </c>
      <c r="I815" s="21" t="str">
        <f t="shared" si="48"/>
        <v>Cumple</v>
      </c>
      <c r="J815" s="22" t="str">
        <f t="shared" si="49"/>
        <v>BONO</v>
      </c>
      <c r="K815" s="23" t="str">
        <f t="shared" si="50"/>
        <v>OK</v>
      </c>
      <c r="L815" s="24" t="str">
        <f t="shared" si="51"/>
        <v>Excelente</v>
      </c>
    </row>
    <row r="816" spans="1:12" ht="18" customHeight="1" x14ac:dyDescent="0.3">
      <c r="A816" s="25" t="s">
        <v>1679</v>
      </c>
      <c r="B816" s="8" t="s">
        <v>1680</v>
      </c>
      <c r="C816" s="25" t="s">
        <v>67</v>
      </c>
      <c r="D816" s="25" t="s">
        <v>114</v>
      </c>
      <c r="E816" s="9">
        <v>11500000</v>
      </c>
      <c r="F816" s="26">
        <v>0.87</v>
      </c>
      <c r="G816" s="25">
        <v>85</v>
      </c>
      <c r="H816" s="27">
        <v>8.1999999999999993</v>
      </c>
      <c r="I816" s="21" t="str">
        <f t="shared" si="48"/>
        <v>Cumple</v>
      </c>
      <c r="J816" s="22" t="str">
        <f t="shared" si="49"/>
        <v>BONO</v>
      </c>
      <c r="K816" s="23" t="str">
        <f t="shared" si="50"/>
        <v>OK</v>
      </c>
      <c r="L816" s="24" t="str">
        <f t="shared" si="51"/>
        <v>Bueno</v>
      </c>
    </row>
    <row r="817" spans="1:12" ht="18" customHeight="1" x14ac:dyDescent="0.3">
      <c r="A817" s="18" t="s">
        <v>1681</v>
      </c>
      <c r="B817" s="5" t="s">
        <v>1682</v>
      </c>
      <c r="C817" s="18" t="s">
        <v>63</v>
      </c>
      <c r="D817" s="18" t="s">
        <v>88</v>
      </c>
      <c r="E817" s="6">
        <v>6400000</v>
      </c>
      <c r="F817" s="19">
        <v>0.81</v>
      </c>
      <c r="G817" s="18">
        <v>62</v>
      </c>
      <c r="H817" s="20">
        <v>13.7</v>
      </c>
      <c r="I817" s="21" t="str">
        <f t="shared" si="48"/>
        <v>Cumple</v>
      </c>
      <c r="J817" s="22" t="str">
        <f t="shared" si="49"/>
        <v>Sin bono</v>
      </c>
      <c r="K817" s="23" t="str">
        <f t="shared" si="50"/>
        <v>OK</v>
      </c>
      <c r="L817" s="24" t="str">
        <f t="shared" si="51"/>
        <v>Revisar</v>
      </c>
    </row>
    <row r="818" spans="1:12" ht="18" customHeight="1" x14ac:dyDescent="0.3">
      <c r="A818" s="25" t="s">
        <v>1683</v>
      </c>
      <c r="B818" s="8" t="s">
        <v>1684</v>
      </c>
      <c r="C818" s="25" t="s">
        <v>91</v>
      </c>
      <c r="D818" s="25" t="s">
        <v>60</v>
      </c>
      <c r="E818" s="9">
        <v>6700000</v>
      </c>
      <c r="F818" s="26">
        <v>0.71</v>
      </c>
      <c r="G818" s="25">
        <v>85</v>
      </c>
      <c r="H818" s="27">
        <v>8.4</v>
      </c>
      <c r="I818" s="21" t="str">
        <f t="shared" si="48"/>
        <v>No cumple</v>
      </c>
      <c r="J818" s="22" t="str">
        <f t="shared" si="49"/>
        <v>Sin bono</v>
      </c>
      <c r="K818" s="23" t="str">
        <f t="shared" si="50"/>
        <v>OK</v>
      </c>
      <c r="L818" s="24" t="str">
        <f t="shared" si="51"/>
        <v>Revisar</v>
      </c>
    </row>
    <row r="819" spans="1:12" ht="18" customHeight="1" x14ac:dyDescent="0.3">
      <c r="A819" s="18" t="s">
        <v>1685</v>
      </c>
      <c r="B819" s="5" t="s">
        <v>1686</v>
      </c>
      <c r="C819" s="18" t="s">
        <v>71</v>
      </c>
      <c r="D819" s="18" t="s">
        <v>64</v>
      </c>
      <c r="E819" s="6">
        <v>6100000</v>
      </c>
      <c r="F819" s="19">
        <v>0.88</v>
      </c>
      <c r="G819" s="18">
        <v>65</v>
      </c>
      <c r="H819" s="20">
        <v>13.2</v>
      </c>
      <c r="I819" s="21" t="str">
        <f t="shared" si="48"/>
        <v>Cumple</v>
      </c>
      <c r="J819" s="22" t="str">
        <f t="shared" si="49"/>
        <v>Sin bono</v>
      </c>
      <c r="K819" s="23" t="str">
        <f t="shared" si="50"/>
        <v>OK</v>
      </c>
      <c r="L819" s="24" t="str">
        <f t="shared" si="51"/>
        <v>Revisar</v>
      </c>
    </row>
    <row r="820" spans="1:12" ht="18" customHeight="1" x14ac:dyDescent="0.3">
      <c r="A820" s="25" t="s">
        <v>1687</v>
      </c>
      <c r="B820" s="8" t="s">
        <v>1688</v>
      </c>
      <c r="C820" s="25" t="s">
        <v>74</v>
      </c>
      <c r="D820" s="25" t="s">
        <v>68</v>
      </c>
      <c r="E820" s="9">
        <v>7400000</v>
      </c>
      <c r="F820" s="26">
        <v>0.82</v>
      </c>
      <c r="G820" s="25">
        <v>41</v>
      </c>
      <c r="H820" s="27">
        <v>7.9</v>
      </c>
      <c r="I820" s="21" t="str">
        <f t="shared" si="48"/>
        <v>Cumple</v>
      </c>
      <c r="J820" s="22" t="str">
        <f t="shared" si="49"/>
        <v>Sin bono</v>
      </c>
      <c r="K820" s="23" t="str">
        <f t="shared" si="50"/>
        <v>ALERTA</v>
      </c>
      <c r="L820" s="24" t="str">
        <f t="shared" si="51"/>
        <v>Revisar</v>
      </c>
    </row>
    <row r="821" spans="1:12" ht="18" customHeight="1" x14ac:dyDescent="0.3">
      <c r="A821" s="18" t="s">
        <v>1689</v>
      </c>
      <c r="B821" s="5" t="s">
        <v>1690</v>
      </c>
      <c r="C821" s="18" t="s">
        <v>74</v>
      </c>
      <c r="D821" s="18" t="s">
        <v>88</v>
      </c>
      <c r="E821" s="6">
        <v>9100000</v>
      </c>
      <c r="F821" s="19">
        <v>0.94</v>
      </c>
      <c r="G821" s="18">
        <v>60</v>
      </c>
      <c r="H821" s="20">
        <v>12</v>
      </c>
      <c r="I821" s="21" t="str">
        <f t="shared" si="48"/>
        <v>Cumple</v>
      </c>
      <c r="J821" s="22" t="str">
        <f t="shared" si="49"/>
        <v>Sin bono</v>
      </c>
      <c r="K821" s="23" t="str">
        <f t="shared" si="50"/>
        <v>OK</v>
      </c>
      <c r="L821" s="24" t="str">
        <f t="shared" si="51"/>
        <v>Revisar</v>
      </c>
    </row>
    <row r="822" spans="1:12" ht="18" customHeight="1" x14ac:dyDescent="0.3">
      <c r="A822" s="25" t="s">
        <v>1691</v>
      </c>
      <c r="B822" s="8" t="s">
        <v>1692</v>
      </c>
      <c r="C822" s="25" t="s">
        <v>63</v>
      </c>
      <c r="D822" s="25" t="s">
        <v>60</v>
      </c>
      <c r="E822" s="9">
        <v>8200000</v>
      </c>
      <c r="F822" s="26">
        <v>0.56999999999999995</v>
      </c>
      <c r="G822" s="25">
        <v>43</v>
      </c>
      <c r="H822" s="27">
        <v>3.5</v>
      </c>
      <c r="I822" s="21" t="str">
        <f t="shared" si="48"/>
        <v>No cumple</v>
      </c>
      <c r="J822" s="22" t="str">
        <f t="shared" si="49"/>
        <v>Sin bono</v>
      </c>
      <c r="K822" s="23" t="str">
        <f t="shared" si="50"/>
        <v>ALERTA</v>
      </c>
      <c r="L822" s="24" t="str">
        <f t="shared" si="51"/>
        <v>Revisar</v>
      </c>
    </row>
    <row r="823" spans="1:12" ht="18" customHeight="1" x14ac:dyDescent="0.3">
      <c r="A823" s="18" t="s">
        <v>1693</v>
      </c>
      <c r="B823" s="5" t="s">
        <v>1694</v>
      </c>
      <c r="C823" s="18" t="s">
        <v>63</v>
      </c>
      <c r="D823" s="18" t="s">
        <v>105</v>
      </c>
      <c r="E823" s="6">
        <v>11500000</v>
      </c>
      <c r="F823" s="19">
        <v>0.59</v>
      </c>
      <c r="G823" s="18">
        <v>65</v>
      </c>
      <c r="H823" s="20">
        <v>17.600000000000001</v>
      </c>
      <c r="I823" s="21" t="str">
        <f t="shared" si="48"/>
        <v>No cumple</v>
      </c>
      <c r="J823" s="22" t="str">
        <f t="shared" si="49"/>
        <v>Sin bono</v>
      </c>
      <c r="K823" s="23" t="str">
        <f t="shared" si="50"/>
        <v>ALERTA</v>
      </c>
      <c r="L823" s="24" t="str">
        <f t="shared" si="51"/>
        <v>Revisar</v>
      </c>
    </row>
    <row r="824" spans="1:12" ht="18" customHeight="1" x14ac:dyDescent="0.3">
      <c r="A824" s="25" t="s">
        <v>1695</v>
      </c>
      <c r="B824" s="8" t="s">
        <v>1696</v>
      </c>
      <c r="C824" s="25" t="s">
        <v>67</v>
      </c>
      <c r="D824" s="25" t="s">
        <v>88</v>
      </c>
      <c r="E824" s="9">
        <v>9800000</v>
      </c>
      <c r="F824" s="26">
        <v>0.66</v>
      </c>
      <c r="G824" s="25">
        <v>76</v>
      </c>
      <c r="H824" s="27">
        <v>18.100000000000001</v>
      </c>
      <c r="I824" s="21" t="str">
        <f t="shared" si="48"/>
        <v>No cumple</v>
      </c>
      <c r="J824" s="22" t="str">
        <f t="shared" si="49"/>
        <v>Sin bono</v>
      </c>
      <c r="K824" s="23" t="str">
        <f t="shared" si="50"/>
        <v>OK</v>
      </c>
      <c r="L824" s="24" t="str">
        <f t="shared" si="51"/>
        <v>Revisar</v>
      </c>
    </row>
    <row r="825" spans="1:12" ht="18" customHeight="1" x14ac:dyDescent="0.3">
      <c r="A825" s="18" t="s">
        <v>1697</v>
      </c>
      <c r="B825" s="5" t="s">
        <v>1698</v>
      </c>
      <c r="C825" s="18" t="s">
        <v>63</v>
      </c>
      <c r="D825" s="18" t="s">
        <v>88</v>
      </c>
      <c r="E825" s="6">
        <v>6600000</v>
      </c>
      <c r="F825" s="19">
        <v>0.5</v>
      </c>
      <c r="G825" s="18">
        <v>60</v>
      </c>
      <c r="H825" s="20">
        <v>5.9</v>
      </c>
      <c r="I825" s="21" t="str">
        <f t="shared" si="48"/>
        <v>No cumple</v>
      </c>
      <c r="J825" s="22" t="str">
        <f t="shared" si="49"/>
        <v>Sin bono</v>
      </c>
      <c r="K825" s="23" t="str">
        <f t="shared" si="50"/>
        <v>ALERTA</v>
      </c>
      <c r="L825" s="24" t="str">
        <f t="shared" si="51"/>
        <v>Revisar</v>
      </c>
    </row>
    <row r="826" spans="1:12" ht="18" customHeight="1" x14ac:dyDescent="0.3">
      <c r="A826" s="25" t="s">
        <v>1699</v>
      </c>
      <c r="B826" s="8" t="s">
        <v>1700</v>
      </c>
      <c r="C826" s="25" t="s">
        <v>77</v>
      </c>
      <c r="D826" s="25" t="s">
        <v>92</v>
      </c>
      <c r="E826" s="9">
        <v>11000000</v>
      </c>
      <c r="F826" s="26">
        <v>0.67</v>
      </c>
      <c r="G826" s="25">
        <v>34</v>
      </c>
      <c r="H826" s="27">
        <v>5.5</v>
      </c>
      <c r="I826" s="21" t="str">
        <f t="shared" si="48"/>
        <v>No cumple</v>
      </c>
      <c r="J826" s="22" t="str">
        <f t="shared" si="49"/>
        <v>Sin bono</v>
      </c>
      <c r="K826" s="23" t="str">
        <f t="shared" si="50"/>
        <v>ALERTA</v>
      </c>
      <c r="L826" s="24" t="str">
        <f t="shared" si="51"/>
        <v>Revisar</v>
      </c>
    </row>
    <row r="827" spans="1:12" ht="18" customHeight="1" x14ac:dyDescent="0.3">
      <c r="A827" s="18" t="s">
        <v>1701</v>
      </c>
      <c r="B827" s="5" t="s">
        <v>1702</v>
      </c>
      <c r="C827" s="18" t="s">
        <v>77</v>
      </c>
      <c r="D827" s="18" t="s">
        <v>105</v>
      </c>
      <c r="E827" s="6">
        <v>8000000</v>
      </c>
      <c r="F827" s="19">
        <v>0.96</v>
      </c>
      <c r="G827" s="18">
        <v>72</v>
      </c>
      <c r="H827" s="20">
        <v>14.3</v>
      </c>
      <c r="I827" s="21" t="str">
        <f t="shared" si="48"/>
        <v>Cumple</v>
      </c>
      <c r="J827" s="22" t="str">
        <f t="shared" si="49"/>
        <v>BONO</v>
      </c>
      <c r="K827" s="23" t="str">
        <f t="shared" si="50"/>
        <v>OK</v>
      </c>
      <c r="L827" s="24" t="str">
        <f t="shared" si="51"/>
        <v>Bueno</v>
      </c>
    </row>
    <row r="828" spans="1:12" ht="18" customHeight="1" x14ac:dyDescent="0.3">
      <c r="A828" s="25" t="s">
        <v>1703</v>
      </c>
      <c r="B828" s="8" t="s">
        <v>1704</v>
      </c>
      <c r="C828" s="25" t="s">
        <v>71</v>
      </c>
      <c r="D828" s="25" t="s">
        <v>88</v>
      </c>
      <c r="E828" s="9">
        <v>9200000</v>
      </c>
      <c r="F828" s="26">
        <v>0.49</v>
      </c>
      <c r="G828" s="25">
        <v>83</v>
      </c>
      <c r="H828" s="27">
        <v>12</v>
      </c>
      <c r="I828" s="21" t="str">
        <f t="shared" si="48"/>
        <v>No cumple</v>
      </c>
      <c r="J828" s="22" t="str">
        <f t="shared" si="49"/>
        <v>Sin bono</v>
      </c>
      <c r="K828" s="23" t="str">
        <f t="shared" si="50"/>
        <v>ALERTA</v>
      </c>
      <c r="L828" s="24" t="str">
        <f t="shared" si="51"/>
        <v>Revisar</v>
      </c>
    </row>
    <row r="829" spans="1:12" ht="18" customHeight="1" x14ac:dyDescent="0.3">
      <c r="A829" s="18" t="s">
        <v>1705</v>
      </c>
      <c r="B829" s="5" t="s">
        <v>1706</v>
      </c>
      <c r="C829" s="18" t="s">
        <v>81</v>
      </c>
      <c r="D829" s="18" t="s">
        <v>105</v>
      </c>
      <c r="E829" s="6">
        <v>11600000</v>
      </c>
      <c r="F829" s="19">
        <v>0.47</v>
      </c>
      <c r="G829" s="18">
        <v>36</v>
      </c>
      <c r="H829" s="20">
        <v>12.8</v>
      </c>
      <c r="I829" s="21" t="str">
        <f t="shared" si="48"/>
        <v>No cumple</v>
      </c>
      <c r="J829" s="22" t="str">
        <f t="shared" si="49"/>
        <v>Sin bono</v>
      </c>
      <c r="K829" s="23" t="str">
        <f t="shared" si="50"/>
        <v>ALERTA</v>
      </c>
      <c r="L829" s="24" t="str">
        <f t="shared" si="51"/>
        <v>Revisar</v>
      </c>
    </row>
    <row r="830" spans="1:12" ht="18" customHeight="1" x14ac:dyDescent="0.3">
      <c r="A830" s="25" t="s">
        <v>1707</v>
      </c>
      <c r="B830" s="8" t="s">
        <v>1708</v>
      </c>
      <c r="C830" s="25" t="s">
        <v>63</v>
      </c>
      <c r="D830" s="25" t="s">
        <v>92</v>
      </c>
      <c r="E830" s="9">
        <v>8500000</v>
      </c>
      <c r="F830" s="26">
        <v>0.71</v>
      </c>
      <c r="G830" s="25">
        <v>47</v>
      </c>
      <c r="H830" s="27">
        <v>5.2</v>
      </c>
      <c r="I830" s="21" t="str">
        <f t="shared" si="48"/>
        <v>No cumple</v>
      </c>
      <c r="J830" s="22" t="str">
        <f t="shared" si="49"/>
        <v>Sin bono</v>
      </c>
      <c r="K830" s="23" t="str">
        <f t="shared" si="50"/>
        <v>ALERTA</v>
      </c>
      <c r="L830" s="24" t="str">
        <f t="shared" si="51"/>
        <v>Revisar</v>
      </c>
    </row>
    <row r="831" spans="1:12" ht="18" customHeight="1" x14ac:dyDescent="0.3">
      <c r="A831" s="18" t="s">
        <v>1709</v>
      </c>
      <c r="B831" s="5" t="s">
        <v>1710</v>
      </c>
      <c r="C831" s="18" t="s">
        <v>63</v>
      </c>
      <c r="D831" s="18" t="s">
        <v>60</v>
      </c>
      <c r="E831" s="6">
        <v>3000000</v>
      </c>
      <c r="F831" s="19">
        <v>0.97</v>
      </c>
      <c r="G831" s="18">
        <v>59</v>
      </c>
      <c r="H831" s="20">
        <v>18.100000000000001</v>
      </c>
      <c r="I831" s="21" t="str">
        <f t="shared" si="48"/>
        <v>Cumple</v>
      </c>
      <c r="J831" s="22" t="str">
        <f t="shared" si="49"/>
        <v>Sin bono</v>
      </c>
      <c r="K831" s="23" t="str">
        <f t="shared" si="50"/>
        <v>OK</v>
      </c>
      <c r="L831" s="24" t="str">
        <f t="shared" si="51"/>
        <v>Revisar</v>
      </c>
    </row>
    <row r="832" spans="1:12" ht="18" customHeight="1" x14ac:dyDescent="0.3">
      <c r="A832" s="25" t="s">
        <v>1711</v>
      </c>
      <c r="B832" s="8" t="s">
        <v>1712</v>
      </c>
      <c r="C832" s="25" t="s">
        <v>71</v>
      </c>
      <c r="D832" s="25" t="s">
        <v>64</v>
      </c>
      <c r="E832" s="9">
        <v>7900000</v>
      </c>
      <c r="F832" s="26">
        <v>0.79</v>
      </c>
      <c r="G832" s="25">
        <v>63</v>
      </c>
      <c r="H832" s="27">
        <v>3</v>
      </c>
      <c r="I832" s="21" t="str">
        <f t="shared" si="48"/>
        <v>No cumple</v>
      </c>
      <c r="J832" s="22" t="str">
        <f t="shared" si="49"/>
        <v>Sin bono</v>
      </c>
      <c r="K832" s="23" t="str">
        <f t="shared" si="50"/>
        <v>OK</v>
      </c>
      <c r="L832" s="24" t="str">
        <f t="shared" si="51"/>
        <v>Revisar</v>
      </c>
    </row>
    <row r="833" spans="1:12" ht="18" customHeight="1" x14ac:dyDescent="0.3">
      <c r="A833" s="18" t="s">
        <v>1713</v>
      </c>
      <c r="B833" s="5" t="s">
        <v>1714</v>
      </c>
      <c r="C833" s="18" t="s">
        <v>77</v>
      </c>
      <c r="D833" s="18" t="s">
        <v>78</v>
      </c>
      <c r="E833" s="6">
        <v>5600000</v>
      </c>
      <c r="F833" s="19">
        <v>0.84</v>
      </c>
      <c r="G833" s="18">
        <v>54</v>
      </c>
      <c r="H833" s="20">
        <v>18.899999999999999</v>
      </c>
      <c r="I833" s="21" t="str">
        <f t="shared" si="48"/>
        <v>Cumple</v>
      </c>
      <c r="J833" s="22" t="str">
        <f t="shared" si="49"/>
        <v>Sin bono</v>
      </c>
      <c r="K833" s="23" t="str">
        <f t="shared" si="50"/>
        <v>OK</v>
      </c>
      <c r="L833" s="24" t="str">
        <f t="shared" si="51"/>
        <v>Revisar</v>
      </c>
    </row>
    <row r="834" spans="1:12" ht="18" customHeight="1" x14ac:dyDescent="0.3">
      <c r="A834" s="25" t="s">
        <v>1715</v>
      </c>
      <c r="B834" s="8" t="s">
        <v>1716</v>
      </c>
      <c r="C834" s="25" t="s">
        <v>71</v>
      </c>
      <c r="D834" s="25" t="s">
        <v>68</v>
      </c>
      <c r="E834" s="9">
        <v>5400000</v>
      </c>
      <c r="F834" s="26">
        <v>0.78</v>
      </c>
      <c r="G834" s="25">
        <v>66</v>
      </c>
      <c r="H834" s="27">
        <v>14.5</v>
      </c>
      <c r="I834" s="21" t="str">
        <f t="shared" si="48"/>
        <v>No cumple</v>
      </c>
      <c r="J834" s="22" t="str">
        <f t="shared" si="49"/>
        <v>Sin bono</v>
      </c>
      <c r="K834" s="23" t="str">
        <f t="shared" si="50"/>
        <v>OK</v>
      </c>
      <c r="L834" s="24" t="str">
        <f t="shared" si="51"/>
        <v>Revisar</v>
      </c>
    </row>
    <row r="835" spans="1:12" ht="18" customHeight="1" x14ac:dyDescent="0.3">
      <c r="A835" s="18" t="s">
        <v>1717</v>
      </c>
      <c r="B835" s="5" t="s">
        <v>1718</v>
      </c>
      <c r="C835" s="18" t="s">
        <v>71</v>
      </c>
      <c r="D835" s="18" t="s">
        <v>64</v>
      </c>
      <c r="E835" s="6">
        <v>6500000</v>
      </c>
      <c r="F835" s="19">
        <v>0.99</v>
      </c>
      <c r="G835" s="18">
        <v>60</v>
      </c>
      <c r="H835" s="20">
        <v>12.4</v>
      </c>
      <c r="I835" s="21" t="str">
        <f t="shared" si="48"/>
        <v>Cumple</v>
      </c>
      <c r="J835" s="22" t="str">
        <f t="shared" si="49"/>
        <v>Sin bono</v>
      </c>
      <c r="K835" s="23" t="str">
        <f t="shared" si="50"/>
        <v>OK</v>
      </c>
      <c r="L835" s="24" t="str">
        <f t="shared" si="51"/>
        <v>Revisar</v>
      </c>
    </row>
    <row r="836" spans="1:12" ht="18" customHeight="1" x14ac:dyDescent="0.3">
      <c r="A836" s="25" t="s">
        <v>1719</v>
      </c>
      <c r="B836" s="8" t="s">
        <v>1720</v>
      </c>
      <c r="C836" s="25" t="s">
        <v>77</v>
      </c>
      <c r="D836" s="25" t="s">
        <v>78</v>
      </c>
      <c r="E836" s="9">
        <v>2900000</v>
      </c>
      <c r="F836" s="26">
        <v>0.71</v>
      </c>
      <c r="G836" s="25">
        <v>71</v>
      </c>
      <c r="H836" s="27">
        <v>19.5</v>
      </c>
      <c r="I836" s="21" t="str">
        <f t="shared" si="48"/>
        <v>No cumple</v>
      </c>
      <c r="J836" s="22" t="str">
        <f t="shared" si="49"/>
        <v>Sin bono</v>
      </c>
      <c r="K836" s="23" t="str">
        <f t="shared" si="50"/>
        <v>OK</v>
      </c>
      <c r="L836" s="24" t="str">
        <f t="shared" si="51"/>
        <v>Revisar</v>
      </c>
    </row>
    <row r="837" spans="1:12" ht="18" customHeight="1" x14ac:dyDescent="0.3">
      <c r="A837" s="18" t="s">
        <v>1721</v>
      </c>
      <c r="B837" s="5" t="s">
        <v>1722</v>
      </c>
      <c r="C837" s="18" t="s">
        <v>63</v>
      </c>
      <c r="D837" s="18" t="s">
        <v>88</v>
      </c>
      <c r="E837" s="6">
        <v>3700000</v>
      </c>
      <c r="F837" s="19">
        <v>0.5</v>
      </c>
      <c r="G837" s="18">
        <v>37</v>
      </c>
      <c r="H837" s="20">
        <v>1</v>
      </c>
      <c r="I837" s="21" t="str">
        <f t="shared" si="48"/>
        <v>No cumple</v>
      </c>
      <c r="J837" s="22" t="str">
        <f t="shared" si="49"/>
        <v>Sin bono</v>
      </c>
      <c r="K837" s="23" t="str">
        <f t="shared" si="50"/>
        <v>ALERTA</v>
      </c>
      <c r="L837" s="24" t="str">
        <f t="shared" si="51"/>
        <v>Revisar</v>
      </c>
    </row>
    <row r="838" spans="1:12" ht="18" customHeight="1" x14ac:dyDescent="0.3">
      <c r="A838" s="25" t="s">
        <v>1723</v>
      </c>
      <c r="B838" s="8" t="s">
        <v>1724</v>
      </c>
      <c r="C838" s="25" t="s">
        <v>74</v>
      </c>
      <c r="D838" s="25" t="s">
        <v>92</v>
      </c>
      <c r="E838" s="9">
        <v>3300000</v>
      </c>
      <c r="F838" s="26">
        <v>0.99</v>
      </c>
      <c r="G838" s="25">
        <v>93</v>
      </c>
      <c r="H838" s="27">
        <v>17.399999999999999</v>
      </c>
      <c r="I838" s="21" t="str">
        <f t="shared" si="48"/>
        <v>Cumple</v>
      </c>
      <c r="J838" s="22" t="str">
        <f t="shared" si="49"/>
        <v>BONO</v>
      </c>
      <c r="K838" s="23" t="str">
        <f t="shared" si="50"/>
        <v>OK</v>
      </c>
      <c r="L838" s="24" t="str">
        <f t="shared" si="51"/>
        <v>Excelente</v>
      </c>
    </row>
    <row r="839" spans="1:12" ht="18" customHeight="1" x14ac:dyDescent="0.3">
      <c r="A839" s="18" t="s">
        <v>1725</v>
      </c>
      <c r="B839" s="5" t="s">
        <v>1726</v>
      </c>
      <c r="C839" s="18" t="s">
        <v>81</v>
      </c>
      <c r="D839" s="18" t="s">
        <v>68</v>
      </c>
      <c r="E839" s="6">
        <v>6400000</v>
      </c>
      <c r="F839" s="19">
        <v>0.95</v>
      </c>
      <c r="G839" s="18">
        <v>63</v>
      </c>
      <c r="H839" s="20">
        <v>12.3</v>
      </c>
      <c r="I839" s="21" t="str">
        <f t="shared" si="48"/>
        <v>Cumple</v>
      </c>
      <c r="J839" s="22" t="str">
        <f t="shared" si="49"/>
        <v>Sin bono</v>
      </c>
      <c r="K839" s="23" t="str">
        <f t="shared" si="50"/>
        <v>OK</v>
      </c>
      <c r="L839" s="24" t="str">
        <f t="shared" si="51"/>
        <v>Revisar</v>
      </c>
    </row>
    <row r="840" spans="1:12" ht="18" customHeight="1" x14ac:dyDescent="0.3">
      <c r="A840" s="25" t="s">
        <v>1727</v>
      </c>
      <c r="B840" s="8" t="s">
        <v>1728</v>
      </c>
      <c r="C840" s="25" t="s">
        <v>77</v>
      </c>
      <c r="D840" s="25" t="s">
        <v>114</v>
      </c>
      <c r="E840" s="9">
        <v>9900000</v>
      </c>
      <c r="F840" s="26">
        <v>0.92</v>
      </c>
      <c r="G840" s="25">
        <v>86</v>
      </c>
      <c r="H840" s="27">
        <v>1.1000000000000001</v>
      </c>
      <c r="I840" s="21" t="str">
        <f t="shared" si="48"/>
        <v>Cumple</v>
      </c>
      <c r="J840" s="22" t="str">
        <f t="shared" si="49"/>
        <v>BONO</v>
      </c>
      <c r="K840" s="23" t="str">
        <f t="shared" si="50"/>
        <v>OK</v>
      </c>
      <c r="L840" s="24" t="str">
        <f t="shared" si="51"/>
        <v>Excelente</v>
      </c>
    </row>
    <row r="841" spans="1:12" ht="18" customHeight="1" x14ac:dyDescent="0.3">
      <c r="A841" s="18" t="s">
        <v>1729</v>
      </c>
      <c r="B841" s="5" t="s">
        <v>1730</v>
      </c>
      <c r="C841" s="18" t="s">
        <v>59</v>
      </c>
      <c r="D841" s="18" t="s">
        <v>114</v>
      </c>
      <c r="E841" s="6">
        <v>11800000</v>
      </c>
      <c r="F841" s="19">
        <v>0.71</v>
      </c>
      <c r="G841" s="18">
        <v>44</v>
      </c>
      <c r="H841" s="20">
        <v>19.899999999999999</v>
      </c>
      <c r="I841" s="21" t="str">
        <f t="shared" si="48"/>
        <v>No cumple</v>
      </c>
      <c r="J841" s="22" t="str">
        <f t="shared" si="49"/>
        <v>Sin bono</v>
      </c>
      <c r="K841" s="23" t="str">
        <f t="shared" si="50"/>
        <v>ALERTA</v>
      </c>
      <c r="L841" s="24" t="str">
        <f t="shared" si="51"/>
        <v>Revisar</v>
      </c>
    </row>
    <row r="842" spans="1:12" ht="18" customHeight="1" x14ac:dyDescent="0.3">
      <c r="A842" s="25" t="s">
        <v>1731</v>
      </c>
      <c r="B842" s="8" t="s">
        <v>1732</v>
      </c>
      <c r="C842" s="25" t="s">
        <v>81</v>
      </c>
      <c r="D842" s="25" t="s">
        <v>78</v>
      </c>
      <c r="E842" s="9">
        <v>5400000</v>
      </c>
      <c r="F842" s="26">
        <v>0.93</v>
      </c>
      <c r="G842" s="25">
        <v>53</v>
      </c>
      <c r="H842" s="27">
        <v>16.7</v>
      </c>
      <c r="I842" s="21" t="str">
        <f t="shared" si="48"/>
        <v>Cumple</v>
      </c>
      <c r="J842" s="22" t="str">
        <f t="shared" si="49"/>
        <v>Sin bono</v>
      </c>
      <c r="K842" s="23" t="str">
        <f t="shared" si="50"/>
        <v>OK</v>
      </c>
      <c r="L842" s="24" t="str">
        <f t="shared" si="51"/>
        <v>Revisar</v>
      </c>
    </row>
    <row r="843" spans="1:12" ht="18" customHeight="1" x14ac:dyDescent="0.3">
      <c r="A843" s="18" t="s">
        <v>1733</v>
      </c>
      <c r="B843" s="5" t="s">
        <v>1734</v>
      </c>
      <c r="C843" s="18" t="s">
        <v>59</v>
      </c>
      <c r="D843" s="18" t="s">
        <v>60</v>
      </c>
      <c r="E843" s="6">
        <v>10200000</v>
      </c>
      <c r="F843" s="19">
        <v>1</v>
      </c>
      <c r="G843" s="18">
        <v>30</v>
      </c>
      <c r="H843" s="20">
        <v>10.5</v>
      </c>
      <c r="I843" s="21" t="str">
        <f t="shared" si="48"/>
        <v>Cumple</v>
      </c>
      <c r="J843" s="22" t="str">
        <f t="shared" si="49"/>
        <v>Sin bono</v>
      </c>
      <c r="K843" s="23" t="str">
        <f t="shared" si="50"/>
        <v>ALERTA</v>
      </c>
      <c r="L843" s="24" t="str">
        <f t="shared" si="51"/>
        <v>Revisar</v>
      </c>
    </row>
    <row r="844" spans="1:12" ht="18" customHeight="1" x14ac:dyDescent="0.3">
      <c r="A844" s="25" t="s">
        <v>1735</v>
      </c>
      <c r="B844" s="8" t="s">
        <v>1736</v>
      </c>
      <c r="C844" s="25" t="s">
        <v>74</v>
      </c>
      <c r="D844" s="25" t="s">
        <v>60</v>
      </c>
      <c r="E844" s="9">
        <v>9100000</v>
      </c>
      <c r="F844" s="26">
        <v>0.82</v>
      </c>
      <c r="G844" s="25">
        <v>72</v>
      </c>
      <c r="H844" s="27">
        <v>0.5</v>
      </c>
      <c r="I844" s="21" t="str">
        <f t="shared" si="48"/>
        <v>Cumple</v>
      </c>
      <c r="J844" s="22" t="str">
        <f t="shared" si="49"/>
        <v>BONO</v>
      </c>
      <c r="K844" s="23" t="str">
        <f t="shared" si="50"/>
        <v>OK</v>
      </c>
      <c r="L844" s="24" t="str">
        <f t="shared" si="51"/>
        <v>Bueno</v>
      </c>
    </row>
    <row r="845" spans="1:12" ht="18" customHeight="1" x14ac:dyDescent="0.3">
      <c r="A845" s="18" t="s">
        <v>1737</v>
      </c>
      <c r="B845" s="5" t="s">
        <v>1738</v>
      </c>
      <c r="C845" s="18" t="s">
        <v>91</v>
      </c>
      <c r="D845" s="18" t="s">
        <v>92</v>
      </c>
      <c r="E845" s="6">
        <v>3300000</v>
      </c>
      <c r="F845" s="19">
        <v>0.81</v>
      </c>
      <c r="G845" s="18">
        <v>87</v>
      </c>
      <c r="H845" s="20">
        <v>6.5</v>
      </c>
      <c r="I845" s="21" t="str">
        <f t="shared" ref="I845:I908" si="52">IF(F845&gt;=0.8,"Cumple","No cumple")</f>
        <v>Cumple</v>
      </c>
      <c r="J845" s="22" t="str">
        <f t="shared" ref="J845:J908" si="53">IF(AND(F845&gt;=0.8,G845&gt;=70),"BONO","Sin bono")</f>
        <v>BONO</v>
      </c>
      <c r="K845" s="23" t="str">
        <f t="shared" ref="K845:K908" si="54">IF(OR(F845&lt;0.6,G845&lt;50),"ALERTA","OK")</f>
        <v>OK</v>
      </c>
      <c r="L845" s="24" t="str">
        <f t="shared" ref="L845:L908" si="55">IF(AND(F845&gt;=0.9,G845&gt;=85),"Excelente",IF(AND(F845&gt;=0.8,G845&gt;=70),"Bueno","Revisar"))</f>
        <v>Bueno</v>
      </c>
    </row>
    <row r="846" spans="1:12" ht="18" customHeight="1" x14ac:dyDescent="0.3">
      <c r="A846" s="25" t="s">
        <v>1739</v>
      </c>
      <c r="B846" s="8" t="s">
        <v>1740</v>
      </c>
      <c r="C846" s="25" t="s">
        <v>91</v>
      </c>
      <c r="D846" s="25" t="s">
        <v>78</v>
      </c>
      <c r="E846" s="9">
        <v>9800000</v>
      </c>
      <c r="F846" s="26">
        <v>0.97</v>
      </c>
      <c r="G846" s="25">
        <v>78</v>
      </c>
      <c r="H846" s="27">
        <v>1.9</v>
      </c>
      <c r="I846" s="21" t="str">
        <f t="shared" si="52"/>
        <v>Cumple</v>
      </c>
      <c r="J846" s="22" t="str">
        <f t="shared" si="53"/>
        <v>BONO</v>
      </c>
      <c r="K846" s="23" t="str">
        <f t="shared" si="54"/>
        <v>OK</v>
      </c>
      <c r="L846" s="24" t="str">
        <f t="shared" si="55"/>
        <v>Bueno</v>
      </c>
    </row>
    <row r="847" spans="1:12" ht="18" customHeight="1" x14ac:dyDescent="0.3">
      <c r="A847" s="18" t="s">
        <v>1741</v>
      </c>
      <c r="B847" s="5" t="s">
        <v>1742</v>
      </c>
      <c r="C847" s="18" t="s">
        <v>63</v>
      </c>
      <c r="D847" s="18" t="s">
        <v>78</v>
      </c>
      <c r="E847" s="6">
        <v>3000000</v>
      </c>
      <c r="F847" s="19">
        <v>0.92</v>
      </c>
      <c r="G847" s="18">
        <v>50</v>
      </c>
      <c r="H847" s="20">
        <v>7.8</v>
      </c>
      <c r="I847" s="21" t="str">
        <f t="shared" si="52"/>
        <v>Cumple</v>
      </c>
      <c r="J847" s="22" t="str">
        <f t="shared" si="53"/>
        <v>Sin bono</v>
      </c>
      <c r="K847" s="23" t="str">
        <f t="shared" si="54"/>
        <v>OK</v>
      </c>
      <c r="L847" s="24" t="str">
        <f t="shared" si="55"/>
        <v>Revisar</v>
      </c>
    </row>
    <row r="848" spans="1:12" ht="18" customHeight="1" x14ac:dyDescent="0.3">
      <c r="A848" s="25" t="s">
        <v>1743</v>
      </c>
      <c r="B848" s="8" t="s">
        <v>1744</v>
      </c>
      <c r="C848" s="25" t="s">
        <v>67</v>
      </c>
      <c r="D848" s="25" t="s">
        <v>105</v>
      </c>
      <c r="E848" s="9">
        <v>8500000</v>
      </c>
      <c r="F848" s="26">
        <v>0.94</v>
      </c>
      <c r="G848" s="25">
        <v>90</v>
      </c>
      <c r="H848" s="27">
        <v>5.4</v>
      </c>
      <c r="I848" s="21" t="str">
        <f t="shared" si="52"/>
        <v>Cumple</v>
      </c>
      <c r="J848" s="22" t="str">
        <f t="shared" si="53"/>
        <v>BONO</v>
      </c>
      <c r="K848" s="23" t="str">
        <f t="shared" si="54"/>
        <v>OK</v>
      </c>
      <c r="L848" s="24" t="str">
        <f t="shared" si="55"/>
        <v>Excelente</v>
      </c>
    </row>
    <row r="849" spans="1:12" ht="18" customHeight="1" x14ac:dyDescent="0.3">
      <c r="A849" s="18" t="s">
        <v>1745</v>
      </c>
      <c r="B849" s="5" t="s">
        <v>1746</v>
      </c>
      <c r="C849" s="18" t="s">
        <v>74</v>
      </c>
      <c r="D849" s="18" t="s">
        <v>68</v>
      </c>
      <c r="E849" s="6">
        <v>7500000</v>
      </c>
      <c r="F849" s="19">
        <v>0.79</v>
      </c>
      <c r="G849" s="18">
        <v>85</v>
      </c>
      <c r="H849" s="20">
        <v>12.6</v>
      </c>
      <c r="I849" s="21" t="str">
        <f t="shared" si="52"/>
        <v>No cumple</v>
      </c>
      <c r="J849" s="22" t="str">
        <f t="shared" si="53"/>
        <v>Sin bono</v>
      </c>
      <c r="K849" s="23" t="str">
        <f t="shared" si="54"/>
        <v>OK</v>
      </c>
      <c r="L849" s="24" t="str">
        <f t="shared" si="55"/>
        <v>Revisar</v>
      </c>
    </row>
    <row r="850" spans="1:12" ht="18" customHeight="1" x14ac:dyDescent="0.3">
      <c r="A850" s="25" t="s">
        <v>1747</v>
      </c>
      <c r="B850" s="8" t="s">
        <v>1748</v>
      </c>
      <c r="C850" s="25" t="s">
        <v>81</v>
      </c>
      <c r="D850" s="25" t="s">
        <v>105</v>
      </c>
      <c r="E850" s="9">
        <v>11400000</v>
      </c>
      <c r="F850" s="26">
        <v>0.56999999999999995</v>
      </c>
      <c r="G850" s="25">
        <v>49</v>
      </c>
      <c r="H850" s="27">
        <v>18.600000000000001</v>
      </c>
      <c r="I850" s="21" t="str">
        <f t="shared" si="52"/>
        <v>No cumple</v>
      </c>
      <c r="J850" s="22" t="str">
        <f t="shared" si="53"/>
        <v>Sin bono</v>
      </c>
      <c r="K850" s="23" t="str">
        <f t="shared" si="54"/>
        <v>ALERTA</v>
      </c>
      <c r="L850" s="24" t="str">
        <f t="shared" si="55"/>
        <v>Revisar</v>
      </c>
    </row>
    <row r="851" spans="1:12" ht="18" customHeight="1" x14ac:dyDescent="0.3">
      <c r="A851" s="18" t="s">
        <v>1749</v>
      </c>
      <c r="B851" s="5" t="s">
        <v>1750</v>
      </c>
      <c r="C851" s="18" t="s">
        <v>59</v>
      </c>
      <c r="D851" s="18" t="s">
        <v>105</v>
      </c>
      <c r="E851" s="6">
        <v>8300000</v>
      </c>
      <c r="F851" s="19">
        <v>0.49</v>
      </c>
      <c r="G851" s="18">
        <v>91</v>
      </c>
      <c r="H851" s="20">
        <v>6</v>
      </c>
      <c r="I851" s="21" t="str">
        <f t="shared" si="52"/>
        <v>No cumple</v>
      </c>
      <c r="J851" s="22" t="str">
        <f t="shared" si="53"/>
        <v>Sin bono</v>
      </c>
      <c r="K851" s="23" t="str">
        <f t="shared" si="54"/>
        <v>ALERTA</v>
      </c>
      <c r="L851" s="24" t="str">
        <f t="shared" si="55"/>
        <v>Revisar</v>
      </c>
    </row>
    <row r="852" spans="1:12" ht="18" customHeight="1" x14ac:dyDescent="0.3">
      <c r="A852" s="25" t="s">
        <v>1751</v>
      </c>
      <c r="B852" s="8" t="s">
        <v>1752</v>
      </c>
      <c r="C852" s="25" t="s">
        <v>91</v>
      </c>
      <c r="D852" s="25" t="s">
        <v>78</v>
      </c>
      <c r="E852" s="9">
        <v>3300000</v>
      </c>
      <c r="F852" s="26">
        <v>0.73</v>
      </c>
      <c r="G852" s="25">
        <v>95</v>
      </c>
      <c r="H852" s="27">
        <v>8.5</v>
      </c>
      <c r="I852" s="21" t="str">
        <f t="shared" si="52"/>
        <v>No cumple</v>
      </c>
      <c r="J852" s="22" t="str">
        <f t="shared" si="53"/>
        <v>Sin bono</v>
      </c>
      <c r="K852" s="23" t="str">
        <f t="shared" si="54"/>
        <v>OK</v>
      </c>
      <c r="L852" s="24" t="str">
        <f t="shared" si="55"/>
        <v>Revisar</v>
      </c>
    </row>
    <row r="853" spans="1:12" ht="18" customHeight="1" x14ac:dyDescent="0.3">
      <c r="A853" s="18" t="s">
        <v>1753</v>
      </c>
      <c r="B853" s="5" t="s">
        <v>1754</v>
      </c>
      <c r="C853" s="18" t="s">
        <v>74</v>
      </c>
      <c r="D853" s="18" t="s">
        <v>64</v>
      </c>
      <c r="E853" s="6">
        <v>4200000</v>
      </c>
      <c r="F853" s="19">
        <v>0.86</v>
      </c>
      <c r="G853" s="18">
        <v>89</v>
      </c>
      <c r="H853" s="20">
        <v>3.6</v>
      </c>
      <c r="I853" s="21" t="str">
        <f t="shared" si="52"/>
        <v>Cumple</v>
      </c>
      <c r="J853" s="22" t="str">
        <f t="shared" si="53"/>
        <v>BONO</v>
      </c>
      <c r="K853" s="23" t="str">
        <f t="shared" si="54"/>
        <v>OK</v>
      </c>
      <c r="L853" s="24" t="str">
        <f t="shared" si="55"/>
        <v>Bueno</v>
      </c>
    </row>
    <row r="854" spans="1:12" ht="18" customHeight="1" x14ac:dyDescent="0.3">
      <c r="A854" s="25" t="s">
        <v>1755</v>
      </c>
      <c r="B854" s="8" t="s">
        <v>1756</v>
      </c>
      <c r="C854" s="25" t="s">
        <v>74</v>
      </c>
      <c r="D854" s="25" t="s">
        <v>68</v>
      </c>
      <c r="E854" s="9">
        <v>11800000</v>
      </c>
      <c r="F854" s="26">
        <v>0.61</v>
      </c>
      <c r="G854" s="25">
        <v>88</v>
      </c>
      <c r="H854" s="27">
        <v>15.1</v>
      </c>
      <c r="I854" s="21" t="str">
        <f t="shared" si="52"/>
        <v>No cumple</v>
      </c>
      <c r="J854" s="22" t="str">
        <f t="shared" si="53"/>
        <v>Sin bono</v>
      </c>
      <c r="K854" s="23" t="str">
        <f t="shared" si="54"/>
        <v>OK</v>
      </c>
      <c r="L854" s="24" t="str">
        <f t="shared" si="55"/>
        <v>Revisar</v>
      </c>
    </row>
    <row r="855" spans="1:12" ht="18" customHeight="1" x14ac:dyDescent="0.3">
      <c r="A855" s="18" t="s">
        <v>1757</v>
      </c>
      <c r="B855" s="5" t="s">
        <v>1758</v>
      </c>
      <c r="C855" s="18" t="s">
        <v>71</v>
      </c>
      <c r="D855" s="18" t="s">
        <v>60</v>
      </c>
      <c r="E855" s="6">
        <v>5100000</v>
      </c>
      <c r="F855" s="19">
        <v>0.49</v>
      </c>
      <c r="G855" s="18">
        <v>63</v>
      </c>
      <c r="H855" s="20">
        <v>17.399999999999999</v>
      </c>
      <c r="I855" s="21" t="str">
        <f t="shared" si="52"/>
        <v>No cumple</v>
      </c>
      <c r="J855" s="22" t="str">
        <f t="shared" si="53"/>
        <v>Sin bono</v>
      </c>
      <c r="K855" s="23" t="str">
        <f t="shared" si="54"/>
        <v>ALERTA</v>
      </c>
      <c r="L855" s="24" t="str">
        <f t="shared" si="55"/>
        <v>Revisar</v>
      </c>
    </row>
    <row r="856" spans="1:12" ht="18" customHeight="1" x14ac:dyDescent="0.3">
      <c r="A856" s="25" t="s">
        <v>1759</v>
      </c>
      <c r="B856" s="8" t="s">
        <v>1760</v>
      </c>
      <c r="C856" s="25" t="s">
        <v>77</v>
      </c>
      <c r="D856" s="25" t="s">
        <v>105</v>
      </c>
      <c r="E856" s="9">
        <v>11600000</v>
      </c>
      <c r="F856" s="26">
        <v>0.67</v>
      </c>
      <c r="G856" s="25">
        <v>92</v>
      </c>
      <c r="H856" s="27">
        <v>6.1</v>
      </c>
      <c r="I856" s="21" t="str">
        <f t="shared" si="52"/>
        <v>No cumple</v>
      </c>
      <c r="J856" s="22" t="str">
        <f t="shared" si="53"/>
        <v>Sin bono</v>
      </c>
      <c r="K856" s="23" t="str">
        <f t="shared" si="54"/>
        <v>OK</v>
      </c>
      <c r="L856" s="24" t="str">
        <f t="shared" si="55"/>
        <v>Revisar</v>
      </c>
    </row>
    <row r="857" spans="1:12" ht="18" customHeight="1" x14ac:dyDescent="0.3">
      <c r="A857" s="18" t="s">
        <v>1761</v>
      </c>
      <c r="B857" s="5" t="s">
        <v>1762</v>
      </c>
      <c r="C857" s="18" t="s">
        <v>71</v>
      </c>
      <c r="D857" s="18" t="s">
        <v>114</v>
      </c>
      <c r="E857" s="6">
        <v>2900000</v>
      </c>
      <c r="F857" s="19">
        <v>0.55000000000000004</v>
      </c>
      <c r="G857" s="18">
        <v>32</v>
      </c>
      <c r="H857" s="20">
        <v>13.9</v>
      </c>
      <c r="I857" s="21" t="str">
        <f t="shared" si="52"/>
        <v>No cumple</v>
      </c>
      <c r="J857" s="22" t="str">
        <f t="shared" si="53"/>
        <v>Sin bono</v>
      </c>
      <c r="K857" s="23" t="str">
        <f t="shared" si="54"/>
        <v>ALERTA</v>
      </c>
      <c r="L857" s="24" t="str">
        <f t="shared" si="55"/>
        <v>Revisar</v>
      </c>
    </row>
    <row r="858" spans="1:12" ht="18" customHeight="1" x14ac:dyDescent="0.3">
      <c r="A858" s="25" t="s">
        <v>1763</v>
      </c>
      <c r="B858" s="8" t="s">
        <v>1764</v>
      </c>
      <c r="C858" s="25" t="s">
        <v>67</v>
      </c>
      <c r="D858" s="25" t="s">
        <v>78</v>
      </c>
      <c r="E858" s="9">
        <v>6600000</v>
      </c>
      <c r="F858" s="26">
        <v>0.87</v>
      </c>
      <c r="G858" s="25">
        <v>48</v>
      </c>
      <c r="H858" s="27">
        <v>9.5</v>
      </c>
      <c r="I858" s="21" t="str">
        <f t="shared" si="52"/>
        <v>Cumple</v>
      </c>
      <c r="J858" s="22" t="str">
        <f t="shared" si="53"/>
        <v>Sin bono</v>
      </c>
      <c r="K858" s="23" t="str">
        <f t="shared" si="54"/>
        <v>ALERTA</v>
      </c>
      <c r="L858" s="24" t="str">
        <f t="shared" si="55"/>
        <v>Revisar</v>
      </c>
    </row>
    <row r="859" spans="1:12" ht="18" customHeight="1" x14ac:dyDescent="0.3">
      <c r="A859" s="18" t="s">
        <v>1765</v>
      </c>
      <c r="B859" s="5" t="s">
        <v>1766</v>
      </c>
      <c r="C859" s="18" t="s">
        <v>77</v>
      </c>
      <c r="D859" s="18" t="s">
        <v>105</v>
      </c>
      <c r="E859" s="6">
        <v>8800000</v>
      </c>
      <c r="F859" s="19">
        <v>0.46</v>
      </c>
      <c r="G859" s="18">
        <v>87</v>
      </c>
      <c r="H859" s="20">
        <v>11.7</v>
      </c>
      <c r="I859" s="21" t="str">
        <f t="shared" si="52"/>
        <v>No cumple</v>
      </c>
      <c r="J859" s="22" t="str">
        <f t="shared" si="53"/>
        <v>Sin bono</v>
      </c>
      <c r="K859" s="23" t="str">
        <f t="shared" si="54"/>
        <v>ALERTA</v>
      </c>
      <c r="L859" s="24" t="str">
        <f t="shared" si="55"/>
        <v>Revisar</v>
      </c>
    </row>
    <row r="860" spans="1:12" ht="18" customHeight="1" x14ac:dyDescent="0.3">
      <c r="A860" s="25" t="s">
        <v>1767</v>
      </c>
      <c r="B860" s="8" t="s">
        <v>1768</v>
      </c>
      <c r="C860" s="25" t="s">
        <v>63</v>
      </c>
      <c r="D860" s="25" t="s">
        <v>68</v>
      </c>
      <c r="E860" s="9">
        <v>9100000</v>
      </c>
      <c r="F860" s="26">
        <v>0.86</v>
      </c>
      <c r="G860" s="25">
        <v>100</v>
      </c>
      <c r="H860" s="27">
        <v>20</v>
      </c>
      <c r="I860" s="21" t="str">
        <f t="shared" si="52"/>
        <v>Cumple</v>
      </c>
      <c r="J860" s="22" t="str">
        <f t="shared" si="53"/>
        <v>BONO</v>
      </c>
      <c r="K860" s="23" t="str">
        <f t="shared" si="54"/>
        <v>OK</v>
      </c>
      <c r="L860" s="24" t="str">
        <f t="shared" si="55"/>
        <v>Bueno</v>
      </c>
    </row>
    <row r="861" spans="1:12" ht="18" customHeight="1" x14ac:dyDescent="0.3">
      <c r="A861" s="18" t="s">
        <v>1769</v>
      </c>
      <c r="B861" s="5" t="s">
        <v>1770</v>
      </c>
      <c r="C861" s="18" t="s">
        <v>74</v>
      </c>
      <c r="D861" s="18" t="s">
        <v>88</v>
      </c>
      <c r="E861" s="6">
        <v>11000000</v>
      </c>
      <c r="F861" s="19">
        <v>0.68</v>
      </c>
      <c r="G861" s="18">
        <v>90</v>
      </c>
      <c r="H861" s="20">
        <v>2.2999999999999998</v>
      </c>
      <c r="I861" s="21" t="str">
        <f t="shared" si="52"/>
        <v>No cumple</v>
      </c>
      <c r="J861" s="22" t="str">
        <f t="shared" si="53"/>
        <v>Sin bono</v>
      </c>
      <c r="K861" s="23" t="str">
        <f t="shared" si="54"/>
        <v>OK</v>
      </c>
      <c r="L861" s="24" t="str">
        <f t="shared" si="55"/>
        <v>Revisar</v>
      </c>
    </row>
    <row r="862" spans="1:12" ht="18" customHeight="1" x14ac:dyDescent="0.3">
      <c r="A862" s="25" t="s">
        <v>1771</v>
      </c>
      <c r="B862" s="8" t="s">
        <v>1772</v>
      </c>
      <c r="C862" s="25" t="s">
        <v>81</v>
      </c>
      <c r="D862" s="25" t="s">
        <v>105</v>
      </c>
      <c r="E862" s="9">
        <v>11700000</v>
      </c>
      <c r="F862" s="26">
        <v>0.69</v>
      </c>
      <c r="G862" s="25">
        <v>50</v>
      </c>
      <c r="H862" s="27">
        <v>5.8</v>
      </c>
      <c r="I862" s="21" t="str">
        <f t="shared" si="52"/>
        <v>No cumple</v>
      </c>
      <c r="J862" s="22" t="str">
        <f t="shared" si="53"/>
        <v>Sin bono</v>
      </c>
      <c r="K862" s="23" t="str">
        <f t="shared" si="54"/>
        <v>OK</v>
      </c>
      <c r="L862" s="24" t="str">
        <f t="shared" si="55"/>
        <v>Revisar</v>
      </c>
    </row>
    <row r="863" spans="1:12" ht="18" customHeight="1" x14ac:dyDescent="0.3">
      <c r="A863" s="18" t="s">
        <v>1773</v>
      </c>
      <c r="B863" s="5" t="s">
        <v>1774</v>
      </c>
      <c r="C863" s="18" t="s">
        <v>67</v>
      </c>
      <c r="D863" s="18" t="s">
        <v>92</v>
      </c>
      <c r="E863" s="6">
        <v>10500000</v>
      </c>
      <c r="F863" s="19">
        <v>0.92</v>
      </c>
      <c r="G863" s="18">
        <v>89</v>
      </c>
      <c r="H863" s="20">
        <v>2.6</v>
      </c>
      <c r="I863" s="21" t="str">
        <f t="shared" si="52"/>
        <v>Cumple</v>
      </c>
      <c r="J863" s="22" t="str">
        <f t="shared" si="53"/>
        <v>BONO</v>
      </c>
      <c r="K863" s="23" t="str">
        <f t="shared" si="54"/>
        <v>OK</v>
      </c>
      <c r="L863" s="24" t="str">
        <f t="shared" si="55"/>
        <v>Excelente</v>
      </c>
    </row>
    <row r="864" spans="1:12" ht="18" customHeight="1" x14ac:dyDescent="0.3">
      <c r="A864" s="25" t="s">
        <v>1775</v>
      </c>
      <c r="B864" s="8" t="s">
        <v>1776</v>
      </c>
      <c r="C864" s="25" t="s">
        <v>63</v>
      </c>
      <c r="D864" s="25" t="s">
        <v>68</v>
      </c>
      <c r="E864" s="9">
        <v>11400000</v>
      </c>
      <c r="F864" s="26">
        <v>0.81</v>
      </c>
      <c r="G864" s="25">
        <v>76</v>
      </c>
      <c r="H864" s="27">
        <v>15.9</v>
      </c>
      <c r="I864" s="21" t="str">
        <f t="shared" si="52"/>
        <v>Cumple</v>
      </c>
      <c r="J864" s="22" t="str">
        <f t="shared" si="53"/>
        <v>BONO</v>
      </c>
      <c r="K864" s="23" t="str">
        <f t="shared" si="54"/>
        <v>OK</v>
      </c>
      <c r="L864" s="24" t="str">
        <f t="shared" si="55"/>
        <v>Bueno</v>
      </c>
    </row>
    <row r="865" spans="1:12" ht="18" customHeight="1" x14ac:dyDescent="0.3">
      <c r="A865" s="18" t="s">
        <v>1777</v>
      </c>
      <c r="B865" s="5" t="s">
        <v>1778</v>
      </c>
      <c r="C865" s="18" t="s">
        <v>67</v>
      </c>
      <c r="D865" s="18" t="s">
        <v>88</v>
      </c>
      <c r="E865" s="6">
        <v>11600000</v>
      </c>
      <c r="F865" s="19">
        <v>0.86</v>
      </c>
      <c r="G865" s="18">
        <v>91</v>
      </c>
      <c r="H865" s="20">
        <v>2.6</v>
      </c>
      <c r="I865" s="21" t="str">
        <f t="shared" si="52"/>
        <v>Cumple</v>
      </c>
      <c r="J865" s="22" t="str">
        <f t="shared" si="53"/>
        <v>BONO</v>
      </c>
      <c r="K865" s="23" t="str">
        <f t="shared" si="54"/>
        <v>OK</v>
      </c>
      <c r="L865" s="24" t="str">
        <f t="shared" si="55"/>
        <v>Bueno</v>
      </c>
    </row>
    <row r="866" spans="1:12" ht="18" customHeight="1" x14ac:dyDescent="0.3">
      <c r="A866" s="25" t="s">
        <v>1779</v>
      </c>
      <c r="B866" s="8" t="s">
        <v>1780</v>
      </c>
      <c r="C866" s="25" t="s">
        <v>91</v>
      </c>
      <c r="D866" s="25" t="s">
        <v>64</v>
      </c>
      <c r="E866" s="9">
        <v>7300000</v>
      </c>
      <c r="F866" s="26">
        <v>0.93</v>
      </c>
      <c r="G866" s="25">
        <v>75</v>
      </c>
      <c r="H866" s="27">
        <v>13.5</v>
      </c>
      <c r="I866" s="21" t="str">
        <f t="shared" si="52"/>
        <v>Cumple</v>
      </c>
      <c r="J866" s="22" t="str">
        <f t="shared" si="53"/>
        <v>BONO</v>
      </c>
      <c r="K866" s="23" t="str">
        <f t="shared" si="54"/>
        <v>OK</v>
      </c>
      <c r="L866" s="24" t="str">
        <f t="shared" si="55"/>
        <v>Bueno</v>
      </c>
    </row>
    <row r="867" spans="1:12" ht="18" customHeight="1" x14ac:dyDescent="0.3">
      <c r="A867" s="18" t="s">
        <v>1781</v>
      </c>
      <c r="B867" s="5" t="s">
        <v>1782</v>
      </c>
      <c r="C867" s="18" t="s">
        <v>74</v>
      </c>
      <c r="D867" s="18" t="s">
        <v>92</v>
      </c>
      <c r="E867" s="6">
        <v>8300000</v>
      </c>
      <c r="F867" s="19">
        <v>0.51</v>
      </c>
      <c r="G867" s="18">
        <v>59</v>
      </c>
      <c r="H867" s="20">
        <v>2.4</v>
      </c>
      <c r="I867" s="21" t="str">
        <f t="shared" si="52"/>
        <v>No cumple</v>
      </c>
      <c r="J867" s="22" t="str">
        <f t="shared" si="53"/>
        <v>Sin bono</v>
      </c>
      <c r="K867" s="23" t="str">
        <f t="shared" si="54"/>
        <v>ALERTA</v>
      </c>
      <c r="L867" s="24" t="str">
        <f t="shared" si="55"/>
        <v>Revisar</v>
      </c>
    </row>
    <row r="868" spans="1:12" ht="18" customHeight="1" x14ac:dyDescent="0.3">
      <c r="A868" s="25" t="s">
        <v>1783</v>
      </c>
      <c r="B868" s="8" t="s">
        <v>1784</v>
      </c>
      <c r="C868" s="25" t="s">
        <v>91</v>
      </c>
      <c r="D868" s="25" t="s">
        <v>88</v>
      </c>
      <c r="E868" s="9">
        <v>4700000</v>
      </c>
      <c r="F868" s="26">
        <v>0.92</v>
      </c>
      <c r="G868" s="25">
        <v>95</v>
      </c>
      <c r="H868" s="27">
        <v>12.1</v>
      </c>
      <c r="I868" s="21" t="str">
        <f t="shared" si="52"/>
        <v>Cumple</v>
      </c>
      <c r="J868" s="22" t="str">
        <f t="shared" si="53"/>
        <v>BONO</v>
      </c>
      <c r="K868" s="23" t="str">
        <f t="shared" si="54"/>
        <v>OK</v>
      </c>
      <c r="L868" s="24" t="str">
        <f t="shared" si="55"/>
        <v>Excelente</v>
      </c>
    </row>
    <row r="869" spans="1:12" ht="18" customHeight="1" x14ac:dyDescent="0.3">
      <c r="A869" s="18" t="s">
        <v>1785</v>
      </c>
      <c r="B869" s="5" t="s">
        <v>1786</v>
      </c>
      <c r="C869" s="18" t="s">
        <v>91</v>
      </c>
      <c r="D869" s="18" t="s">
        <v>105</v>
      </c>
      <c r="E869" s="6">
        <v>8600000</v>
      </c>
      <c r="F869" s="19">
        <v>0.98</v>
      </c>
      <c r="G869" s="18">
        <v>44</v>
      </c>
      <c r="H869" s="20">
        <v>19.5</v>
      </c>
      <c r="I869" s="21" t="str">
        <f t="shared" si="52"/>
        <v>Cumple</v>
      </c>
      <c r="J869" s="22" t="str">
        <f t="shared" si="53"/>
        <v>Sin bono</v>
      </c>
      <c r="K869" s="23" t="str">
        <f t="shared" si="54"/>
        <v>ALERTA</v>
      </c>
      <c r="L869" s="24" t="str">
        <f t="shared" si="55"/>
        <v>Revisar</v>
      </c>
    </row>
    <row r="870" spans="1:12" ht="18" customHeight="1" x14ac:dyDescent="0.3">
      <c r="A870" s="25" t="s">
        <v>1787</v>
      </c>
      <c r="B870" s="8" t="s">
        <v>1788</v>
      </c>
      <c r="C870" s="25" t="s">
        <v>77</v>
      </c>
      <c r="D870" s="25" t="s">
        <v>78</v>
      </c>
      <c r="E870" s="9">
        <v>4700000</v>
      </c>
      <c r="F870" s="26">
        <v>0.81</v>
      </c>
      <c r="G870" s="25">
        <v>72</v>
      </c>
      <c r="H870" s="27">
        <v>16.399999999999999</v>
      </c>
      <c r="I870" s="21" t="str">
        <f t="shared" si="52"/>
        <v>Cumple</v>
      </c>
      <c r="J870" s="22" t="str">
        <f t="shared" si="53"/>
        <v>BONO</v>
      </c>
      <c r="K870" s="23" t="str">
        <f t="shared" si="54"/>
        <v>OK</v>
      </c>
      <c r="L870" s="24" t="str">
        <f t="shared" si="55"/>
        <v>Bueno</v>
      </c>
    </row>
    <row r="871" spans="1:12" ht="18" customHeight="1" x14ac:dyDescent="0.3">
      <c r="A871" s="18" t="s">
        <v>1789</v>
      </c>
      <c r="B871" s="5" t="s">
        <v>1790</v>
      </c>
      <c r="C871" s="18" t="s">
        <v>91</v>
      </c>
      <c r="D871" s="18" t="s">
        <v>60</v>
      </c>
      <c r="E871" s="6">
        <v>8800000</v>
      </c>
      <c r="F871" s="19">
        <v>0.64</v>
      </c>
      <c r="G871" s="18">
        <v>94</v>
      </c>
      <c r="H871" s="20">
        <v>3.4</v>
      </c>
      <c r="I871" s="21" t="str">
        <f t="shared" si="52"/>
        <v>No cumple</v>
      </c>
      <c r="J871" s="22" t="str">
        <f t="shared" si="53"/>
        <v>Sin bono</v>
      </c>
      <c r="K871" s="23" t="str">
        <f t="shared" si="54"/>
        <v>OK</v>
      </c>
      <c r="L871" s="24" t="str">
        <f t="shared" si="55"/>
        <v>Revisar</v>
      </c>
    </row>
    <row r="872" spans="1:12" ht="18" customHeight="1" x14ac:dyDescent="0.3">
      <c r="A872" s="25" t="s">
        <v>1791</v>
      </c>
      <c r="B872" s="8" t="s">
        <v>1792</v>
      </c>
      <c r="C872" s="25" t="s">
        <v>63</v>
      </c>
      <c r="D872" s="25" t="s">
        <v>105</v>
      </c>
      <c r="E872" s="9">
        <v>9400000</v>
      </c>
      <c r="F872" s="26">
        <v>0.89</v>
      </c>
      <c r="G872" s="25">
        <v>76</v>
      </c>
      <c r="H872" s="27">
        <v>18.899999999999999</v>
      </c>
      <c r="I872" s="21" t="str">
        <f t="shared" si="52"/>
        <v>Cumple</v>
      </c>
      <c r="J872" s="22" t="str">
        <f t="shared" si="53"/>
        <v>BONO</v>
      </c>
      <c r="K872" s="23" t="str">
        <f t="shared" si="54"/>
        <v>OK</v>
      </c>
      <c r="L872" s="24" t="str">
        <f t="shared" si="55"/>
        <v>Bueno</v>
      </c>
    </row>
    <row r="873" spans="1:12" ht="18" customHeight="1" x14ac:dyDescent="0.3">
      <c r="A873" s="18" t="s">
        <v>1793</v>
      </c>
      <c r="B873" s="5" t="s">
        <v>1794</v>
      </c>
      <c r="C873" s="18" t="s">
        <v>91</v>
      </c>
      <c r="D873" s="18" t="s">
        <v>78</v>
      </c>
      <c r="E873" s="6">
        <v>3800000</v>
      </c>
      <c r="F873" s="19">
        <v>0.64</v>
      </c>
      <c r="G873" s="18">
        <v>81</v>
      </c>
      <c r="H873" s="20">
        <v>19.600000000000001</v>
      </c>
      <c r="I873" s="21" t="str">
        <f t="shared" si="52"/>
        <v>No cumple</v>
      </c>
      <c r="J873" s="22" t="str">
        <f t="shared" si="53"/>
        <v>Sin bono</v>
      </c>
      <c r="K873" s="23" t="str">
        <f t="shared" si="54"/>
        <v>OK</v>
      </c>
      <c r="L873" s="24" t="str">
        <f t="shared" si="55"/>
        <v>Revisar</v>
      </c>
    </row>
    <row r="874" spans="1:12" ht="18" customHeight="1" x14ac:dyDescent="0.3">
      <c r="A874" s="25" t="s">
        <v>1795</v>
      </c>
      <c r="B874" s="8" t="s">
        <v>1796</v>
      </c>
      <c r="C874" s="25" t="s">
        <v>91</v>
      </c>
      <c r="D874" s="25" t="s">
        <v>68</v>
      </c>
      <c r="E874" s="9">
        <v>3200000</v>
      </c>
      <c r="F874" s="26">
        <v>0.81</v>
      </c>
      <c r="G874" s="25">
        <v>49</v>
      </c>
      <c r="H874" s="27">
        <v>18.100000000000001</v>
      </c>
      <c r="I874" s="21" t="str">
        <f t="shared" si="52"/>
        <v>Cumple</v>
      </c>
      <c r="J874" s="22" t="str">
        <f t="shared" si="53"/>
        <v>Sin bono</v>
      </c>
      <c r="K874" s="23" t="str">
        <f t="shared" si="54"/>
        <v>ALERTA</v>
      </c>
      <c r="L874" s="24" t="str">
        <f t="shared" si="55"/>
        <v>Revisar</v>
      </c>
    </row>
    <row r="875" spans="1:12" ht="18" customHeight="1" x14ac:dyDescent="0.3">
      <c r="A875" s="18" t="s">
        <v>1797</v>
      </c>
      <c r="B875" s="5" t="s">
        <v>1798</v>
      </c>
      <c r="C875" s="18" t="s">
        <v>81</v>
      </c>
      <c r="D875" s="18" t="s">
        <v>92</v>
      </c>
      <c r="E875" s="6">
        <v>2900000</v>
      </c>
      <c r="F875" s="19">
        <v>0.9</v>
      </c>
      <c r="G875" s="18">
        <v>97</v>
      </c>
      <c r="H875" s="20">
        <v>12.2</v>
      </c>
      <c r="I875" s="21" t="str">
        <f t="shared" si="52"/>
        <v>Cumple</v>
      </c>
      <c r="J875" s="22" t="str">
        <f t="shared" si="53"/>
        <v>BONO</v>
      </c>
      <c r="K875" s="23" t="str">
        <f t="shared" si="54"/>
        <v>OK</v>
      </c>
      <c r="L875" s="24" t="str">
        <f t="shared" si="55"/>
        <v>Excelente</v>
      </c>
    </row>
    <row r="876" spans="1:12" ht="18" customHeight="1" x14ac:dyDescent="0.3">
      <c r="A876" s="25" t="s">
        <v>1799</v>
      </c>
      <c r="B876" s="8" t="s">
        <v>1800</v>
      </c>
      <c r="C876" s="25" t="s">
        <v>59</v>
      </c>
      <c r="D876" s="25" t="s">
        <v>92</v>
      </c>
      <c r="E876" s="9">
        <v>10900000</v>
      </c>
      <c r="F876" s="26">
        <v>0.54</v>
      </c>
      <c r="G876" s="25">
        <v>33</v>
      </c>
      <c r="H876" s="27">
        <v>17.8</v>
      </c>
      <c r="I876" s="21" t="str">
        <f t="shared" si="52"/>
        <v>No cumple</v>
      </c>
      <c r="J876" s="22" t="str">
        <f t="shared" si="53"/>
        <v>Sin bono</v>
      </c>
      <c r="K876" s="23" t="str">
        <f t="shared" si="54"/>
        <v>ALERTA</v>
      </c>
      <c r="L876" s="24" t="str">
        <f t="shared" si="55"/>
        <v>Revisar</v>
      </c>
    </row>
    <row r="877" spans="1:12" ht="18" customHeight="1" x14ac:dyDescent="0.3">
      <c r="A877" s="18" t="s">
        <v>1801</v>
      </c>
      <c r="B877" s="5" t="s">
        <v>1802</v>
      </c>
      <c r="C877" s="18" t="s">
        <v>59</v>
      </c>
      <c r="D877" s="18" t="s">
        <v>60</v>
      </c>
      <c r="E877" s="6">
        <v>6600000</v>
      </c>
      <c r="F877" s="19">
        <v>0.85</v>
      </c>
      <c r="G877" s="18">
        <v>94</v>
      </c>
      <c r="H877" s="20">
        <v>2.2000000000000002</v>
      </c>
      <c r="I877" s="21" t="str">
        <f t="shared" si="52"/>
        <v>Cumple</v>
      </c>
      <c r="J877" s="22" t="str">
        <f t="shared" si="53"/>
        <v>BONO</v>
      </c>
      <c r="K877" s="23" t="str">
        <f t="shared" si="54"/>
        <v>OK</v>
      </c>
      <c r="L877" s="24" t="str">
        <f t="shared" si="55"/>
        <v>Bueno</v>
      </c>
    </row>
    <row r="878" spans="1:12" ht="18" customHeight="1" x14ac:dyDescent="0.3">
      <c r="A878" s="25" t="s">
        <v>1803</v>
      </c>
      <c r="B878" s="8" t="s">
        <v>1804</v>
      </c>
      <c r="C878" s="25" t="s">
        <v>81</v>
      </c>
      <c r="D878" s="25" t="s">
        <v>78</v>
      </c>
      <c r="E878" s="9">
        <v>3400000</v>
      </c>
      <c r="F878" s="26">
        <v>0.87</v>
      </c>
      <c r="G878" s="25">
        <v>45</v>
      </c>
      <c r="H878" s="27">
        <v>9</v>
      </c>
      <c r="I878" s="21" t="str">
        <f t="shared" si="52"/>
        <v>Cumple</v>
      </c>
      <c r="J878" s="22" t="str">
        <f t="shared" si="53"/>
        <v>Sin bono</v>
      </c>
      <c r="K878" s="23" t="str">
        <f t="shared" si="54"/>
        <v>ALERTA</v>
      </c>
      <c r="L878" s="24" t="str">
        <f t="shared" si="55"/>
        <v>Revisar</v>
      </c>
    </row>
    <row r="879" spans="1:12" ht="18" customHeight="1" x14ac:dyDescent="0.3">
      <c r="A879" s="18" t="s">
        <v>1805</v>
      </c>
      <c r="B879" s="5" t="s">
        <v>1806</v>
      </c>
      <c r="C879" s="18" t="s">
        <v>81</v>
      </c>
      <c r="D879" s="18" t="s">
        <v>60</v>
      </c>
      <c r="E879" s="6">
        <v>10200000</v>
      </c>
      <c r="F879" s="19">
        <v>0.76</v>
      </c>
      <c r="G879" s="18">
        <v>98</v>
      </c>
      <c r="H879" s="20">
        <v>16.899999999999999</v>
      </c>
      <c r="I879" s="21" t="str">
        <f t="shared" si="52"/>
        <v>No cumple</v>
      </c>
      <c r="J879" s="22" t="str">
        <f t="shared" si="53"/>
        <v>Sin bono</v>
      </c>
      <c r="K879" s="23" t="str">
        <f t="shared" si="54"/>
        <v>OK</v>
      </c>
      <c r="L879" s="24" t="str">
        <f t="shared" si="55"/>
        <v>Revisar</v>
      </c>
    </row>
    <row r="880" spans="1:12" ht="18" customHeight="1" x14ac:dyDescent="0.3">
      <c r="A880" s="25" t="s">
        <v>1807</v>
      </c>
      <c r="B880" s="8" t="s">
        <v>1808</v>
      </c>
      <c r="C880" s="25" t="s">
        <v>59</v>
      </c>
      <c r="D880" s="25" t="s">
        <v>88</v>
      </c>
      <c r="E880" s="9">
        <v>11300000</v>
      </c>
      <c r="F880" s="26">
        <v>0.88</v>
      </c>
      <c r="G880" s="25">
        <v>47</v>
      </c>
      <c r="H880" s="27">
        <v>14.3</v>
      </c>
      <c r="I880" s="21" t="str">
        <f t="shared" si="52"/>
        <v>Cumple</v>
      </c>
      <c r="J880" s="22" t="str">
        <f t="shared" si="53"/>
        <v>Sin bono</v>
      </c>
      <c r="K880" s="23" t="str">
        <f t="shared" si="54"/>
        <v>ALERTA</v>
      </c>
      <c r="L880" s="24" t="str">
        <f t="shared" si="55"/>
        <v>Revisar</v>
      </c>
    </row>
    <row r="881" spans="1:12" ht="18" customHeight="1" x14ac:dyDescent="0.3">
      <c r="A881" s="18" t="s">
        <v>1809</v>
      </c>
      <c r="B881" s="5" t="s">
        <v>1810</v>
      </c>
      <c r="C881" s="18" t="s">
        <v>67</v>
      </c>
      <c r="D881" s="18" t="s">
        <v>78</v>
      </c>
      <c r="E881" s="6">
        <v>6900000</v>
      </c>
      <c r="F881" s="19">
        <v>0.73</v>
      </c>
      <c r="G881" s="18">
        <v>54</v>
      </c>
      <c r="H881" s="20">
        <v>16.5</v>
      </c>
      <c r="I881" s="21" t="str">
        <f t="shared" si="52"/>
        <v>No cumple</v>
      </c>
      <c r="J881" s="22" t="str">
        <f t="shared" si="53"/>
        <v>Sin bono</v>
      </c>
      <c r="K881" s="23" t="str">
        <f t="shared" si="54"/>
        <v>OK</v>
      </c>
      <c r="L881" s="24" t="str">
        <f t="shared" si="55"/>
        <v>Revisar</v>
      </c>
    </row>
    <row r="882" spans="1:12" ht="18" customHeight="1" x14ac:dyDescent="0.3">
      <c r="A882" s="25" t="s">
        <v>1811</v>
      </c>
      <c r="B882" s="8" t="s">
        <v>1812</v>
      </c>
      <c r="C882" s="25" t="s">
        <v>63</v>
      </c>
      <c r="D882" s="25" t="s">
        <v>68</v>
      </c>
      <c r="E882" s="9">
        <v>3800000</v>
      </c>
      <c r="F882" s="26">
        <v>0.5</v>
      </c>
      <c r="G882" s="25">
        <v>84</v>
      </c>
      <c r="H882" s="27">
        <v>17.8</v>
      </c>
      <c r="I882" s="21" t="str">
        <f t="shared" si="52"/>
        <v>No cumple</v>
      </c>
      <c r="J882" s="22" t="str">
        <f t="shared" si="53"/>
        <v>Sin bono</v>
      </c>
      <c r="K882" s="23" t="str">
        <f t="shared" si="54"/>
        <v>ALERTA</v>
      </c>
      <c r="L882" s="24" t="str">
        <f t="shared" si="55"/>
        <v>Revisar</v>
      </c>
    </row>
    <row r="883" spans="1:12" ht="18" customHeight="1" x14ac:dyDescent="0.3">
      <c r="A883" s="18" t="s">
        <v>1813</v>
      </c>
      <c r="B883" s="5" t="s">
        <v>1814</v>
      </c>
      <c r="C883" s="18" t="s">
        <v>77</v>
      </c>
      <c r="D883" s="18" t="s">
        <v>78</v>
      </c>
      <c r="E883" s="6">
        <v>7500000</v>
      </c>
      <c r="F883" s="19">
        <v>0.82</v>
      </c>
      <c r="G883" s="18">
        <v>81</v>
      </c>
      <c r="H883" s="20">
        <v>11.8</v>
      </c>
      <c r="I883" s="21" t="str">
        <f t="shared" si="52"/>
        <v>Cumple</v>
      </c>
      <c r="J883" s="22" t="str">
        <f t="shared" si="53"/>
        <v>BONO</v>
      </c>
      <c r="K883" s="23" t="str">
        <f t="shared" si="54"/>
        <v>OK</v>
      </c>
      <c r="L883" s="24" t="str">
        <f t="shared" si="55"/>
        <v>Bueno</v>
      </c>
    </row>
    <row r="884" spans="1:12" ht="18" customHeight="1" x14ac:dyDescent="0.3">
      <c r="A884" s="25" t="s">
        <v>1815</v>
      </c>
      <c r="B884" s="8" t="s">
        <v>1816</v>
      </c>
      <c r="C884" s="25" t="s">
        <v>77</v>
      </c>
      <c r="D884" s="25" t="s">
        <v>68</v>
      </c>
      <c r="E884" s="9">
        <v>4800000</v>
      </c>
      <c r="F884" s="26">
        <v>0.53</v>
      </c>
      <c r="G884" s="25">
        <v>46</v>
      </c>
      <c r="H884" s="27">
        <v>9.6999999999999993</v>
      </c>
      <c r="I884" s="21" t="str">
        <f t="shared" si="52"/>
        <v>No cumple</v>
      </c>
      <c r="J884" s="22" t="str">
        <f t="shared" si="53"/>
        <v>Sin bono</v>
      </c>
      <c r="K884" s="23" t="str">
        <f t="shared" si="54"/>
        <v>ALERTA</v>
      </c>
      <c r="L884" s="24" t="str">
        <f t="shared" si="55"/>
        <v>Revisar</v>
      </c>
    </row>
    <row r="885" spans="1:12" ht="18" customHeight="1" x14ac:dyDescent="0.3">
      <c r="A885" s="18" t="s">
        <v>1817</v>
      </c>
      <c r="B885" s="5" t="s">
        <v>1818</v>
      </c>
      <c r="C885" s="18" t="s">
        <v>74</v>
      </c>
      <c r="D885" s="18" t="s">
        <v>60</v>
      </c>
      <c r="E885" s="6">
        <v>8600000</v>
      </c>
      <c r="F885" s="19">
        <v>0.71</v>
      </c>
      <c r="G885" s="18">
        <v>50</v>
      </c>
      <c r="H885" s="20">
        <v>18.899999999999999</v>
      </c>
      <c r="I885" s="21" t="str">
        <f t="shared" si="52"/>
        <v>No cumple</v>
      </c>
      <c r="J885" s="22" t="str">
        <f t="shared" si="53"/>
        <v>Sin bono</v>
      </c>
      <c r="K885" s="23" t="str">
        <f t="shared" si="54"/>
        <v>OK</v>
      </c>
      <c r="L885" s="24" t="str">
        <f t="shared" si="55"/>
        <v>Revisar</v>
      </c>
    </row>
    <row r="886" spans="1:12" ht="18" customHeight="1" x14ac:dyDescent="0.3">
      <c r="A886" s="25" t="s">
        <v>1819</v>
      </c>
      <c r="B886" s="8" t="s">
        <v>1820</v>
      </c>
      <c r="C886" s="25" t="s">
        <v>74</v>
      </c>
      <c r="D886" s="25" t="s">
        <v>68</v>
      </c>
      <c r="E886" s="9">
        <v>4200000</v>
      </c>
      <c r="F886" s="26">
        <v>0.52</v>
      </c>
      <c r="G886" s="25">
        <v>67</v>
      </c>
      <c r="H886" s="27">
        <v>0.8</v>
      </c>
      <c r="I886" s="21" t="str">
        <f t="shared" si="52"/>
        <v>No cumple</v>
      </c>
      <c r="J886" s="22" t="str">
        <f t="shared" si="53"/>
        <v>Sin bono</v>
      </c>
      <c r="K886" s="23" t="str">
        <f t="shared" si="54"/>
        <v>ALERTA</v>
      </c>
      <c r="L886" s="24" t="str">
        <f t="shared" si="55"/>
        <v>Revisar</v>
      </c>
    </row>
    <row r="887" spans="1:12" ht="18" customHeight="1" x14ac:dyDescent="0.3">
      <c r="A887" s="18" t="s">
        <v>1821</v>
      </c>
      <c r="B887" s="5" t="s">
        <v>1822</v>
      </c>
      <c r="C887" s="18" t="s">
        <v>71</v>
      </c>
      <c r="D887" s="18" t="s">
        <v>114</v>
      </c>
      <c r="E887" s="6">
        <v>10300000</v>
      </c>
      <c r="F887" s="19">
        <v>0.68</v>
      </c>
      <c r="G887" s="18">
        <v>69</v>
      </c>
      <c r="H887" s="20">
        <v>17.8</v>
      </c>
      <c r="I887" s="21" t="str">
        <f t="shared" si="52"/>
        <v>No cumple</v>
      </c>
      <c r="J887" s="22" t="str">
        <f t="shared" si="53"/>
        <v>Sin bono</v>
      </c>
      <c r="K887" s="23" t="str">
        <f t="shared" si="54"/>
        <v>OK</v>
      </c>
      <c r="L887" s="24" t="str">
        <f t="shared" si="55"/>
        <v>Revisar</v>
      </c>
    </row>
    <row r="888" spans="1:12" ht="18" customHeight="1" x14ac:dyDescent="0.3">
      <c r="A888" s="25" t="s">
        <v>1823</v>
      </c>
      <c r="B888" s="8" t="s">
        <v>1824</v>
      </c>
      <c r="C888" s="25" t="s">
        <v>77</v>
      </c>
      <c r="D888" s="25" t="s">
        <v>64</v>
      </c>
      <c r="E888" s="9">
        <v>4300000</v>
      </c>
      <c r="F888" s="26">
        <v>0.75</v>
      </c>
      <c r="G888" s="25">
        <v>38</v>
      </c>
      <c r="H888" s="27">
        <v>17.399999999999999</v>
      </c>
      <c r="I888" s="21" t="str">
        <f t="shared" si="52"/>
        <v>No cumple</v>
      </c>
      <c r="J888" s="22" t="str">
        <f t="shared" si="53"/>
        <v>Sin bono</v>
      </c>
      <c r="K888" s="23" t="str">
        <f t="shared" si="54"/>
        <v>ALERTA</v>
      </c>
      <c r="L888" s="24" t="str">
        <f t="shared" si="55"/>
        <v>Revisar</v>
      </c>
    </row>
    <row r="889" spans="1:12" ht="18" customHeight="1" x14ac:dyDescent="0.3">
      <c r="A889" s="18" t="s">
        <v>1825</v>
      </c>
      <c r="B889" s="5" t="s">
        <v>1826</v>
      </c>
      <c r="C889" s="18" t="s">
        <v>63</v>
      </c>
      <c r="D889" s="18" t="s">
        <v>105</v>
      </c>
      <c r="E889" s="6">
        <v>12000000</v>
      </c>
      <c r="F889" s="19">
        <v>0.91</v>
      </c>
      <c r="G889" s="18">
        <v>46</v>
      </c>
      <c r="H889" s="20">
        <v>15.2</v>
      </c>
      <c r="I889" s="21" t="str">
        <f t="shared" si="52"/>
        <v>Cumple</v>
      </c>
      <c r="J889" s="22" t="str">
        <f t="shared" si="53"/>
        <v>Sin bono</v>
      </c>
      <c r="K889" s="23" t="str">
        <f t="shared" si="54"/>
        <v>ALERTA</v>
      </c>
      <c r="L889" s="24" t="str">
        <f t="shared" si="55"/>
        <v>Revisar</v>
      </c>
    </row>
    <row r="890" spans="1:12" ht="18" customHeight="1" x14ac:dyDescent="0.3">
      <c r="A890" s="25" t="s">
        <v>1827</v>
      </c>
      <c r="B890" s="8" t="s">
        <v>1828</v>
      </c>
      <c r="C890" s="25" t="s">
        <v>77</v>
      </c>
      <c r="D890" s="25" t="s">
        <v>105</v>
      </c>
      <c r="E890" s="9">
        <v>4700000</v>
      </c>
      <c r="F890" s="26">
        <v>0.93</v>
      </c>
      <c r="G890" s="25">
        <v>71</v>
      </c>
      <c r="H890" s="27">
        <v>1.8</v>
      </c>
      <c r="I890" s="21" t="str">
        <f t="shared" si="52"/>
        <v>Cumple</v>
      </c>
      <c r="J890" s="22" t="str">
        <f t="shared" si="53"/>
        <v>BONO</v>
      </c>
      <c r="K890" s="23" t="str">
        <f t="shared" si="54"/>
        <v>OK</v>
      </c>
      <c r="L890" s="24" t="str">
        <f t="shared" si="55"/>
        <v>Bueno</v>
      </c>
    </row>
    <row r="891" spans="1:12" ht="18" customHeight="1" x14ac:dyDescent="0.3">
      <c r="A891" s="18" t="s">
        <v>1829</v>
      </c>
      <c r="B891" s="5" t="s">
        <v>1830</v>
      </c>
      <c r="C891" s="18" t="s">
        <v>91</v>
      </c>
      <c r="D891" s="18" t="s">
        <v>105</v>
      </c>
      <c r="E891" s="6">
        <v>6300000</v>
      </c>
      <c r="F891" s="19">
        <v>0.81</v>
      </c>
      <c r="G891" s="18">
        <v>51</v>
      </c>
      <c r="H891" s="20">
        <v>14.1</v>
      </c>
      <c r="I891" s="21" t="str">
        <f t="shared" si="52"/>
        <v>Cumple</v>
      </c>
      <c r="J891" s="22" t="str">
        <f t="shared" si="53"/>
        <v>Sin bono</v>
      </c>
      <c r="K891" s="23" t="str">
        <f t="shared" si="54"/>
        <v>OK</v>
      </c>
      <c r="L891" s="24" t="str">
        <f t="shared" si="55"/>
        <v>Revisar</v>
      </c>
    </row>
    <row r="892" spans="1:12" ht="18" customHeight="1" x14ac:dyDescent="0.3">
      <c r="A892" s="25" t="s">
        <v>1831</v>
      </c>
      <c r="B892" s="8" t="s">
        <v>1832</v>
      </c>
      <c r="C892" s="25" t="s">
        <v>91</v>
      </c>
      <c r="D892" s="25" t="s">
        <v>60</v>
      </c>
      <c r="E892" s="9">
        <v>8800000</v>
      </c>
      <c r="F892" s="26">
        <v>0.73</v>
      </c>
      <c r="G892" s="25">
        <v>32</v>
      </c>
      <c r="H892" s="27">
        <v>2.4</v>
      </c>
      <c r="I892" s="21" t="str">
        <f t="shared" si="52"/>
        <v>No cumple</v>
      </c>
      <c r="J892" s="22" t="str">
        <f t="shared" si="53"/>
        <v>Sin bono</v>
      </c>
      <c r="K892" s="23" t="str">
        <f t="shared" si="54"/>
        <v>ALERTA</v>
      </c>
      <c r="L892" s="24" t="str">
        <f t="shared" si="55"/>
        <v>Revisar</v>
      </c>
    </row>
    <row r="893" spans="1:12" ht="18" customHeight="1" x14ac:dyDescent="0.3">
      <c r="A893" s="18" t="s">
        <v>1833</v>
      </c>
      <c r="B893" s="5" t="s">
        <v>1834</v>
      </c>
      <c r="C893" s="18" t="s">
        <v>67</v>
      </c>
      <c r="D893" s="18" t="s">
        <v>60</v>
      </c>
      <c r="E893" s="6">
        <v>11800000</v>
      </c>
      <c r="F893" s="19">
        <v>0.91</v>
      </c>
      <c r="G893" s="18">
        <v>86</v>
      </c>
      <c r="H893" s="20">
        <v>1.7</v>
      </c>
      <c r="I893" s="21" t="str">
        <f t="shared" si="52"/>
        <v>Cumple</v>
      </c>
      <c r="J893" s="22" t="str">
        <f t="shared" si="53"/>
        <v>BONO</v>
      </c>
      <c r="K893" s="23" t="str">
        <f t="shared" si="54"/>
        <v>OK</v>
      </c>
      <c r="L893" s="24" t="str">
        <f t="shared" si="55"/>
        <v>Excelente</v>
      </c>
    </row>
    <row r="894" spans="1:12" ht="18" customHeight="1" x14ac:dyDescent="0.3">
      <c r="A894" s="25" t="s">
        <v>1835</v>
      </c>
      <c r="B894" s="8" t="s">
        <v>1836</v>
      </c>
      <c r="C894" s="25" t="s">
        <v>81</v>
      </c>
      <c r="D894" s="25" t="s">
        <v>68</v>
      </c>
      <c r="E894" s="9">
        <v>6000000</v>
      </c>
      <c r="F894" s="26">
        <v>0.5</v>
      </c>
      <c r="G894" s="25">
        <v>42</v>
      </c>
      <c r="H894" s="27">
        <v>10.8</v>
      </c>
      <c r="I894" s="21" t="str">
        <f t="shared" si="52"/>
        <v>No cumple</v>
      </c>
      <c r="J894" s="22" t="str">
        <f t="shared" si="53"/>
        <v>Sin bono</v>
      </c>
      <c r="K894" s="23" t="str">
        <f t="shared" si="54"/>
        <v>ALERTA</v>
      </c>
      <c r="L894" s="24" t="str">
        <f t="shared" si="55"/>
        <v>Revisar</v>
      </c>
    </row>
    <row r="895" spans="1:12" ht="18" customHeight="1" x14ac:dyDescent="0.3">
      <c r="A895" s="18" t="s">
        <v>1837</v>
      </c>
      <c r="B895" s="5" t="s">
        <v>1838</v>
      </c>
      <c r="C895" s="18" t="s">
        <v>71</v>
      </c>
      <c r="D895" s="18" t="s">
        <v>88</v>
      </c>
      <c r="E895" s="6">
        <v>3900000</v>
      </c>
      <c r="F895" s="19">
        <v>0.53</v>
      </c>
      <c r="G895" s="18">
        <v>82</v>
      </c>
      <c r="H895" s="20">
        <v>13.6</v>
      </c>
      <c r="I895" s="21" t="str">
        <f t="shared" si="52"/>
        <v>No cumple</v>
      </c>
      <c r="J895" s="22" t="str">
        <f t="shared" si="53"/>
        <v>Sin bono</v>
      </c>
      <c r="K895" s="23" t="str">
        <f t="shared" si="54"/>
        <v>ALERTA</v>
      </c>
      <c r="L895" s="24" t="str">
        <f t="shared" si="55"/>
        <v>Revisar</v>
      </c>
    </row>
    <row r="896" spans="1:12" ht="18" customHeight="1" x14ac:dyDescent="0.3">
      <c r="A896" s="25" t="s">
        <v>1839</v>
      </c>
      <c r="B896" s="8" t="s">
        <v>1840</v>
      </c>
      <c r="C896" s="25" t="s">
        <v>81</v>
      </c>
      <c r="D896" s="25" t="s">
        <v>114</v>
      </c>
      <c r="E896" s="9">
        <v>3100000</v>
      </c>
      <c r="F896" s="26">
        <v>0.84</v>
      </c>
      <c r="G896" s="25">
        <v>68</v>
      </c>
      <c r="H896" s="27">
        <v>7.8</v>
      </c>
      <c r="I896" s="21" t="str">
        <f t="shared" si="52"/>
        <v>Cumple</v>
      </c>
      <c r="J896" s="22" t="str">
        <f t="shared" si="53"/>
        <v>Sin bono</v>
      </c>
      <c r="K896" s="23" t="str">
        <f t="shared" si="54"/>
        <v>OK</v>
      </c>
      <c r="L896" s="24" t="str">
        <f t="shared" si="55"/>
        <v>Revisar</v>
      </c>
    </row>
    <row r="897" spans="1:12" ht="18" customHeight="1" x14ac:dyDescent="0.3">
      <c r="A897" s="18" t="s">
        <v>1841</v>
      </c>
      <c r="B897" s="5" t="s">
        <v>1842</v>
      </c>
      <c r="C897" s="18" t="s">
        <v>81</v>
      </c>
      <c r="D897" s="18" t="s">
        <v>88</v>
      </c>
      <c r="E897" s="6">
        <v>7600000</v>
      </c>
      <c r="F897" s="19">
        <v>0.97</v>
      </c>
      <c r="G897" s="18">
        <v>45</v>
      </c>
      <c r="H897" s="20">
        <v>1</v>
      </c>
      <c r="I897" s="21" t="str">
        <f t="shared" si="52"/>
        <v>Cumple</v>
      </c>
      <c r="J897" s="22" t="str">
        <f t="shared" si="53"/>
        <v>Sin bono</v>
      </c>
      <c r="K897" s="23" t="str">
        <f t="shared" si="54"/>
        <v>ALERTA</v>
      </c>
      <c r="L897" s="24" t="str">
        <f t="shared" si="55"/>
        <v>Revisar</v>
      </c>
    </row>
    <row r="898" spans="1:12" ht="18" customHeight="1" x14ac:dyDescent="0.3">
      <c r="A898" s="25" t="s">
        <v>1843</v>
      </c>
      <c r="B898" s="8" t="s">
        <v>1844</v>
      </c>
      <c r="C898" s="25" t="s">
        <v>67</v>
      </c>
      <c r="D898" s="25" t="s">
        <v>105</v>
      </c>
      <c r="E898" s="9">
        <v>9300000</v>
      </c>
      <c r="F898" s="26">
        <v>0.86</v>
      </c>
      <c r="G898" s="25">
        <v>79</v>
      </c>
      <c r="H898" s="27">
        <v>19</v>
      </c>
      <c r="I898" s="21" t="str">
        <f t="shared" si="52"/>
        <v>Cumple</v>
      </c>
      <c r="J898" s="22" t="str">
        <f t="shared" si="53"/>
        <v>BONO</v>
      </c>
      <c r="K898" s="23" t="str">
        <f t="shared" si="54"/>
        <v>OK</v>
      </c>
      <c r="L898" s="24" t="str">
        <f t="shared" si="55"/>
        <v>Bueno</v>
      </c>
    </row>
    <row r="899" spans="1:12" ht="18" customHeight="1" x14ac:dyDescent="0.3">
      <c r="A899" s="18" t="s">
        <v>1845</v>
      </c>
      <c r="B899" s="5" t="s">
        <v>1846</v>
      </c>
      <c r="C899" s="18" t="s">
        <v>63</v>
      </c>
      <c r="D899" s="18" t="s">
        <v>78</v>
      </c>
      <c r="E899" s="6">
        <v>8900000</v>
      </c>
      <c r="F899" s="19">
        <v>0.47</v>
      </c>
      <c r="G899" s="18">
        <v>59</v>
      </c>
      <c r="H899" s="20">
        <v>18.3</v>
      </c>
      <c r="I899" s="21" t="str">
        <f t="shared" si="52"/>
        <v>No cumple</v>
      </c>
      <c r="J899" s="22" t="str">
        <f t="shared" si="53"/>
        <v>Sin bono</v>
      </c>
      <c r="K899" s="23" t="str">
        <f t="shared" si="54"/>
        <v>ALERTA</v>
      </c>
      <c r="L899" s="24" t="str">
        <f t="shared" si="55"/>
        <v>Revisar</v>
      </c>
    </row>
    <row r="900" spans="1:12" ht="18" customHeight="1" x14ac:dyDescent="0.3">
      <c r="A900" s="25" t="s">
        <v>1847</v>
      </c>
      <c r="B900" s="8" t="s">
        <v>1848</v>
      </c>
      <c r="C900" s="25" t="s">
        <v>74</v>
      </c>
      <c r="D900" s="25" t="s">
        <v>60</v>
      </c>
      <c r="E900" s="9">
        <v>9900000</v>
      </c>
      <c r="F900" s="26">
        <v>0.81</v>
      </c>
      <c r="G900" s="25">
        <v>46</v>
      </c>
      <c r="H900" s="27">
        <v>6.1</v>
      </c>
      <c r="I900" s="21" t="str">
        <f t="shared" si="52"/>
        <v>Cumple</v>
      </c>
      <c r="J900" s="22" t="str">
        <f t="shared" si="53"/>
        <v>Sin bono</v>
      </c>
      <c r="K900" s="23" t="str">
        <f t="shared" si="54"/>
        <v>ALERTA</v>
      </c>
      <c r="L900" s="24" t="str">
        <f t="shared" si="55"/>
        <v>Revisar</v>
      </c>
    </row>
    <row r="901" spans="1:12" ht="18" customHeight="1" x14ac:dyDescent="0.3">
      <c r="A901" s="18" t="s">
        <v>1849</v>
      </c>
      <c r="B901" s="5" t="s">
        <v>1850</v>
      </c>
      <c r="C901" s="18" t="s">
        <v>63</v>
      </c>
      <c r="D901" s="18" t="s">
        <v>92</v>
      </c>
      <c r="E901" s="6">
        <v>10800000</v>
      </c>
      <c r="F901" s="19">
        <v>0.56999999999999995</v>
      </c>
      <c r="G901" s="18">
        <v>95</v>
      </c>
      <c r="H901" s="20">
        <v>5.6</v>
      </c>
      <c r="I901" s="21" t="str">
        <f t="shared" si="52"/>
        <v>No cumple</v>
      </c>
      <c r="J901" s="22" t="str">
        <f t="shared" si="53"/>
        <v>Sin bono</v>
      </c>
      <c r="K901" s="23" t="str">
        <f t="shared" si="54"/>
        <v>ALERTA</v>
      </c>
      <c r="L901" s="24" t="str">
        <f t="shared" si="55"/>
        <v>Revisar</v>
      </c>
    </row>
    <row r="902" spans="1:12" ht="18" customHeight="1" x14ac:dyDescent="0.3">
      <c r="A902" s="25" t="s">
        <v>1851</v>
      </c>
      <c r="B902" s="8" t="s">
        <v>1852</v>
      </c>
      <c r="C902" s="25" t="s">
        <v>71</v>
      </c>
      <c r="D902" s="25" t="s">
        <v>88</v>
      </c>
      <c r="E902" s="9">
        <v>8300000</v>
      </c>
      <c r="F902" s="26">
        <v>0.56999999999999995</v>
      </c>
      <c r="G902" s="25">
        <v>94</v>
      </c>
      <c r="H902" s="27">
        <v>19.100000000000001</v>
      </c>
      <c r="I902" s="21" t="str">
        <f t="shared" si="52"/>
        <v>No cumple</v>
      </c>
      <c r="J902" s="22" t="str">
        <f t="shared" si="53"/>
        <v>Sin bono</v>
      </c>
      <c r="K902" s="23" t="str">
        <f t="shared" si="54"/>
        <v>ALERTA</v>
      </c>
      <c r="L902" s="24" t="str">
        <f t="shared" si="55"/>
        <v>Revisar</v>
      </c>
    </row>
    <row r="903" spans="1:12" ht="18" customHeight="1" x14ac:dyDescent="0.3">
      <c r="A903" s="18" t="s">
        <v>1853</v>
      </c>
      <c r="B903" s="5" t="s">
        <v>1854</v>
      </c>
      <c r="C903" s="18" t="s">
        <v>81</v>
      </c>
      <c r="D903" s="18" t="s">
        <v>88</v>
      </c>
      <c r="E903" s="6">
        <v>11800000</v>
      </c>
      <c r="F903" s="19">
        <v>0.7</v>
      </c>
      <c r="G903" s="18">
        <v>61</v>
      </c>
      <c r="H903" s="20">
        <v>13.2</v>
      </c>
      <c r="I903" s="21" t="str">
        <f t="shared" si="52"/>
        <v>No cumple</v>
      </c>
      <c r="J903" s="22" t="str">
        <f t="shared" si="53"/>
        <v>Sin bono</v>
      </c>
      <c r="K903" s="23" t="str">
        <f t="shared" si="54"/>
        <v>OK</v>
      </c>
      <c r="L903" s="24" t="str">
        <f t="shared" si="55"/>
        <v>Revisar</v>
      </c>
    </row>
    <row r="904" spans="1:12" ht="18" customHeight="1" x14ac:dyDescent="0.3">
      <c r="A904" s="25" t="s">
        <v>1855</v>
      </c>
      <c r="B904" s="8" t="s">
        <v>1856</v>
      </c>
      <c r="C904" s="25" t="s">
        <v>71</v>
      </c>
      <c r="D904" s="25" t="s">
        <v>64</v>
      </c>
      <c r="E904" s="9">
        <v>10500000</v>
      </c>
      <c r="F904" s="26">
        <v>0.71</v>
      </c>
      <c r="G904" s="25">
        <v>31</v>
      </c>
      <c r="H904" s="27">
        <v>13.5</v>
      </c>
      <c r="I904" s="21" t="str">
        <f t="shared" si="52"/>
        <v>No cumple</v>
      </c>
      <c r="J904" s="22" t="str">
        <f t="shared" si="53"/>
        <v>Sin bono</v>
      </c>
      <c r="K904" s="23" t="str">
        <f t="shared" si="54"/>
        <v>ALERTA</v>
      </c>
      <c r="L904" s="24" t="str">
        <f t="shared" si="55"/>
        <v>Revisar</v>
      </c>
    </row>
    <row r="905" spans="1:12" ht="18" customHeight="1" x14ac:dyDescent="0.3">
      <c r="A905" s="18" t="s">
        <v>1857</v>
      </c>
      <c r="B905" s="5" t="s">
        <v>1858</v>
      </c>
      <c r="C905" s="18" t="s">
        <v>77</v>
      </c>
      <c r="D905" s="18" t="s">
        <v>68</v>
      </c>
      <c r="E905" s="6">
        <v>9600000</v>
      </c>
      <c r="F905" s="19">
        <v>0.49</v>
      </c>
      <c r="G905" s="18">
        <v>39</v>
      </c>
      <c r="H905" s="20">
        <v>10.8</v>
      </c>
      <c r="I905" s="21" t="str">
        <f t="shared" si="52"/>
        <v>No cumple</v>
      </c>
      <c r="J905" s="22" t="str">
        <f t="shared" si="53"/>
        <v>Sin bono</v>
      </c>
      <c r="K905" s="23" t="str">
        <f t="shared" si="54"/>
        <v>ALERTA</v>
      </c>
      <c r="L905" s="24" t="str">
        <f t="shared" si="55"/>
        <v>Revisar</v>
      </c>
    </row>
    <row r="906" spans="1:12" ht="18" customHeight="1" x14ac:dyDescent="0.3">
      <c r="A906" s="25" t="s">
        <v>1859</v>
      </c>
      <c r="B906" s="8" t="s">
        <v>1860</v>
      </c>
      <c r="C906" s="25" t="s">
        <v>63</v>
      </c>
      <c r="D906" s="25" t="s">
        <v>92</v>
      </c>
      <c r="E906" s="9">
        <v>7700000</v>
      </c>
      <c r="F906" s="26">
        <v>0.55000000000000004</v>
      </c>
      <c r="G906" s="25">
        <v>31</v>
      </c>
      <c r="H906" s="27">
        <v>2.5</v>
      </c>
      <c r="I906" s="21" t="str">
        <f t="shared" si="52"/>
        <v>No cumple</v>
      </c>
      <c r="J906" s="22" t="str">
        <f t="shared" si="53"/>
        <v>Sin bono</v>
      </c>
      <c r="K906" s="23" t="str">
        <f t="shared" si="54"/>
        <v>ALERTA</v>
      </c>
      <c r="L906" s="24" t="str">
        <f t="shared" si="55"/>
        <v>Revisar</v>
      </c>
    </row>
    <row r="907" spans="1:12" ht="18" customHeight="1" x14ac:dyDescent="0.3">
      <c r="A907" s="18" t="s">
        <v>1861</v>
      </c>
      <c r="B907" s="5" t="s">
        <v>1862</v>
      </c>
      <c r="C907" s="18" t="s">
        <v>91</v>
      </c>
      <c r="D907" s="18" t="s">
        <v>88</v>
      </c>
      <c r="E907" s="6">
        <v>11500000</v>
      </c>
      <c r="F907" s="19">
        <v>0.96</v>
      </c>
      <c r="G907" s="18">
        <v>75</v>
      </c>
      <c r="H907" s="20">
        <v>3.8</v>
      </c>
      <c r="I907" s="21" t="str">
        <f t="shared" si="52"/>
        <v>Cumple</v>
      </c>
      <c r="J907" s="22" t="str">
        <f t="shared" si="53"/>
        <v>BONO</v>
      </c>
      <c r="K907" s="23" t="str">
        <f t="shared" si="54"/>
        <v>OK</v>
      </c>
      <c r="L907" s="24" t="str">
        <f t="shared" si="55"/>
        <v>Bueno</v>
      </c>
    </row>
    <row r="908" spans="1:12" ht="18" customHeight="1" x14ac:dyDescent="0.3">
      <c r="A908" s="25" t="s">
        <v>1863</v>
      </c>
      <c r="B908" s="8" t="s">
        <v>1864</v>
      </c>
      <c r="C908" s="25" t="s">
        <v>67</v>
      </c>
      <c r="D908" s="25" t="s">
        <v>64</v>
      </c>
      <c r="E908" s="9">
        <v>5300000</v>
      </c>
      <c r="F908" s="26">
        <v>0.99</v>
      </c>
      <c r="G908" s="25">
        <v>80</v>
      </c>
      <c r="H908" s="27">
        <v>2.2000000000000002</v>
      </c>
      <c r="I908" s="21" t="str">
        <f t="shared" si="52"/>
        <v>Cumple</v>
      </c>
      <c r="J908" s="22" t="str">
        <f t="shared" si="53"/>
        <v>BONO</v>
      </c>
      <c r="K908" s="23" t="str">
        <f t="shared" si="54"/>
        <v>OK</v>
      </c>
      <c r="L908" s="24" t="str">
        <f t="shared" si="55"/>
        <v>Bueno</v>
      </c>
    </row>
    <row r="909" spans="1:12" ht="18" customHeight="1" x14ac:dyDescent="0.3">
      <c r="A909" s="18" t="s">
        <v>1865</v>
      </c>
      <c r="B909" s="5" t="s">
        <v>1866</v>
      </c>
      <c r="C909" s="18" t="s">
        <v>77</v>
      </c>
      <c r="D909" s="18" t="s">
        <v>114</v>
      </c>
      <c r="E909" s="6">
        <v>9800000</v>
      </c>
      <c r="F909" s="19">
        <v>0.56000000000000005</v>
      </c>
      <c r="G909" s="18">
        <v>52</v>
      </c>
      <c r="H909" s="20">
        <v>1.3</v>
      </c>
      <c r="I909" s="21" t="str">
        <f t="shared" ref="I909:I972" si="56">IF(F909&gt;=0.8,"Cumple","No cumple")</f>
        <v>No cumple</v>
      </c>
      <c r="J909" s="22" t="str">
        <f t="shared" ref="J909:J972" si="57">IF(AND(F909&gt;=0.8,G909&gt;=70),"BONO","Sin bono")</f>
        <v>Sin bono</v>
      </c>
      <c r="K909" s="23" t="str">
        <f t="shared" ref="K909:K972" si="58">IF(OR(F909&lt;0.6,G909&lt;50),"ALERTA","OK")</f>
        <v>ALERTA</v>
      </c>
      <c r="L909" s="24" t="str">
        <f t="shared" ref="L909:L972" si="59">IF(AND(F909&gt;=0.9,G909&gt;=85),"Excelente",IF(AND(F909&gt;=0.8,G909&gt;=70),"Bueno","Revisar"))</f>
        <v>Revisar</v>
      </c>
    </row>
    <row r="910" spans="1:12" ht="18" customHeight="1" x14ac:dyDescent="0.3">
      <c r="A910" s="25" t="s">
        <v>1867</v>
      </c>
      <c r="B910" s="8" t="s">
        <v>1868</v>
      </c>
      <c r="C910" s="25" t="s">
        <v>59</v>
      </c>
      <c r="D910" s="25" t="s">
        <v>60</v>
      </c>
      <c r="E910" s="9">
        <v>9400000</v>
      </c>
      <c r="F910" s="26">
        <v>0.85</v>
      </c>
      <c r="G910" s="25">
        <v>65</v>
      </c>
      <c r="H910" s="27">
        <v>3.8</v>
      </c>
      <c r="I910" s="21" t="str">
        <f t="shared" si="56"/>
        <v>Cumple</v>
      </c>
      <c r="J910" s="22" t="str">
        <f t="shared" si="57"/>
        <v>Sin bono</v>
      </c>
      <c r="K910" s="23" t="str">
        <f t="shared" si="58"/>
        <v>OK</v>
      </c>
      <c r="L910" s="24" t="str">
        <f t="shared" si="59"/>
        <v>Revisar</v>
      </c>
    </row>
    <row r="911" spans="1:12" ht="18" customHeight="1" x14ac:dyDescent="0.3">
      <c r="A911" s="18" t="s">
        <v>1869</v>
      </c>
      <c r="B911" s="5" t="s">
        <v>1870</v>
      </c>
      <c r="C911" s="18" t="s">
        <v>77</v>
      </c>
      <c r="D911" s="18" t="s">
        <v>64</v>
      </c>
      <c r="E911" s="6">
        <v>8200000</v>
      </c>
      <c r="F911" s="19">
        <v>0.8</v>
      </c>
      <c r="G911" s="18">
        <v>36</v>
      </c>
      <c r="H911" s="20">
        <v>17.100000000000001</v>
      </c>
      <c r="I911" s="21" t="str">
        <f t="shared" si="56"/>
        <v>Cumple</v>
      </c>
      <c r="J911" s="22" t="str">
        <f t="shared" si="57"/>
        <v>Sin bono</v>
      </c>
      <c r="K911" s="23" t="str">
        <f t="shared" si="58"/>
        <v>ALERTA</v>
      </c>
      <c r="L911" s="24" t="str">
        <f t="shared" si="59"/>
        <v>Revisar</v>
      </c>
    </row>
    <row r="912" spans="1:12" ht="18" customHeight="1" x14ac:dyDescent="0.3">
      <c r="A912" s="25" t="s">
        <v>1871</v>
      </c>
      <c r="B912" s="8" t="s">
        <v>1872</v>
      </c>
      <c r="C912" s="25" t="s">
        <v>63</v>
      </c>
      <c r="D912" s="25" t="s">
        <v>105</v>
      </c>
      <c r="E912" s="9">
        <v>6800000</v>
      </c>
      <c r="F912" s="26">
        <v>0.45</v>
      </c>
      <c r="G912" s="25">
        <v>54</v>
      </c>
      <c r="H912" s="27">
        <v>6.7</v>
      </c>
      <c r="I912" s="21" t="str">
        <f t="shared" si="56"/>
        <v>No cumple</v>
      </c>
      <c r="J912" s="22" t="str">
        <f t="shared" si="57"/>
        <v>Sin bono</v>
      </c>
      <c r="K912" s="23" t="str">
        <f t="shared" si="58"/>
        <v>ALERTA</v>
      </c>
      <c r="L912" s="24" t="str">
        <f t="shared" si="59"/>
        <v>Revisar</v>
      </c>
    </row>
    <row r="913" spans="1:12" ht="18" customHeight="1" x14ac:dyDescent="0.3">
      <c r="A913" s="18" t="s">
        <v>1873</v>
      </c>
      <c r="B913" s="5" t="s">
        <v>1874</v>
      </c>
      <c r="C913" s="18" t="s">
        <v>67</v>
      </c>
      <c r="D913" s="18" t="s">
        <v>68</v>
      </c>
      <c r="E913" s="6">
        <v>3700000</v>
      </c>
      <c r="F913" s="19">
        <v>0.95</v>
      </c>
      <c r="G913" s="18">
        <v>55</v>
      </c>
      <c r="H913" s="20">
        <v>3.3</v>
      </c>
      <c r="I913" s="21" t="str">
        <f t="shared" si="56"/>
        <v>Cumple</v>
      </c>
      <c r="J913" s="22" t="str">
        <f t="shared" si="57"/>
        <v>Sin bono</v>
      </c>
      <c r="K913" s="23" t="str">
        <f t="shared" si="58"/>
        <v>OK</v>
      </c>
      <c r="L913" s="24" t="str">
        <f t="shared" si="59"/>
        <v>Revisar</v>
      </c>
    </row>
    <row r="914" spans="1:12" ht="18" customHeight="1" x14ac:dyDescent="0.3">
      <c r="A914" s="25" t="s">
        <v>1875</v>
      </c>
      <c r="B914" s="8" t="s">
        <v>1876</v>
      </c>
      <c r="C914" s="25" t="s">
        <v>77</v>
      </c>
      <c r="D914" s="25" t="s">
        <v>68</v>
      </c>
      <c r="E914" s="9">
        <v>3100000</v>
      </c>
      <c r="F914" s="26">
        <v>0.78</v>
      </c>
      <c r="G914" s="25">
        <v>72</v>
      </c>
      <c r="H914" s="27">
        <v>16.8</v>
      </c>
      <c r="I914" s="21" t="str">
        <f t="shared" si="56"/>
        <v>No cumple</v>
      </c>
      <c r="J914" s="22" t="str">
        <f t="shared" si="57"/>
        <v>Sin bono</v>
      </c>
      <c r="K914" s="23" t="str">
        <f t="shared" si="58"/>
        <v>OK</v>
      </c>
      <c r="L914" s="24" t="str">
        <f t="shared" si="59"/>
        <v>Revisar</v>
      </c>
    </row>
    <row r="915" spans="1:12" ht="18" customHeight="1" x14ac:dyDescent="0.3">
      <c r="A915" s="18" t="s">
        <v>1877</v>
      </c>
      <c r="B915" s="5" t="s">
        <v>1878</v>
      </c>
      <c r="C915" s="18" t="s">
        <v>91</v>
      </c>
      <c r="D915" s="18" t="s">
        <v>92</v>
      </c>
      <c r="E915" s="6">
        <v>9400000</v>
      </c>
      <c r="F915" s="19">
        <v>0.89</v>
      </c>
      <c r="G915" s="18">
        <v>39</v>
      </c>
      <c r="H915" s="20">
        <v>15.5</v>
      </c>
      <c r="I915" s="21" t="str">
        <f t="shared" si="56"/>
        <v>Cumple</v>
      </c>
      <c r="J915" s="22" t="str">
        <f t="shared" si="57"/>
        <v>Sin bono</v>
      </c>
      <c r="K915" s="23" t="str">
        <f t="shared" si="58"/>
        <v>ALERTA</v>
      </c>
      <c r="L915" s="24" t="str">
        <f t="shared" si="59"/>
        <v>Revisar</v>
      </c>
    </row>
    <row r="916" spans="1:12" ht="18" customHeight="1" x14ac:dyDescent="0.3">
      <c r="A916" s="25" t="s">
        <v>1879</v>
      </c>
      <c r="B916" s="8" t="s">
        <v>1880</v>
      </c>
      <c r="C916" s="25" t="s">
        <v>74</v>
      </c>
      <c r="D916" s="25" t="s">
        <v>105</v>
      </c>
      <c r="E916" s="9">
        <v>10200000</v>
      </c>
      <c r="F916" s="26">
        <v>0.52</v>
      </c>
      <c r="G916" s="25">
        <v>37</v>
      </c>
      <c r="H916" s="27">
        <v>18.3</v>
      </c>
      <c r="I916" s="21" t="str">
        <f t="shared" si="56"/>
        <v>No cumple</v>
      </c>
      <c r="J916" s="22" t="str">
        <f t="shared" si="57"/>
        <v>Sin bono</v>
      </c>
      <c r="K916" s="23" t="str">
        <f t="shared" si="58"/>
        <v>ALERTA</v>
      </c>
      <c r="L916" s="24" t="str">
        <f t="shared" si="59"/>
        <v>Revisar</v>
      </c>
    </row>
    <row r="917" spans="1:12" ht="18" customHeight="1" x14ac:dyDescent="0.3">
      <c r="A917" s="18" t="s">
        <v>1881</v>
      </c>
      <c r="B917" s="5" t="s">
        <v>1882</v>
      </c>
      <c r="C917" s="18" t="s">
        <v>77</v>
      </c>
      <c r="D917" s="18" t="s">
        <v>64</v>
      </c>
      <c r="E917" s="6">
        <v>6600000</v>
      </c>
      <c r="F917" s="19">
        <v>0.79</v>
      </c>
      <c r="G917" s="18">
        <v>85</v>
      </c>
      <c r="H917" s="20">
        <v>1.3</v>
      </c>
      <c r="I917" s="21" t="str">
        <f t="shared" si="56"/>
        <v>No cumple</v>
      </c>
      <c r="J917" s="22" t="str">
        <f t="shared" si="57"/>
        <v>Sin bono</v>
      </c>
      <c r="K917" s="23" t="str">
        <f t="shared" si="58"/>
        <v>OK</v>
      </c>
      <c r="L917" s="24" t="str">
        <f t="shared" si="59"/>
        <v>Revisar</v>
      </c>
    </row>
    <row r="918" spans="1:12" ht="18" customHeight="1" x14ac:dyDescent="0.3">
      <c r="A918" s="25" t="s">
        <v>1883</v>
      </c>
      <c r="B918" s="8" t="s">
        <v>1884</v>
      </c>
      <c r="C918" s="25" t="s">
        <v>74</v>
      </c>
      <c r="D918" s="25" t="s">
        <v>68</v>
      </c>
      <c r="E918" s="9">
        <v>5700000</v>
      </c>
      <c r="F918" s="26">
        <v>0.93</v>
      </c>
      <c r="G918" s="25">
        <v>31</v>
      </c>
      <c r="H918" s="27">
        <v>9.1</v>
      </c>
      <c r="I918" s="21" t="str">
        <f t="shared" si="56"/>
        <v>Cumple</v>
      </c>
      <c r="J918" s="22" t="str">
        <f t="shared" si="57"/>
        <v>Sin bono</v>
      </c>
      <c r="K918" s="23" t="str">
        <f t="shared" si="58"/>
        <v>ALERTA</v>
      </c>
      <c r="L918" s="24" t="str">
        <f t="shared" si="59"/>
        <v>Revisar</v>
      </c>
    </row>
    <row r="919" spans="1:12" ht="18" customHeight="1" x14ac:dyDescent="0.3">
      <c r="A919" s="18" t="s">
        <v>1885</v>
      </c>
      <c r="B919" s="5" t="s">
        <v>1886</v>
      </c>
      <c r="C919" s="18" t="s">
        <v>81</v>
      </c>
      <c r="D919" s="18" t="s">
        <v>60</v>
      </c>
      <c r="E919" s="6">
        <v>4100000</v>
      </c>
      <c r="F919" s="19">
        <v>0.51</v>
      </c>
      <c r="G919" s="18">
        <v>38</v>
      </c>
      <c r="H919" s="20">
        <v>11.9</v>
      </c>
      <c r="I919" s="21" t="str">
        <f t="shared" si="56"/>
        <v>No cumple</v>
      </c>
      <c r="J919" s="22" t="str">
        <f t="shared" si="57"/>
        <v>Sin bono</v>
      </c>
      <c r="K919" s="23" t="str">
        <f t="shared" si="58"/>
        <v>ALERTA</v>
      </c>
      <c r="L919" s="24" t="str">
        <f t="shared" si="59"/>
        <v>Revisar</v>
      </c>
    </row>
    <row r="920" spans="1:12" ht="18" customHeight="1" x14ac:dyDescent="0.3">
      <c r="A920" s="25" t="s">
        <v>1887</v>
      </c>
      <c r="B920" s="8" t="s">
        <v>1888</v>
      </c>
      <c r="C920" s="25" t="s">
        <v>91</v>
      </c>
      <c r="D920" s="25" t="s">
        <v>64</v>
      </c>
      <c r="E920" s="9">
        <v>4400000</v>
      </c>
      <c r="F920" s="26">
        <v>0.62</v>
      </c>
      <c r="G920" s="25">
        <v>85</v>
      </c>
      <c r="H920" s="27">
        <v>10.3</v>
      </c>
      <c r="I920" s="21" t="str">
        <f t="shared" si="56"/>
        <v>No cumple</v>
      </c>
      <c r="J920" s="22" t="str">
        <f t="shared" si="57"/>
        <v>Sin bono</v>
      </c>
      <c r="K920" s="23" t="str">
        <f t="shared" si="58"/>
        <v>OK</v>
      </c>
      <c r="L920" s="24" t="str">
        <f t="shared" si="59"/>
        <v>Revisar</v>
      </c>
    </row>
    <row r="921" spans="1:12" ht="18" customHeight="1" x14ac:dyDescent="0.3">
      <c r="A921" s="18" t="s">
        <v>1889</v>
      </c>
      <c r="B921" s="5" t="s">
        <v>1890</v>
      </c>
      <c r="C921" s="18" t="s">
        <v>71</v>
      </c>
      <c r="D921" s="18" t="s">
        <v>114</v>
      </c>
      <c r="E921" s="6">
        <v>8800000</v>
      </c>
      <c r="F921" s="19">
        <v>0.62</v>
      </c>
      <c r="G921" s="18">
        <v>73</v>
      </c>
      <c r="H921" s="20">
        <v>5.8</v>
      </c>
      <c r="I921" s="21" t="str">
        <f t="shared" si="56"/>
        <v>No cumple</v>
      </c>
      <c r="J921" s="22" t="str">
        <f t="shared" si="57"/>
        <v>Sin bono</v>
      </c>
      <c r="K921" s="23" t="str">
        <f t="shared" si="58"/>
        <v>OK</v>
      </c>
      <c r="L921" s="24" t="str">
        <f t="shared" si="59"/>
        <v>Revisar</v>
      </c>
    </row>
    <row r="922" spans="1:12" ht="18" customHeight="1" x14ac:dyDescent="0.3">
      <c r="A922" s="25" t="s">
        <v>1891</v>
      </c>
      <c r="B922" s="8" t="s">
        <v>1892</v>
      </c>
      <c r="C922" s="25" t="s">
        <v>74</v>
      </c>
      <c r="D922" s="25" t="s">
        <v>92</v>
      </c>
      <c r="E922" s="9">
        <v>5200000</v>
      </c>
      <c r="F922" s="26">
        <v>0.82</v>
      </c>
      <c r="G922" s="25">
        <v>89</v>
      </c>
      <c r="H922" s="27">
        <v>12</v>
      </c>
      <c r="I922" s="21" t="str">
        <f t="shared" si="56"/>
        <v>Cumple</v>
      </c>
      <c r="J922" s="22" t="str">
        <f t="shared" si="57"/>
        <v>BONO</v>
      </c>
      <c r="K922" s="23" t="str">
        <f t="shared" si="58"/>
        <v>OK</v>
      </c>
      <c r="L922" s="24" t="str">
        <f t="shared" si="59"/>
        <v>Bueno</v>
      </c>
    </row>
    <row r="923" spans="1:12" ht="18" customHeight="1" x14ac:dyDescent="0.3">
      <c r="A923" s="18" t="s">
        <v>1893</v>
      </c>
      <c r="B923" s="5" t="s">
        <v>1894</v>
      </c>
      <c r="C923" s="18" t="s">
        <v>81</v>
      </c>
      <c r="D923" s="18" t="s">
        <v>88</v>
      </c>
      <c r="E923" s="6">
        <v>8100000</v>
      </c>
      <c r="F923" s="19">
        <v>0.63</v>
      </c>
      <c r="G923" s="18">
        <v>43</v>
      </c>
      <c r="H923" s="20">
        <v>9.1</v>
      </c>
      <c r="I923" s="21" t="str">
        <f t="shared" si="56"/>
        <v>No cumple</v>
      </c>
      <c r="J923" s="22" t="str">
        <f t="shared" si="57"/>
        <v>Sin bono</v>
      </c>
      <c r="K923" s="23" t="str">
        <f t="shared" si="58"/>
        <v>ALERTA</v>
      </c>
      <c r="L923" s="24" t="str">
        <f t="shared" si="59"/>
        <v>Revisar</v>
      </c>
    </row>
    <row r="924" spans="1:12" ht="18" customHeight="1" x14ac:dyDescent="0.3">
      <c r="A924" s="25" t="s">
        <v>1895</v>
      </c>
      <c r="B924" s="8" t="s">
        <v>1896</v>
      </c>
      <c r="C924" s="25" t="s">
        <v>67</v>
      </c>
      <c r="D924" s="25" t="s">
        <v>105</v>
      </c>
      <c r="E924" s="9">
        <v>10700000</v>
      </c>
      <c r="F924" s="26">
        <v>0.56999999999999995</v>
      </c>
      <c r="G924" s="25">
        <v>91</v>
      </c>
      <c r="H924" s="27">
        <v>14.7</v>
      </c>
      <c r="I924" s="21" t="str">
        <f t="shared" si="56"/>
        <v>No cumple</v>
      </c>
      <c r="J924" s="22" t="str">
        <f t="shared" si="57"/>
        <v>Sin bono</v>
      </c>
      <c r="K924" s="23" t="str">
        <f t="shared" si="58"/>
        <v>ALERTA</v>
      </c>
      <c r="L924" s="24" t="str">
        <f t="shared" si="59"/>
        <v>Revisar</v>
      </c>
    </row>
    <row r="925" spans="1:12" ht="18" customHeight="1" x14ac:dyDescent="0.3">
      <c r="A925" s="18" t="s">
        <v>1897</v>
      </c>
      <c r="B925" s="5" t="s">
        <v>1898</v>
      </c>
      <c r="C925" s="18" t="s">
        <v>81</v>
      </c>
      <c r="D925" s="18" t="s">
        <v>64</v>
      </c>
      <c r="E925" s="6">
        <v>9900000</v>
      </c>
      <c r="F925" s="19">
        <v>0.51</v>
      </c>
      <c r="G925" s="18">
        <v>67</v>
      </c>
      <c r="H925" s="20">
        <v>8.8000000000000007</v>
      </c>
      <c r="I925" s="21" t="str">
        <f t="shared" si="56"/>
        <v>No cumple</v>
      </c>
      <c r="J925" s="22" t="str">
        <f t="shared" si="57"/>
        <v>Sin bono</v>
      </c>
      <c r="K925" s="23" t="str">
        <f t="shared" si="58"/>
        <v>ALERTA</v>
      </c>
      <c r="L925" s="24" t="str">
        <f t="shared" si="59"/>
        <v>Revisar</v>
      </c>
    </row>
    <row r="926" spans="1:12" ht="18" customHeight="1" x14ac:dyDescent="0.3">
      <c r="A926" s="25" t="s">
        <v>1899</v>
      </c>
      <c r="B926" s="8" t="s">
        <v>1900</v>
      </c>
      <c r="C926" s="25" t="s">
        <v>81</v>
      </c>
      <c r="D926" s="25" t="s">
        <v>64</v>
      </c>
      <c r="E926" s="9">
        <v>3100000</v>
      </c>
      <c r="F926" s="26">
        <v>0.56000000000000005</v>
      </c>
      <c r="G926" s="25">
        <v>66</v>
      </c>
      <c r="H926" s="27">
        <v>3.5</v>
      </c>
      <c r="I926" s="21" t="str">
        <f t="shared" si="56"/>
        <v>No cumple</v>
      </c>
      <c r="J926" s="22" t="str">
        <f t="shared" si="57"/>
        <v>Sin bono</v>
      </c>
      <c r="K926" s="23" t="str">
        <f t="shared" si="58"/>
        <v>ALERTA</v>
      </c>
      <c r="L926" s="24" t="str">
        <f t="shared" si="59"/>
        <v>Revisar</v>
      </c>
    </row>
    <row r="927" spans="1:12" ht="18" customHeight="1" x14ac:dyDescent="0.3">
      <c r="A927" s="18" t="s">
        <v>1901</v>
      </c>
      <c r="B927" s="5" t="s">
        <v>1902</v>
      </c>
      <c r="C927" s="18" t="s">
        <v>77</v>
      </c>
      <c r="D927" s="18" t="s">
        <v>60</v>
      </c>
      <c r="E927" s="6">
        <v>7500000</v>
      </c>
      <c r="F927" s="19">
        <v>0.9</v>
      </c>
      <c r="G927" s="18">
        <v>51</v>
      </c>
      <c r="H927" s="20">
        <v>18.8</v>
      </c>
      <c r="I927" s="21" t="str">
        <f t="shared" si="56"/>
        <v>Cumple</v>
      </c>
      <c r="J927" s="22" t="str">
        <f t="shared" si="57"/>
        <v>Sin bono</v>
      </c>
      <c r="K927" s="23" t="str">
        <f t="shared" si="58"/>
        <v>OK</v>
      </c>
      <c r="L927" s="24" t="str">
        <f t="shared" si="59"/>
        <v>Revisar</v>
      </c>
    </row>
    <row r="928" spans="1:12" ht="18" customHeight="1" x14ac:dyDescent="0.3">
      <c r="A928" s="25" t="s">
        <v>1903</v>
      </c>
      <c r="B928" s="8" t="s">
        <v>1904</v>
      </c>
      <c r="C928" s="25" t="s">
        <v>71</v>
      </c>
      <c r="D928" s="25" t="s">
        <v>60</v>
      </c>
      <c r="E928" s="9">
        <v>5200000</v>
      </c>
      <c r="F928" s="26">
        <v>0.74</v>
      </c>
      <c r="G928" s="25">
        <v>77</v>
      </c>
      <c r="H928" s="27">
        <v>6.4</v>
      </c>
      <c r="I928" s="21" t="str">
        <f t="shared" si="56"/>
        <v>No cumple</v>
      </c>
      <c r="J928" s="22" t="str">
        <f t="shared" si="57"/>
        <v>Sin bono</v>
      </c>
      <c r="K928" s="23" t="str">
        <f t="shared" si="58"/>
        <v>OK</v>
      </c>
      <c r="L928" s="24" t="str">
        <f t="shared" si="59"/>
        <v>Revisar</v>
      </c>
    </row>
    <row r="929" spans="1:12" ht="18" customHeight="1" x14ac:dyDescent="0.3">
      <c r="A929" s="18" t="s">
        <v>1905</v>
      </c>
      <c r="B929" s="5" t="s">
        <v>1906</v>
      </c>
      <c r="C929" s="18" t="s">
        <v>67</v>
      </c>
      <c r="D929" s="18" t="s">
        <v>64</v>
      </c>
      <c r="E929" s="6">
        <v>10600000</v>
      </c>
      <c r="F929" s="19">
        <v>0.77</v>
      </c>
      <c r="G929" s="18">
        <v>98</v>
      </c>
      <c r="H929" s="20">
        <v>5.9</v>
      </c>
      <c r="I929" s="21" t="str">
        <f t="shared" si="56"/>
        <v>No cumple</v>
      </c>
      <c r="J929" s="22" t="str">
        <f t="shared" si="57"/>
        <v>Sin bono</v>
      </c>
      <c r="K929" s="23" t="str">
        <f t="shared" si="58"/>
        <v>OK</v>
      </c>
      <c r="L929" s="24" t="str">
        <f t="shared" si="59"/>
        <v>Revisar</v>
      </c>
    </row>
    <row r="930" spans="1:12" ht="18" customHeight="1" x14ac:dyDescent="0.3">
      <c r="A930" s="25" t="s">
        <v>1907</v>
      </c>
      <c r="B930" s="8" t="s">
        <v>1908</v>
      </c>
      <c r="C930" s="25" t="s">
        <v>67</v>
      </c>
      <c r="D930" s="25" t="s">
        <v>64</v>
      </c>
      <c r="E930" s="9">
        <v>10800000</v>
      </c>
      <c r="F930" s="26">
        <v>0.89</v>
      </c>
      <c r="G930" s="25">
        <v>46</v>
      </c>
      <c r="H930" s="27">
        <v>17</v>
      </c>
      <c r="I930" s="21" t="str">
        <f t="shared" si="56"/>
        <v>Cumple</v>
      </c>
      <c r="J930" s="22" t="str">
        <f t="shared" si="57"/>
        <v>Sin bono</v>
      </c>
      <c r="K930" s="23" t="str">
        <f t="shared" si="58"/>
        <v>ALERTA</v>
      </c>
      <c r="L930" s="24" t="str">
        <f t="shared" si="59"/>
        <v>Revisar</v>
      </c>
    </row>
    <row r="931" spans="1:12" ht="18" customHeight="1" x14ac:dyDescent="0.3">
      <c r="A931" s="18" t="s">
        <v>1909</v>
      </c>
      <c r="B931" s="5" t="s">
        <v>1910</v>
      </c>
      <c r="C931" s="18" t="s">
        <v>77</v>
      </c>
      <c r="D931" s="18" t="s">
        <v>78</v>
      </c>
      <c r="E931" s="6">
        <v>4900000</v>
      </c>
      <c r="F931" s="19">
        <v>0.73</v>
      </c>
      <c r="G931" s="18">
        <v>95</v>
      </c>
      <c r="H931" s="20">
        <v>7.5</v>
      </c>
      <c r="I931" s="21" t="str">
        <f t="shared" si="56"/>
        <v>No cumple</v>
      </c>
      <c r="J931" s="22" t="str">
        <f t="shared" si="57"/>
        <v>Sin bono</v>
      </c>
      <c r="K931" s="23" t="str">
        <f t="shared" si="58"/>
        <v>OK</v>
      </c>
      <c r="L931" s="24" t="str">
        <f t="shared" si="59"/>
        <v>Revisar</v>
      </c>
    </row>
    <row r="932" spans="1:12" ht="18" customHeight="1" x14ac:dyDescent="0.3">
      <c r="A932" s="25" t="s">
        <v>1911</v>
      </c>
      <c r="B932" s="8" t="s">
        <v>1912</v>
      </c>
      <c r="C932" s="25" t="s">
        <v>71</v>
      </c>
      <c r="D932" s="25" t="s">
        <v>92</v>
      </c>
      <c r="E932" s="9">
        <v>6000000</v>
      </c>
      <c r="F932" s="26">
        <v>0.75</v>
      </c>
      <c r="G932" s="25">
        <v>47</v>
      </c>
      <c r="H932" s="27">
        <v>15</v>
      </c>
      <c r="I932" s="21" t="str">
        <f t="shared" si="56"/>
        <v>No cumple</v>
      </c>
      <c r="J932" s="22" t="str">
        <f t="shared" si="57"/>
        <v>Sin bono</v>
      </c>
      <c r="K932" s="23" t="str">
        <f t="shared" si="58"/>
        <v>ALERTA</v>
      </c>
      <c r="L932" s="24" t="str">
        <f t="shared" si="59"/>
        <v>Revisar</v>
      </c>
    </row>
    <row r="933" spans="1:12" ht="18" customHeight="1" x14ac:dyDescent="0.3">
      <c r="A933" s="18" t="s">
        <v>1913</v>
      </c>
      <c r="B933" s="5" t="s">
        <v>1914</v>
      </c>
      <c r="C933" s="18" t="s">
        <v>91</v>
      </c>
      <c r="D933" s="18" t="s">
        <v>105</v>
      </c>
      <c r="E933" s="6">
        <v>9300000</v>
      </c>
      <c r="F933" s="19">
        <v>0.79</v>
      </c>
      <c r="G933" s="18">
        <v>84</v>
      </c>
      <c r="H933" s="20">
        <v>9</v>
      </c>
      <c r="I933" s="21" t="str">
        <f t="shared" si="56"/>
        <v>No cumple</v>
      </c>
      <c r="J933" s="22" t="str">
        <f t="shared" si="57"/>
        <v>Sin bono</v>
      </c>
      <c r="K933" s="23" t="str">
        <f t="shared" si="58"/>
        <v>OK</v>
      </c>
      <c r="L933" s="24" t="str">
        <f t="shared" si="59"/>
        <v>Revisar</v>
      </c>
    </row>
    <row r="934" spans="1:12" ht="18" customHeight="1" x14ac:dyDescent="0.3">
      <c r="A934" s="25" t="s">
        <v>1915</v>
      </c>
      <c r="B934" s="8" t="s">
        <v>1916</v>
      </c>
      <c r="C934" s="25" t="s">
        <v>74</v>
      </c>
      <c r="D934" s="25" t="s">
        <v>92</v>
      </c>
      <c r="E934" s="9">
        <v>3800000</v>
      </c>
      <c r="F934" s="26">
        <v>0.61</v>
      </c>
      <c r="G934" s="25">
        <v>94</v>
      </c>
      <c r="H934" s="27">
        <v>10.3</v>
      </c>
      <c r="I934" s="21" t="str">
        <f t="shared" si="56"/>
        <v>No cumple</v>
      </c>
      <c r="J934" s="22" t="str">
        <f t="shared" si="57"/>
        <v>Sin bono</v>
      </c>
      <c r="K934" s="23" t="str">
        <f t="shared" si="58"/>
        <v>OK</v>
      </c>
      <c r="L934" s="24" t="str">
        <f t="shared" si="59"/>
        <v>Revisar</v>
      </c>
    </row>
    <row r="935" spans="1:12" ht="18" customHeight="1" x14ac:dyDescent="0.3">
      <c r="A935" s="18" t="s">
        <v>1917</v>
      </c>
      <c r="B935" s="5" t="s">
        <v>1918</v>
      </c>
      <c r="C935" s="18" t="s">
        <v>81</v>
      </c>
      <c r="D935" s="18" t="s">
        <v>88</v>
      </c>
      <c r="E935" s="6">
        <v>6600000</v>
      </c>
      <c r="F935" s="19">
        <v>0.86</v>
      </c>
      <c r="G935" s="18">
        <v>65</v>
      </c>
      <c r="H935" s="20">
        <v>3.8</v>
      </c>
      <c r="I935" s="21" t="str">
        <f t="shared" si="56"/>
        <v>Cumple</v>
      </c>
      <c r="J935" s="22" t="str">
        <f t="shared" si="57"/>
        <v>Sin bono</v>
      </c>
      <c r="K935" s="23" t="str">
        <f t="shared" si="58"/>
        <v>OK</v>
      </c>
      <c r="L935" s="24" t="str">
        <f t="shared" si="59"/>
        <v>Revisar</v>
      </c>
    </row>
    <row r="936" spans="1:12" ht="18" customHeight="1" x14ac:dyDescent="0.3">
      <c r="A936" s="25" t="s">
        <v>1919</v>
      </c>
      <c r="B936" s="8" t="s">
        <v>1920</v>
      </c>
      <c r="C936" s="25" t="s">
        <v>81</v>
      </c>
      <c r="D936" s="25" t="s">
        <v>68</v>
      </c>
      <c r="E936" s="9">
        <v>7900000</v>
      </c>
      <c r="F936" s="26">
        <v>0.9</v>
      </c>
      <c r="G936" s="25">
        <v>31</v>
      </c>
      <c r="H936" s="27">
        <v>9.4</v>
      </c>
      <c r="I936" s="21" t="str">
        <f t="shared" si="56"/>
        <v>Cumple</v>
      </c>
      <c r="J936" s="22" t="str">
        <f t="shared" si="57"/>
        <v>Sin bono</v>
      </c>
      <c r="K936" s="23" t="str">
        <f t="shared" si="58"/>
        <v>ALERTA</v>
      </c>
      <c r="L936" s="24" t="str">
        <f t="shared" si="59"/>
        <v>Revisar</v>
      </c>
    </row>
    <row r="937" spans="1:12" ht="18" customHeight="1" x14ac:dyDescent="0.3">
      <c r="A937" s="18" t="s">
        <v>1921</v>
      </c>
      <c r="B937" s="5" t="s">
        <v>1922</v>
      </c>
      <c r="C937" s="18" t="s">
        <v>77</v>
      </c>
      <c r="D937" s="18" t="s">
        <v>105</v>
      </c>
      <c r="E937" s="6">
        <v>7100000</v>
      </c>
      <c r="F937" s="19">
        <v>0.89</v>
      </c>
      <c r="G937" s="18">
        <v>70</v>
      </c>
      <c r="H937" s="20">
        <v>16.899999999999999</v>
      </c>
      <c r="I937" s="21" t="str">
        <f t="shared" si="56"/>
        <v>Cumple</v>
      </c>
      <c r="J937" s="22" t="str">
        <f t="shared" si="57"/>
        <v>BONO</v>
      </c>
      <c r="K937" s="23" t="str">
        <f t="shared" si="58"/>
        <v>OK</v>
      </c>
      <c r="L937" s="24" t="str">
        <f t="shared" si="59"/>
        <v>Bueno</v>
      </c>
    </row>
    <row r="938" spans="1:12" ht="18" customHeight="1" x14ac:dyDescent="0.3">
      <c r="A938" s="25" t="s">
        <v>1923</v>
      </c>
      <c r="B938" s="8" t="s">
        <v>1924</v>
      </c>
      <c r="C938" s="25" t="s">
        <v>63</v>
      </c>
      <c r="D938" s="25" t="s">
        <v>60</v>
      </c>
      <c r="E938" s="9">
        <v>8400000</v>
      </c>
      <c r="F938" s="26">
        <v>0.7</v>
      </c>
      <c r="G938" s="25">
        <v>33</v>
      </c>
      <c r="H938" s="27">
        <v>7.5</v>
      </c>
      <c r="I938" s="21" t="str">
        <f t="shared" si="56"/>
        <v>No cumple</v>
      </c>
      <c r="J938" s="22" t="str">
        <f t="shared" si="57"/>
        <v>Sin bono</v>
      </c>
      <c r="K938" s="23" t="str">
        <f t="shared" si="58"/>
        <v>ALERTA</v>
      </c>
      <c r="L938" s="24" t="str">
        <f t="shared" si="59"/>
        <v>Revisar</v>
      </c>
    </row>
    <row r="939" spans="1:12" ht="18" customHeight="1" x14ac:dyDescent="0.3">
      <c r="A939" s="18" t="s">
        <v>1925</v>
      </c>
      <c r="B939" s="5" t="s">
        <v>1926</v>
      </c>
      <c r="C939" s="18" t="s">
        <v>71</v>
      </c>
      <c r="D939" s="18" t="s">
        <v>88</v>
      </c>
      <c r="E939" s="6">
        <v>2900000</v>
      </c>
      <c r="F939" s="19">
        <v>0.72</v>
      </c>
      <c r="G939" s="18">
        <v>75</v>
      </c>
      <c r="H939" s="20">
        <v>6.8</v>
      </c>
      <c r="I939" s="21" t="str">
        <f t="shared" si="56"/>
        <v>No cumple</v>
      </c>
      <c r="J939" s="22" t="str">
        <f t="shared" si="57"/>
        <v>Sin bono</v>
      </c>
      <c r="K939" s="23" t="str">
        <f t="shared" si="58"/>
        <v>OK</v>
      </c>
      <c r="L939" s="24" t="str">
        <f t="shared" si="59"/>
        <v>Revisar</v>
      </c>
    </row>
    <row r="940" spans="1:12" ht="18" customHeight="1" x14ac:dyDescent="0.3">
      <c r="A940" s="25" t="s">
        <v>1927</v>
      </c>
      <c r="B940" s="8" t="s">
        <v>1928</v>
      </c>
      <c r="C940" s="25" t="s">
        <v>91</v>
      </c>
      <c r="D940" s="25" t="s">
        <v>114</v>
      </c>
      <c r="E940" s="9">
        <v>4700000</v>
      </c>
      <c r="F940" s="26">
        <v>0.99</v>
      </c>
      <c r="G940" s="25">
        <v>72</v>
      </c>
      <c r="H940" s="27">
        <v>11.4</v>
      </c>
      <c r="I940" s="21" t="str">
        <f t="shared" si="56"/>
        <v>Cumple</v>
      </c>
      <c r="J940" s="22" t="str">
        <f t="shared" si="57"/>
        <v>BONO</v>
      </c>
      <c r="K940" s="23" t="str">
        <f t="shared" si="58"/>
        <v>OK</v>
      </c>
      <c r="L940" s="24" t="str">
        <f t="shared" si="59"/>
        <v>Bueno</v>
      </c>
    </row>
    <row r="941" spans="1:12" ht="18" customHeight="1" x14ac:dyDescent="0.3">
      <c r="A941" s="18" t="s">
        <v>1929</v>
      </c>
      <c r="B941" s="5" t="s">
        <v>1930</v>
      </c>
      <c r="C941" s="18" t="s">
        <v>67</v>
      </c>
      <c r="D941" s="18" t="s">
        <v>68</v>
      </c>
      <c r="E941" s="6">
        <v>3600000</v>
      </c>
      <c r="F941" s="19">
        <v>0.74</v>
      </c>
      <c r="G941" s="18">
        <v>54</v>
      </c>
      <c r="H941" s="20">
        <v>9.5</v>
      </c>
      <c r="I941" s="21" t="str">
        <f t="shared" si="56"/>
        <v>No cumple</v>
      </c>
      <c r="J941" s="22" t="str">
        <f t="shared" si="57"/>
        <v>Sin bono</v>
      </c>
      <c r="K941" s="23" t="str">
        <f t="shared" si="58"/>
        <v>OK</v>
      </c>
      <c r="L941" s="24" t="str">
        <f t="shared" si="59"/>
        <v>Revisar</v>
      </c>
    </row>
    <row r="942" spans="1:12" ht="18" customHeight="1" x14ac:dyDescent="0.3">
      <c r="A942" s="25" t="s">
        <v>1931</v>
      </c>
      <c r="B942" s="8" t="s">
        <v>1932</v>
      </c>
      <c r="C942" s="25" t="s">
        <v>77</v>
      </c>
      <c r="D942" s="25" t="s">
        <v>88</v>
      </c>
      <c r="E942" s="9">
        <v>3900000</v>
      </c>
      <c r="F942" s="26">
        <v>0.54</v>
      </c>
      <c r="G942" s="25">
        <v>100</v>
      </c>
      <c r="H942" s="27">
        <v>3.6</v>
      </c>
      <c r="I942" s="21" t="str">
        <f t="shared" si="56"/>
        <v>No cumple</v>
      </c>
      <c r="J942" s="22" t="str">
        <f t="shared" si="57"/>
        <v>Sin bono</v>
      </c>
      <c r="K942" s="23" t="str">
        <f t="shared" si="58"/>
        <v>ALERTA</v>
      </c>
      <c r="L942" s="24" t="str">
        <f t="shared" si="59"/>
        <v>Revisar</v>
      </c>
    </row>
    <row r="943" spans="1:12" ht="18" customHeight="1" x14ac:dyDescent="0.3">
      <c r="A943" s="18" t="s">
        <v>1933</v>
      </c>
      <c r="B943" s="5" t="s">
        <v>1934</v>
      </c>
      <c r="C943" s="18" t="s">
        <v>59</v>
      </c>
      <c r="D943" s="18" t="s">
        <v>78</v>
      </c>
      <c r="E943" s="6">
        <v>8600000</v>
      </c>
      <c r="F943" s="19">
        <v>0.48</v>
      </c>
      <c r="G943" s="18">
        <v>96</v>
      </c>
      <c r="H943" s="20">
        <v>0.2</v>
      </c>
      <c r="I943" s="21" t="str">
        <f t="shared" si="56"/>
        <v>No cumple</v>
      </c>
      <c r="J943" s="22" t="str">
        <f t="shared" si="57"/>
        <v>Sin bono</v>
      </c>
      <c r="K943" s="23" t="str">
        <f t="shared" si="58"/>
        <v>ALERTA</v>
      </c>
      <c r="L943" s="24" t="str">
        <f t="shared" si="59"/>
        <v>Revisar</v>
      </c>
    </row>
    <row r="944" spans="1:12" ht="18" customHeight="1" x14ac:dyDescent="0.3">
      <c r="A944" s="25" t="s">
        <v>1935</v>
      </c>
      <c r="B944" s="8" t="s">
        <v>1936</v>
      </c>
      <c r="C944" s="25" t="s">
        <v>63</v>
      </c>
      <c r="D944" s="25" t="s">
        <v>105</v>
      </c>
      <c r="E944" s="9">
        <v>3600000</v>
      </c>
      <c r="F944" s="26">
        <v>0.66</v>
      </c>
      <c r="G944" s="25">
        <v>56</v>
      </c>
      <c r="H944" s="27">
        <v>2.6</v>
      </c>
      <c r="I944" s="21" t="str">
        <f t="shared" si="56"/>
        <v>No cumple</v>
      </c>
      <c r="J944" s="22" t="str">
        <f t="shared" si="57"/>
        <v>Sin bono</v>
      </c>
      <c r="K944" s="23" t="str">
        <f t="shared" si="58"/>
        <v>OK</v>
      </c>
      <c r="L944" s="24" t="str">
        <f t="shared" si="59"/>
        <v>Revisar</v>
      </c>
    </row>
    <row r="945" spans="1:12" ht="18" customHeight="1" x14ac:dyDescent="0.3">
      <c r="A945" s="18" t="s">
        <v>1937</v>
      </c>
      <c r="B945" s="5" t="s">
        <v>1938</v>
      </c>
      <c r="C945" s="18" t="s">
        <v>67</v>
      </c>
      <c r="D945" s="18" t="s">
        <v>64</v>
      </c>
      <c r="E945" s="6">
        <v>4600000</v>
      </c>
      <c r="F945" s="19">
        <v>0.7</v>
      </c>
      <c r="G945" s="18">
        <v>81</v>
      </c>
      <c r="H945" s="20">
        <v>12.1</v>
      </c>
      <c r="I945" s="21" t="str">
        <f t="shared" si="56"/>
        <v>No cumple</v>
      </c>
      <c r="J945" s="22" t="str">
        <f t="shared" si="57"/>
        <v>Sin bono</v>
      </c>
      <c r="K945" s="23" t="str">
        <f t="shared" si="58"/>
        <v>OK</v>
      </c>
      <c r="L945" s="24" t="str">
        <f t="shared" si="59"/>
        <v>Revisar</v>
      </c>
    </row>
    <row r="946" spans="1:12" ht="18" customHeight="1" x14ac:dyDescent="0.3">
      <c r="A946" s="25" t="s">
        <v>1939</v>
      </c>
      <c r="B946" s="8" t="s">
        <v>1940</v>
      </c>
      <c r="C946" s="25" t="s">
        <v>77</v>
      </c>
      <c r="D946" s="25" t="s">
        <v>64</v>
      </c>
      <c r="E946" s="9">
        <v>3900000</v>
      </c>
      <c r="F946" s="26">
        <v>0.61</v>
      </c>
      <c r="G946" s="25">
        <v>88</v>
      </c>
      <c r="H946" s="27">
        <v>6.9</v>
      </c>
      <c r="I946" s="21" t="str">
        <f t="shared" si="56"/>
        <v>No cumple</v>
      </c>
      <c r="J946" s="22" t="str">
        <f t="shared" si="57"/>
        <v>Sin bono</v>
      </c>
      <c r="K946" s="23" t="str">
        <f t="shared" si="58"/>
        <v>OK</v>
      </c>
      <c r="L946" s="24" t="str">
        <f t="shared" si="59"/>
        <v>Revisar</v>
      </c>
    </row>
    <row r="947" spans="1:12" ht="18" customHeight="1" x14ac:dyDescent="0.3">
      <c r="A947" s="18" t="s">
        <v>1941</v>
      </c>
      <c r="B947" s="5" t="s">
        <v>1942</v>
      </c>
      <c r="C947" s="18" t="s">
        <v>63</v>
      </c>
      <c r="D947" s="18" t="s">
        <v>105</v>
      </c>
      <c r="E947" s="6">
        <v>7700000</v>
      </c>
      <c r="F947" s="19">
        <v>0.95</v>
      </c>
      <c r="G947" s="18">
        <v>53</v>
      </c>
      <c r="H947" s="20">
        <v>14</v>
      </c>
      <c r="I947" s="21" t="str">
        <f t="shared" si="56"/>
        <v>Cumple</v>
      </c>
      <c r="J947" s="22" t="str">
        <f t="shared" si="57"/>
        <v>Sin bono</v>
      </c>
      <c r="K947" s="23" t="str">
        <f t="shared" si="58"/>
        <v>OK</v>
      </c>
      <c r="L947" s="24" t="str">
        <f t="shared" si="59"/>
        <v>Revisar</v>
      </c>
    </row>
    <row r="948" spans="1:12" ht="18" customHeight="1" x14ac:dyDescent="0.3">
      <c r="A948" s="25" t="s">
        <v>1943</v>
      </c>
      <c r="B948" s="8" t="s">
        <v>1944</v>
      </c>
      <c r="C948" s="25" t="s">
        <v>67</v>
      </c>
      <c r="D948" s="25" t="s">
        <v>105</v>
      </c>
      <c r="E948" s="9">
        <v>8000000</v>
      </c>
      <c r="F948" s="26">
        <v>1</v>
      </c>
      <c r="G948" s="25">
        <v>100</v>
      </c>
      <c r="H948" s="27">
        <v>2.4</v>
      </c>
      <c r="I948" s="21" t="str">
        <f t="shared" si="56"/>
        <v>Cumple</v>
      </c>
      <c r="J948" s="22" t="str">
        <f t="shared" si="57"/>
        <v>BONO</v>
      </c>
      <c r="K948" s="23" t="str">
        <f t="shared" si="58"/>
        <v>OK</v>
      </c>
      <c r="L948" s="24" t="str">
        <f t="shared" si="59"/>
        <v>Excelente</v>
      </c>
    </row>
    <row r="949" spans="1:12" ht="18" customHeight="1" x14ac:dyDescent="0.3">
      <c r="A949" s="18" t="s">
        <v>1945</v>
      </c>
      <c r="B949" s="5" t="s">
        <v>1946</v>
      </c>
      <c r="C949" s="18" t="s">
        <v>63</v>
      </c>
      <c r="D949" s="18" t="s">
        <v>60</v>
      </c>
      <c r="E949" s="6">
        <v>7800000</v>
      </c>
      <c r="F949" s="19">
        <v>0.47</v>
      </c>
      <c r="G949" s="18">
        <v>62</v>
      </c>
      <c r="H949" s="20">
        <v>2.2999999999999998</v>
      </c>
      <c r="I949" s="21" t="str">
        <f t="shared" si="56"/>
        <v>No cumple</v>
      </c>
      <c r="J949" s="22" t="str">
        <f t="shared" si="57"/>
        <v>Sin bono</v>
      </c>
      <c r="K949" s="23" t="str">
        <f t="shared" si="58"/>
        <v>ALERTA</v>
      </c>
      <c r="L949" s="24" t="str">
        <f t="shared" si="59"/>
        <v>Revisar</v>
      </c>
    </row>
    <row r="950" spans="1:12" ht="18" customHeight="1" x14ac:dyDescent="0.3">
      <c r="A950" s="25" t="s">
        <v>1947</v>
      </c>
      <c r="B950" s="8" t="s">
        <v>1948</v>
      </c>
      <c r="C950" s="25" t="s">
        <v>67</v>
      </c>
      <c r="D950" s="25" t="s">
        <v>105</v>
      </c>
      <c r="E950" s="9">
        <v>4500000</v>
      </c>
      <c r="F950" s="26">
        <v>0.71</v>
      </c>
      <c r="G950" s="25">
        <v>65</v>
      </c>
      <c r="H950" s="27">
        <v>16.8</v>
      </c>
      <c r="I950" s="21" t="str">
        <f t="shared" si="56"/>
        <v>No cumple</v>
      </c>
      <c r="J950" s="22" t="str">
        <f t="shared" si="57"/>
        <v>Sin bono</v>
      </c>
      <c r="K950" s="23" t="str">
        <f t="shared" si="58"/>
        <v>OK</v>
      </c>
      <c r="L950" s="24" t="str">
        <f t="shared" si="59"/>
        <v>Revisar</v>
      </c>
    </row>
    <row r="951" spans="1:12" ht="18" customHeight="1" x14ac:dyDescent="0.3">
      <c r="A951" s="18" t="s">
        <v>1949</v>
      </c>
      <c r="B951" s="5" t="s">
        <v>1950</v>
      </c>
      <c r="C951" s="18" t="s">
        <v>74</v>
      </c>
      <c r="D951" s="18" t="s">
        <v>114</v>
      </c>
      <c r="E951" s="6">
        <v>6500000</v>
      </c>
      <c r="F951" s="19">
        <v>0.52</v>
      </c>
      <c r="G951" s="18">
        <v>80</v>
      </c>
      <c r="H951" s="20">
        <v>3.4</v>
      </c>
      <c r="I951" s="21" t="str">
        <f t="shared" si="56"/>
        <v>No cumple</v>
      </c>
      <c r="J951" s="22" t="str">
        <f t="shared" si="57"/>
        <v>Sin bono</v>
      </c>
      <c r="K951" s="23" t="str">
        <f t="shared" si="58"/>
        <v>ALERTA</v>
      </c>
      <c r="L951" s="24" t="str">
        <f t="shared" si="59"/>
        <v>Revisar</v>
      </c>
    </row>
    <row r="952" spans="1:12" ht="18" customHeight="1" x14ac:dyDescent="0.3">
      <c r="A952" s="25" t="s">
        <v>1951</v>
      </c>
      <c r="B952" s="8" t="s">
        <v>1952</v>
      </c>
      <c r="C952" s="25" t="s">
        <v>59</v>
      </c>
      <c r="D952" s="25" t="s">
        <v>114</v>
      </c>
      <c r="E952" s="9">
        <v>8400000</v>
      </c>
      <c r="F952" s="26">
        <v>0.65</v>
      </c>
      <c r="G952" s="25">
        <v>57</v>
      </c>
      <c r="H952" s="27">
        <v>14.3</v>
      </c>
      <c r="I952" s="21" t="str">
        <f t="shared" si="56"/>
        <v>No cumple</v>
      </c>
      <c r="J952" s="22" t="str">
        <f t="shared" si="57"/>
        <v>Sin bono</v>
      </c>
      <c r="K952" s="23" t="str">
        <f t="shared" si="58"/>
        <v>OK</v>
      </c>
      <c r="L952" s="24" t="str">
        <f t="shared" si="59"/>
        <v>Revisar</v>
      </c>
    </row>
    <row r="953" spans="1:12" ht="18" customHeight="1" x14ac:dyDescent="0.3">
      <c r="A953" s="18" t="s">
        <v>1953</v>
      </c>
      <c r="B953" s="5" t="s">
        <v>1954</v>
      </c>
      <c r="C953" s="18" t="s">
        <v>63</v>
      </c>
      <c r="D953" s="18" t="s">
        <v>60</v>
      </c>
      <c r="E953" s="6">
        <v>5900000</v>
      </c>
      <c r="F953" s="19">
        <v>0.66</v>
      </c>
      <c r="G953" s="18">
        <v>60</v>
      </c>
      <c r="H953" s="20">
        <v>4</v>
      </c>
      <c r="I953" s="21" t="str">
        <f t="shared" si="56"/>
        <v>No cumple</v>
      </c>
      <c r="J953" s="22" t="str">
        <f t="shared" si="57"/>
        <v>Sin bono</v>
      </c>
      <c r="K953" s="23" t="str">
        <f t="shared" si="58"/>
        <v>OK</v>
      </c>
      <c r="L953" s="24" t="str">
        <f t="shared" si="59"/>
        <v>Revisar</v>
      </c>
    </row>
    <row r="954" spans="1:12" ht="18" customHeight="1" x14ac:dyDescent="0.3">
      <c r="A954" s="25" t="s">
        <v>1955</v>
      </c>
      <c r="B954" s="8" t="s">
        <v>1956</v>
      </c>
      <c r="C954" s="25" t="s">
        <v>81</v>
      </c>
      <c r="D954" s="25" t="s">
        <v>60</v>
      </c>
      <c r="E954" s="9">
        <v>11500000</v>
      </c>
      <c r="F954" s="26">
        <v>0.82</v>
      </c>
      <c r="G954" s="25">
        <v>58</v>
      </c>
      <c r="H954" s="27">
        <v>19.2</v>
      </c>
      <c r="I954" s="21" t="str">
        <f t="shared" si="56"/>
        <v>Cumple</v>
      </c>
      <c r="J954" s="22" t="str">
        <f t="shared" si="57"/>
        <v>Sin bono</v>
      </c>
      <c r="K954" s="23" t="str">
        <f t="shared" si="58"/>
        <v>OK</v>
      </c>
      <c r="L954" s="24" t="str">
        <f t="shared" si="59"/>
        <v>Revisar</v>
      </c>
    </row>
    <row r="955" spans="1:12" ht="18" customHeight="1" x14ac:dyDescent="0.3">
      <c r="A955" s="18" t="s">
        <v>1957</v>
      </c>
      <c r="B955" s="5" t="s">
        <v>1958</v>
      </c>
      <c r="C955" s="18" t="s">
        <v>67</v>
      </c>
      <c r="D955" s="18" t="s">
        <v>60</v>
      </c>
      <c r="E955" s="6">
        <v>9700000</v>
      </c>
      <c r="F955" s="19">
        <v>0.67</v>
      </c>
      <c r="G955" s="18">
        <v>84</v>
      </c>
      <c r="H955" s="20">
        <v>2.4</v>
      </c>
      <c r="I955" s="21" t="str">
        <f t="shared" si="56"/>
        <v>No cumple</v>
      </c>
      <c r="J955" s="22" t="str">
        <f t="shared" si="57"/>
        <v>Sin bono</v>
      </c>
      <c r="K955" s="23" t="str">
        <f t="shared" si="58"/>
        <v>OK</v>
      </c>
      <c r="L955" s="24" t="str">
        <f t="shared" si="59"/>
        <v>Revisar</v>
      </c>
    </row>
    <row r="956" spans="1:12" ht="18" customHeight="1" x14ac:dyDescent="0.3">
      <c r="A956" s="25" t="s">
        <v>1959</v>
      </c>
      <c r="B956" s="8" t="s">
        <v>1960</v>
      </c>
      <c r="C956" s="25" t="s">
        <v>71</v>
      </c>
      <c r="D956" s="25" t="s">
        <v>64</v>
      </c>
      <c r="E956" s="9">
        <v>7900000</v>
      </c>
      <c r="F956" s="26">
        <v>0.81</v>
      </c>
      <c r="G956" s="25">
        <v>31</v>
      </c>
      <c r="H956" s="27">
        <v>7.8</v>
      </c>
      <c r="I956" s="21" t="str">
        <f t="shared" si="56"/>
        <v>Cumple</v>
      </c>
      <c r="J956" s="22" t="str">
        <f t="shared" si="57"/>
        <v>Sin bono</v>
      </c>
      <c r="K956" s="23" t="str">
        <f t="shared" si="58"/>
        <v>ALERTA</v>
      </c>
      <c r="L956" s="24" t="str">
        <f t="shared" si="59"/>
        <v>Revisar</v>
      </c>
    </row>
    <row r="957" spans="1:12" ht="18" customHeight="1" x14ac:dyDescent="0.3">
      <c r="A957" s="18" t="s">
        <v>1961</v>
      </c>
      <c r="B957" s="5" t="s">
        <v>1962</v>
      </c>
      <c r="C957" s="18" t="s">
        <v>59</v>
      </c>
      <c r="D957" s="18" t="s">
        <v>105</v>
      </c>
      <c r="E957" s="6">
        <v>4100000</v>
      </c>
      <c r="F957" s="19">
        <v>0.84</v>
      </c>
      <c r="G957" s="18">
        <v>51</v>
      </c>
      <c r="H957" s="20">
        <v>5</v>
      </c>
      <c r="I957" s="21" t="str">
        <f t="shared" si="56"/>
        <v>Cumple</v>
      </c>
      <c r="J957" s="22" t="str">
        <f t="shared" si="57"/>
        <v>Sin bono</v>
      </c>
      <c r="K957" s="23" t="str">
        <f t="shared" si="58"/>
        <v>OK</v>
      </c>
      <c r="L957" s="24" t="str">
        <f t="shared" si="59"/>
        <v>Revisar</v>
      </c>
    </row>
    <row r="958" spans="1:12" ht="18" customHeight="1" x14ac:dyDescent="0.3">
      <c r="A958" s="25" t="s">
        <v>1963</v>
      </c>
      <c r="B958" s="8" t="s">
        <v>1964</v>
      </c>
      <c r="C958" s="25" t="s">
        <v>81</v>
      </c>
      <c r="D958" s="25" t="s">
        <v>68</v>
      </c>
      <c r="E958" s="9">
        <v>11400000</v>
      </c>
      <c r="F958" s="26">
        <v>0.96</v>
      </c>
      <c r="G958" s="25">
        <v>47</v>
      </c>
      <c r="H958" s="27">
        <v>6.6</v>
      </c>
      <c r="I958" s="21" t="str">
        <f t="shared" si="56"/>
        <v>Cumple</v>
      </c>
      <c r="J958" s="22" t="str">
        <f t="shared" si="57"/>
        <v>Sin bono</v>
      </c>
      <c r="K958" s="23" t="str">
        <f t="shared" si="58"/>
        <v>ALERTA</v>
      </c>
      <c r="L958" s="24" t="str">
        <f t="shared" si="59"/>
        <v>Revisar</v>
      </c>
    </row>
    <row r="959" spans="1:12" ht="18" customHeight="1" x14ac:dyDescent="0.3">
      <c r="A959" s="18" t="s">
        <v>1965</v>
      </c>
      <c r="B959" s="5" t="s">
        <v>1966</v>
      </c>
      <c r="C959" s="18" t="s">
        <v>81</v>
      </c>
      <c r="D959" s="18" t="s">
        <v>64</v>
      </c>
      <c r="E959" s="6">
        <v>10500000</v>
      </c>
      <c r="F959" s="19">
        <v>0.95</v>
      </c>
      <c r="G959" s="18">
        <v>87</v>
      </c>
      <c r="H959" s="20">
        <v>7.6</v>
      </c>
      <c r="I959" s="21" t="str">
        <f t="shared" si="56"/>
        <v>Cumple</v>
      </c>
      <c r="J959" s="22" t="str">
        <f t="shared" si="57"/>
        <v>BONO</v>
      </c>
      <c r="K959" s="23" t="str">
        <f t="shared" si="58"/>
        <v>OK</v>
      </c>
      <c r="L959" s="24" t="str">
        <f t="shared" si="59"/>
        <v>Excelente</v>
      </c>
    </row>
    <row r="960" spans="1:12" ht="18" customHeight="1" x14ac:dyDescent="0.3">
      <c r="A960" s="25" t="s">
        <v>1967</v>
      </c>
      <c r="B960" s="8" t="s">
        <v>1968</v>
      </c>
      <c r="C960" s="25" t="s">
        <v>67</v>
      </c>
      <c r="D960" s="25" t="s">
        <v>68</v>
      </c>
      <c r="E960" s="9">
        <v>5900000</v>
      </c>
      <c r="F960" s="26">
        <v>0.79</v>
      </c>
      <c r="G960" s="25">
        <v>37</v>
      </c>
      <c r="H960" s="27">
        <v>2.8</v>
      </c>
      <c r="I960" s="21" t="str">
        <f t="shared" si="56"/>
        <v>No cumple</v>
      </c>
      <c r="J960" s="22" t="str">
        <f t="shared" si="57"/>
        <v>Sin bono</v>
      </c>
      <c r="K960" s="23" t="str">
        <f t="shared" si="58"/>
        <v>ALERTA</v>
      </c>
      <c r="L960" s="24" t="str">
        <f t="shared" si="59"/>
        <v>Revisar</v>
      </c>
    </row>
    <row r="961" spans="1:12" ht="18" customHeight="1" x14ac:dyDescent="0.3">
      <c r="A961" s="18" t="s">
        <v>1969</v>
      </c>
      <c r="B961" s="5" t="s">
        <v>1970</v>
      </c>
      <c r="C961" s="18" t="s">
        <v>81</v>
      </c>
      <c r="D961" s="18" t="s">
        <v>92</v>
      </c>
      <c r="E961" s="6">
        <v>5900000</v>
      </c>
      <c r="F961" s="19">
        <v>0.56000000000000005</v>
      </c>
      <c r="G961" s="18">
        <v>36</v>
      </c>
      <c r="H961" s="20">
        <v>18.100000000000001</v>
      </c>
      <c r="I961" s="21" t="str">
        <f t="shared" si="56"/>
        <v>No cumple</v>
      </c>
      <c r="J961" s="22" t="str">
        <f t="shared" si="57"/>
        <v>Sin bono</v>
      </c>
      <c r="K961" s="23" t="str">
        <f t="shared" si="58"/>
        <v>ALERTA</v>
      </c>
      <c r="L961" s="24" t="str">
        <f t="shared" si="59"/>
        <v>Revisar</v>
      </c>
    </row>
    <row r="962" spans="1:12" ht="18" customHeight="1" x14ac:dyDescent="0.3">
      <c r="A962" s="25" t="s">
        <v>1971</v>
      </c>
      <c r="B962" s="8" t="s">
        <v>1972</v>
      </c>
      <c r="C962" s="25" t="s">
        <v>81</v>
      </c>
      <c r="D962" s="25" t="s">
        <v>114</v>
      </c>
      <c r="E962" s="9">
        <v>8400000</v>
      </c>
      <c r="F962" s="26">
        <v>0.8</v>
      </c>
      <c r="G962" s="25">
        <v>38</v>
      </c>
      <c r="H962" s="27">
        <v>17.399999999999999</v>
      </c>
      <c r="I962" s="21" t="str">
        <f t="shared" si="56"/>
        <v>Cumple</v>
      </c>
      <c r="J962" s="22" t="str">
        <f t="shared" si="57"/>
        <v>Sin bono</v>
      </c>
      <c r="K962" s="23" t="str">
        <f t="shared" si="58"/>
        <v>ALERTA</v>
      </c>
      <c r="L962" s="24" t="str">
        <f t="shared" si="59"/>
        <v>Revisar</v>
      </c>
    </row>
    <row r="963" spans="1:12" ht="18" customHeight="1" x14ac:dyDescent="0.3">
      <c r="A963" s="18" t="s">
        <v>1973</v>
      </c>
      <c r="B963" s="5" t="s">
        <v>1974</v>
      </c>
      <c r="C963" s="18" t="s">
        <v>91</v>
      </c>
      <c r="D963" s="18" t="s">
        <v>114</v>
      </c>
      <c r="E963" s="6">
        <v>5400000</v>
      </c>
      <c r="F963" s="19">
        <v>0.52</v>
      </c>
      <c r="G963" s="18">
        <v>52</v>
      </c>
      <c r="H963" s="20">
        <v>11.9</v>
      </c>
      <c r="I963" s="21" t="str">
        <f t="shared" si="56"/>
        <v>No cumple</v>
      </c>
      <c r="J963" s="22" t="str">
        <f t="shared" si="57"/>
        <v>Sin bono</v>
      </c>
      <c r="K963" s="23" t="str">
        <f t="shared" si="58"/>
        <v>ALERTA</v>
      </c>
      <c r="L963" s="24" t="str">
        <f t="shared" si="59"/>
        <v>Revisar</v>
      </c>
    </row>
    <row r="964" spans="1:12" ht="18" customHeight="1" x14ac:dyDescent="0.3">
      <c r="A964" s="25" t="s">
        <v>1975</v>
      </c>
      <c r="B964" s="8" t="s">
        <v>1976</v>
      </c>
      <c r="C964" s="25" t="s">
        <v>63</v>
      </c>
      <c r="D964" s="25" t="s">
        <v>105</v>
      </c>
      <c r="E964" s="9">
        <v>6700000</v>
      </c>
      <c r="F964" s="26">
        <v>0.54</v>
      </c>
      <c r="G964" s="25">
        <v>55</v>
      </c>
      <c r="H964" s="27">
        <v>4.9000000000000004</v>
      </c>
      <c r="I964" s="21" t="str">
        <f t="shared" si="56"/>
        <v>No cumple</v>
      </c>
      <c r="J964" s="22" t="str">
        <f t="shared" si="57"/>
        <v>Sin bono</v>
      </c>
      <c r="K964" s="23" t="str">
        <f t="shared" si="58"/>
        <v>ALERTA</v>
      </c>
      <c r="L964" s="24" t="str">
        <f t="shared" si="59"/>
        <v>Revisar</v>
      </c>
    </row>
    <row r="965" spans="1:12" ht="18" customHeight="1" x14ac:dyDescent="0.3">
      <c r="A965" s="18" t="s">
        <v>1977</v>
      </c>
      <c r="B965" s="5" t="s">
        <v>1978</v>
      </c>
      <c r="C965" s="18" t="s">
        <v>67</v>
      </c>
      <c r="D965" s="18" t="s">
        <v>88</v>
      </c>
      <c r="E965" s="6">
        <v>6400000</v>
      </c>
      <c r="F965" s="19">
        <v>0.77</v>
      </c>
      <c r="G965" s="18">
        <v>55</v>
      </c>
      <c r="H965" s="20">
        <v>5.4</v>
      </c>
      <c r="I965" s="21" t="str">
        <f t="shared" si="56"/>
        <v>No cumple</v>
      </c>
      <c r="J965" s="22" t="str">
        <f t="shared" si="57"/>
        <v>Sin bono</v>
      </c>
      <c r="K965" s="23" t="str">
        <f t="shared" si="58"/>
        <v>OK</v>
      </c>
      <c r="L965" s="24" t="str">
        <f t="shared" si="59"/>
        <v>Revisar</v>
      </c>
    </row>
    <row r="966" spans="1:12" ht="18" customHeight="1" x14ac:dyDescent="0.3">
      <c r="A966" s="25" t="s">
        <v>1979</v>
      </c>
      <c r="B966" s="8" t="s">
        <v>1980</v>
      </c>
      <c r="C966" s="25" t="s">
        <v>77</v>
      </c>
      <c r="D966" s="25" t="s">
        <v>105</v>
      </c>
      <c r="E966" s="9">
        <v>8200000</v>
      </c>
      <c r="F966" s="26">
        <v>0.73</v>
      </c>
      <c r="G966" s="25">
        <v>85</v>
      </c>
      <c r="H966" s="27">
        <v>15.2</v>
      </c>
      <c r="I966" s="21" t="str">
        <f t="shared" si="56"/>
        <v>No cumple</v>
      </c>
      <c r="J966" s="22" t="str">
        <f t="shared" si="57"/>
        <v>Sin bono</v>
      </c>
      <c r="K966" s="23" t="str">
        <f t="shared" si="58"/>
        <v>OK</v>
      </c>
      <c r="L966" s="24" t="str">
        <f t="shared" si="59"/>
        <v>Revisar</v>
      </c>
    </row>
    <row r="967" spans="1:12" ht="18" customHeight="1" x14ac:dyDescent="0.3">
      <c r="A967" s="18" t="s">
        <v>1981</v>
      </c>
      <c r="B967" s="5" t="s">
        <v>1982</v>
      </c>
      <c r="C967" s="18" t="s">
        <v>91</v>
      </c>
      <c r="D967" s="18" t="s">
        <v>92</v>
      </c>
      <c r="E967" s="6">
        <v>9000000</v>
      </c>
      <c r="F967" s="19">
        <v>0.67</v>
      </c>
      <c r="G967" s="18">
        <v>83</v>
      </c>
      <c r="H967" s="20">
        <v>18.8</v>
      </c>
      <c r="I967" s="21" t="str">
        <f t="shared" si="56"/>
        <v>No cumple</v>
      </c>
      <c r="J967" s="22" t="str">
        <f t="shared" si="57"/>
        <v>Sin bono</v>
      </c>
      <c r="K967" s="23" t="str">
        <f t="shared" si="58"/>
        <v>OK</v>
      </c>
      <c r="L967" s="24" t="str">
        <f t="shared" si="59"/>
        <v>Revisar</v>
      </c>
    </row>
    <row r="968" spans="1:12" ht="18" customHeight="1" x14ac:dyDescent="0.3">
      <c r="A968" s="25" t="s">
        <v>1983</v>
      </c>
      <c r="B968" s="8" t="s">
        <v>1984</v>
      </c>
      <c r="C968" s="25" t="s">
        <v>63</v>
      </c>
      <c r="D968" s="25" t="s">
        <v>64</v>
      </c>
      <c r="E968" s="9">
        <v>4300000</v>
      </c>
      <c r="F968" s="26">
        <v>0.66</v>
      </c>
      <c r="G968" s="25">
        <v>50</v>
      </c>
      <c r="H968" s="27">
        <v>3.9</v>
      </c>
      <c r="I968" s="21" t="str">
        <f t="shared" si="56"/>
        <v>No cumple</v>
      </c>
      <c r="J968" s="22" t="str">
        <f t="shared" si="57"/>
        <v>Sin bono</v>
      </c>
      <c r="K968" s="23" t="str">
        <f t="shared" si="58"/>
        <v>OK</v>
      </c>
      <c r="L968" s="24" t="str">
        <f t="shared" si="59"/>
        <v>Revisar</v>
      </c>
    </row>
    <row r="969" spans="1:12" ht="18" customHeight="1" x14ac:dyDescent="0.3">
      <c r="A969" s="18" t="s">
        <v>1985</v>
      </c>
      <c r="B969" s="5" t="s">
        <v>1986</v>
      </c>
      <c r="C969" s="18" t="s">
        <v>71</v>
      </c>
      <c r="D969" s="18" t="s">
        <v>64</v>
      </c>
      <c r="E969" s="6">
        <v>4200000</v>
      </c>
      <c r="F969" s="19">
        <v>0.87</v>
      </c>
      <c r="G969" s="18">
        <v>79</v>
      </c>
      <c r="H969" s="20">
        <v>8</v>
      </c>
      <c r="I969" s="21" t="str">
        <f t="shared" si="56"/>
        <v>Cumple</v>
      </c>
      <c r="J969" s="22" t="str">
        <f t="shared" si="57"/>
        <v>BONO</v>
      </c>
      <c r="K969" s="23" t="str">
        <f t="shared" si="58"/>
        <v>OK</v>
      </c>
      <c r="L969" s="24" t="str">
        <f t="shared" si="59"/>
        <v>Bueno</v>
      </c>
    </row>
    <row r="970" spans="1:12" ht="18" customHeight="1" x14ac:dyDescent="0.3">
      <c r="A970" s="25" t="s">
        <v>1987</v>
      </c>
      <c r="B970" s="8" t="s">
        <v>1988</v>
      </c>
      <c r="C970" s="25" t="s">
        <v>63</v>
      </c>
      <c r="D970" s="25" t="s">
        <v>88</v>
      </c>
      <c r="E970" s="9">
        <v>8000000</v>
      </c>
      <c r="F970" s="26">
        <v>0.86</v>
      </c>
      <c r="G970" s="25">
        <v>41</v>
      </c>
      <c r="H970" s="27">
        <v>2.2000000000000002</v>
      </c>
      <c r="I970" s="21" t="str">
        <f t="shared" si="56"/>
        <v>Cumple</v>
      </c>
      <c r="J970" s="22" t="str">
        <f t="shared" si="57"/>
        <v>Sin bono</v>
      </c>
      <c r="K970" s="23" t="str">
        <f t="shared" si="58"/>
        <v>ALERTA</v>
      </c>
      <c r="L970" s="24" t="str">
        <f t="shared" si="59"/>
        <v>Revisar</v>
      </c>
    </row>
    <row r="971" spans="1:12" ht="18" customHeight="1" x14ac:dyDescent="0.3">
      <c r="A971" s="18" t="s">
        <v>1989</v>
      </c>
      <c r="B971" s="5" t="s">
        <v>1990</v>
      </c>
      <c r="C971" s="18" t="s">
        <v>71</v>
      </c>
      <c r="D971" s="18" t="s">
        <v>114</v>
      </c>
      <c r="E971" s="6">
        <v>5300000</v>
      </c>
      <c r="F971" s="19">
        <v>0.72</v>
      </c>
      <c r="G971" s="18">
        <v>94</v>
      </c>
      <c r="H971" s="20">
        <v>19</v>
      </c>
      <c r="I971" s="21" t="str">
        <f t="shared" si="56"/>
        <v>No cumple</v>
      </c>
      <c r="J971" s="22" t="str">
        <f t="shared" si="57"/>
        <v>Sin bono</v>
      </c>
      <c r="K971" s="23" t="str">
        <f t="shared" si="58"/>
        <v>OK</v>
      </c>
      <c r="L971" s="24" t="str">
        <f t="shared" si="59"/>
        <v>Revisar</v>
      </c>
    </row>
    <row r="972" spans="1:12" ht="18" customHeight="1" x14ac:dyDescent="0.3">
      <c r="A972" s="25" t="s">
        <v>1991</v>
      </c>
      <c r="B972" s="8" t="s">
        <v>1992</v>
      </c>
      <c r="C972" s="25" t="s">
        <v>67</v>
      </c>
      <c r="D972" s="25" t="s">
        <v>114</v>
      </c>
      <c r="E972" s="9">
        <v>5300000</v>
      </c>
      <c r="F972" s="26">
        <v>0.48</v>
      </c>
      <c r="G972" s="25">
        <v>53</v>
      </c>
      <c r="H972" s="27">
        <v>16.2</v>
      </c>
      <c r="I972" s="21" t="str">
        <f t="shared" si="56"/>
        <v>No cumple</v>
      </c>
      <c r="J972" s="22" t="str">
        <f t="shared" si="57"/>
        <v>Sin bono</v>
      </c>
      <c r="K972" s="23" t="str">
        <f t="shared" si="58"/>
        <v>ALERTA</v>
      </c>
      <c r="L972" s="24" t="str">
        <f t="shared" si="59"/>
        <v>Revisar</v>
      </c>
    </row>
    <row r="973" spans="1:12" ht="18" customHeight="1" x14ac:dyDescent="0.3">
      <c r="A973" s="18" t="s">
        <v>1993</v>
      </c>
      <c r="B973" s="5" t="s">
        <v>1994</v>
      </c>
      <c r="C973" s="18" t="s">
        <v>63</v>
      </c>
      <c r="D973" s="18" t="s">
        <v>105</v>
      </c>
      <c r="E973" s="6">
        <v>10800000</v>
      </c>
      <c r="F973" s="19">
        <v>0.95</v>
      </c>
      <c r="G973" s="18">
        <v>43</v>
      </c>
      <c r="H973" s="20">
        <v>17.399999999999999</v>
      </c>
      <c r="I973" s="21" t="str">
        <f t="shared" ref="I973:I1036" si="60">IF(F973&gt;=0.8,"Cumple","No cumple")</f>
        <v>Cumple</v>
      </c>
      <c r="J973" s="22" t="str">
        <f t="shared" ref="J973:J1036" si="61">IF(AND(F973&gt;=0.8,G973&gt;=70),"BONO","Sin bono")</f>
        <v>Sin bono</v>
      </c>
      <c r="K973" s="23" t="str">
        <f t="shared" ref="K973:K1036" si="62">IF(OR(F973&lt;0.6,G973&lt;50),"ALERTA","OK")</f>
        <v>ALERTA</v>
      </c>
      <c r="L973" s="24" t="str">
        <f t="shared" ref="L973:L1036" si="63">IF(AND(F973&gt;=0.9,G973&gt;=85),"Excelente",IF(AND(F973&gt;=0.8,G973&gt;=70),"Bueno","Revisar"))</f>
        <v>Revisar</v>
      </c>
    </row>
    <row r="974" spans="1:12" ht="18" customHeight="1" x14ac:dyDescent="0.3">
      <c r="A974" s="25" t="s">
        <v>1995</v>
      </c>
      <c r="B974" s="8" t="s">
        <v>1996</v>
      </c>
      <c r="C974" s="25" t="s">
        <v>81</v>
      </c>
      <c r="D974" s="25" t="s">
        <v>64</v>
      </c>
      <c r="E974" s="9">
        <v>10200000</v>
      </c>
      <c r="F974" s="26">
        <v>0.57999999999999996</v>
      </c>
      <c r="G974" s="25">
        <v>92</v>
      </c>
      <c r="H974" s="27">
        <v>13.5</v>
      </c>
      <c r="I974" s="21" t="str">
        <f t="shared" si="60"/>
        <v>No cumple</v>
      </c>
      <c r="J974" s="22" t="str">
        <f t="shared" si="61"/>
        <v>Sin bono</v>
      </c>
      <c r="K974" s="23" t="str">
        <f t="shared" si="62"/>
        <v>ALERTA</v>
      </c>
      <c r="L974" s="24" t="str">
        <f t="shared" si="63"/>
        <v>Revisar</v>
      </c>
    </row>
    <row r="975" spans="1:12" ht="18" customHeight="1" x14ac:dyDescent="0.3">
      <c r="A975" s="18" t="s">
        <v>1997</v>
      </c>
      <c r="B975" s="5" t="s">
        <v>1998</v>
      </c>
      <c r="C975" s="18" t="s">
        <v>63</v>
      </c>
      <c r="D975" s="18" t="s">
        <v>92</v>
      </c>
      <c r="E975" s="6">
        <v>7500000</v>
      </c>
      <c r="F975" s="19">
        <v>0.83</v>
      </c>
      <c r="G975" s="18">
        <v>73</v>
      </c>
      <c r="H975" s="20">
        <v>20</v>
      </c>
      <c r="I975" s="21" t="str">
        <f t="shared" si="60"/>
        <v>Cumple</v>
      </c>
      <c r="J975" s="22" t="str">
        <f t="shared" si="61"/>
        <v>BONO</v>
      </c>
      <c r="K975" s="23" t="str">
        <f t="shared" si="62"/>
        <v>OK</v>
      </c>
      <c r="L975" s="24" t="str">
        <f t="shared" si="63"/>
        <v>Bueno</v>
      </c>
    </row>
    <row r="976" spans="1:12" ht="18" customHeight="1" x14ac:dyDescent="0.3">
      <c r="A976" s="25" t="s">
        <v>1999</v>
      </c>
      <c r="B976" s="8" t="s">
        <v>2000</v>
      </c>
      <c r="C976" s="25" t="s">
        <v>81</v>
      </c>
      <c r="D976" s="25" t="s">
        <v>78</v>
      </c>
      <c r="E976" s="9">
        <v>2800000</v>
      </c>
      <c r="F976" s="26">
        <v>0.7</v>
      </c>
      <c r="G976" s="25">
        <v>81</v>
      </c>
      <c r="H976" s="27">
        <v>14.5</v>
      </c>
      <c r="I976" s="21" t="str">
        <f t="shared" si="60"/>
        <v>No cumple</v>
      </c>
      <c r="J976" s="22" t="str">
        <f t="shared" si="61"/>
        <v>Sin bono</v>
      </c>
      <c r="K976" s="23" t="str">
        <f t="shared" si="62"/>
        <v>OK</v>
      </c>
      <c r="L976" s="24" t="str">
        <f t="shared" si="63"/>
        <v>Revisar</v>
      </c>
    </row>
    <row r="977" spans="1:12" ht="18" customHeight="1" x14ac:dyDescent="0.3">
      <c r="A977" s="18" t="s">
        <v>2001</v>
      </c>
      <c r="B977" s="5" t="s">
        <v>2002</v>
      </c>
      <c r="C977" s="18" t="s">
        <v>59</v>
      </c>
      <c r="D977" s="18" t="s">
        <v>60</v>
      </c>
      <c r="E977" s="6">
        <v>7500000</v>
      </c>
      <c r="F977" s="19">
        <v>0.7</v>
      </c>
      <c r="G977" s="18">
        <v>90</v>
      </c>
      <c r="H977" s="20">
        <v>10.3</v>
      </c>
      <c r="I977" s="21" t="str">
        <f t="shared" si="60"/>
        <v>No cumple</v>
      </c>
      <c r="J977" s="22" t="str">
        <f t="shared" si="61"/>
        <v>Sin bono</v>
      </c>
      <c r="K977" s="23" t="str">
        <f t="shared" si="62"/>
        <v>OK</v>
      </c>
      <c r="L977" s="24" t="str">
        <f t="shared" si="63"/>
        <v>Revisar</v>
      </c>
    </row>
    <row r="978" spans="1:12" ht="18" customHeight="1" x14ac:dyDescent="0.3">
      <c r="A978" s="25" t="s">
        <v>2003</v>
      </c>
      <c r="B978" s="8" t="s">
        <v>2004</v>
      </c>
      <c r="C978" s="25" t="s">
        <v>91</v>
      </c>
      <c r="D978" s="25" t="s">
        <v>92</v>
      </c>
      <c r="E978" s="9">
        <v>11400000</v>
      </c>
      <c r="F978" s="26">
        <v>0.69</v>
      </c>
      <c r="G978" s="25">
        <v>92</v>
      </c>
      <c r="H978" s="27">
        <v>8</v>
      </c>
      <c r="I978" s="21" t="str">
        <f t="shared" si="60"/>
        <v>No cumple</v>
      </c>
      <c r="J978" s="22" t="str">
        <f t="shared" si="61"/>
        <v>Sin bono</v>
      </c>
      <c r="K978" s="23" t="str">
        <f t="shared" si="62"/>
        <v>OK</v>
      </c>
      <c r="L978" s="24" t="str">
        <f t="shared" si="63"/>
        <v>Revisar</v>
      </c>
    </row>
    <row r="979" spans="1:12" ht="18" customHeight="1" x14ac:dyDescent="0.3">
      <c r="A979" s="18" t="s">
        <v>2005</v>
      </c>
      <c r="B979" s="5" t="s">
        <v>2006</v>
      </c>
      <c r="C979" s="18" t="s">
        <v>74</v>
      </c>
      <c r="D979" s="18" t="s">
        <v>92</v>
      </c>
      <c r="E979" s="6">
        <v>8200000</v>
      </c>
      <c r="F979" s="19">
        <v>0.97</v>
      </c>
      <c r="G979" s="18">
        <v>90</v>
      </c>
      <c r="H979" s="20">
        <v>19.7</v>
      </c>
      <c r="I979" s="21" t="str">
        <f t="shared" si="60"/>
        <v>Cumple</v>
      </c>
      <c r="J979" s="22" t="str">
        <f t="shared" si="61"/>
        <v>BONO</v>
      </c>
      <c r="K979" s="23" t="str">
        <f t="shared" si="62"/>
        <v>OK</v>
      </c>
      <c r="L979" s="24" t="str">
        <f t="shared" si="63"/>
        <v>Excelente</v>
      </c>
    </row>
    <row r="980" spans="1:12" ht="18" customHeight="1" x14ac:dyDescent="0.3">
      <c r="A980" s="25" t="s">
        <v>2007</v>
      </c>
      <c r="B980" s="8" t="s">
        <v>2008</v>
      </c>
      <c r="C980" s="25" t="s">
        <v>77</v>
      </c>
      <c r="D980" s="25" t="s">
        <v>78</v>
      </c>
      <c r="E980" s="9">
        <v>8900000</v>
      </c>
      <c r="F980" s="26">
        <v>0.81</v>
      </c>
      <c r="G980" s="25">
        <v>60</v>
      </c>
      <c r="H980" s="27">
        <v>4.9000000000000004</v>
      </c>
      <c r="I980" s="21" t="str">
        <f t="shared" si="60"/>
        <v>Cumple</v>
      </c>
      <c r="J980" s="22" t="str">
        <f t="shared" si="61"/>
        <v>Sin bono</v>
      </c>
      <c r="K980" s="23" t="str">
        <f t="shared" si="62"/>
        <v>OK</v>
      </c>
      <c r="L980" s="24" t="str">
        <f t="shared" si="63"/>
        <v>Revisar</v>
      </c>
    </row>
    <row r="981" spans="1:12" ht="18" customHeight="1" x14ac:dyDescent="0.3">
      <c r="A981" s="18" t="s">
        <v>2009</v>
      </c>
      <c r="B981" s="5" t="s">
        <v>2010</v>
      </c>
      <c r="C981" s="18" t="s">
        <v>74</v>
      </c>
      <c r="D981" s="18" t="s">
        <v>78</v>
      </c>
      <c r="E981" s="6">
        <v>8300000</v>
      </c>
      <c r="F981" s="19">
        <v>1</v>
      </c>
      <c r="G981" s="18">
        <v>33</v>
      </c>
      <c r="H981" s="20">
        <v>3.2</v>
      </c>
      <c r="I981" s="21" t="str">
        <f t="shared" si="60"/>
        <v>Cumple</v>
      </c>
      <c r="J981" s="22" t="str">
        <f t="shared" si="61"/>
        <v>Sin bono</v>
      </c>
      <c r="K981" s="23" t="str">
        <f t="shared" si="62"/>
        <v>ALERTA</v>
      </c>
      <c r="L981" s="24" t="str">
        <f t="shared" si="63"/>
        <v>Revisar</v>
      </c>
    </row>
    <row r="982" spans="1:12" ht="18" customHeight="1" x14ac:dyDescent="0.3">
      <c r="A982" s="25" t="s">
        <v>2011</v>
      </c>
      <c r="B982" s="8" t="s">
        <v>2012</v>
      </c>
      <c r="C982" s="25" t="s">
        <v>59</v>
      </c>
      <c r="D982" s="25" t="s">
        <v>60</v>
      </c>
      <c r="E982" s="9">
        <v>12000000</v>
      </c>
      <c r="F982" s="26">
        <v>0.59</v>
      </c>
      <c r="G982" s="25">
        <v>90</v>
      </c>
      <c r="H982" s="27">
        <v>19</v>
      </c>
      <c r="I982" s="21" t="str">
        <f t="shared" si="60"/>
        <v>No cumple</v>
      </c>
      <c r="J982" s="22" t="str">
        <f t="shared" si="61"/>
        <v>Sin bono</v>
      </c>
      <c r="K982" s="23" t="str">
        <f t="shared" si="62"/>
        <v>ALERTA</v>
      </c>
      <c r="L982" s="24" t="str">
        <f t="shared" si="63"/>
        <v>Revisar</v>
      </c>
    </row>
    <row r="983" spans="1:12" ht="18" customHeight="1" x14ac:dyDescent="0.3">
      <c r="A983" s="18" t="s">
        <v>2013</v>
      </c>
      <c r="B983" s="5" t="s">
        <v>2014</v>
      </c>
      <c r="C983" s="18" t="s">
        <v>77</v>
      </c>
      <c r="D983" s="18" t="s">
        <v>78</v>
      </c>
      <c r="E983" s="6">
        <v>11600000</v>
      </c>
      <c r="F983" s="19">
        <v>0.63</v>
      </c>
      <c r="G983" s="18">
        <v>58</v>
      </c>
      <c r="H983" s="20">
        <v>18.600000000000001</v>
      </c>
      <c r="I983" s="21" t="str">
        <f t="shared" si="60"/>
        <v>No cumple</v>
      </c>
      <c r="J983" s="22" t="str">
        <f t="shared" si="61"/>
        <v>Sin bono</v>
      </c>
      <c r="K983" s="23" t="str">
        <f t="shared" si="62"/>
        <v>OK</v>
      </c>
      <c r="L983" s="24" t="str">
        <f t="shared" si="63"/>
        <v>Revisar</v>
      </c>
    </row>
    <row r="984" spans="1:12" ht="18" customHeight="1" x14ac:dyDescent="0.3">
      <c r="A984" s="25" t="s">
        <v>2015</v>
      </c>
      <c r="B984" s="8" t="s">
        <v>2016</v>
      </c>
      <c r="C984" s="25" t="s">
        <v>81</v>
      </c>
      <c r="D984" s="25" t="s">
        <v>68</v>
      </c>
      <c r="E984" s="9">
        <v>11900000</v>
      </c>
      <c r="F984" s="26">
        <v>0.86</v>
      </c>
      <c r="G984" s="25">
        <v>78</v>
      </c>
      <c r="H984" s="27">
        <v>13.1</v>
      </c>
      <c r="I984" s="21" t="str">
        <f t="shared" si="60"/>
        <v>Cumple</v>
      </c>
      <c r="J984" s="22" t="str">
        <f t="shared" si="61"/>
        <v>BONO</v>
      </c>
      <c r="K984" s="23" t="str">
        <f t="shared" si="62"/>
        <v>OK</v>
      </c>
      <c r="L984" s="24" t="str">
        <f t="shared" si="63"/>
        <v>Bueno</v>
      </c>
    </row>
    <row r="985" spans="1:12" ht="18" customHeight="1" x14ac:dyDescent="0.3">
      <c r="A985" s="18" t="s">
        <v>2017</v>
      </c>
      <c r="B985" s="5" t="s">
        <v>2018</v>
      </c>
      <c r="C985" s="18" t="s">
        <v>67</v>
      </c>
      <c r="D985" s="18" t="s">
        <v>60</v>
      </c>
      <c r="E985" s="6">
        <v>6100000</v>
      </c>
      <c r="F985" s="19">
        <v>0.51</v>
      </c>
      <c r="G985" s="18">
        <v>41</v>
      </c>
      <c r="H985" s="20">
        <v>2.2000000000000002</v>
      </c>
      <c r="I985" s="21" t="str">
        <f t="shared" si="60"/>
        <v>No cumple</v>
      </c>
      <c r="J985" s="22" t="str">
        <f t="shared" si="61"/>
        <v>Sin bono</v>
      </c>
      <c r="K985" s="23" t="str">
        <f t="shared" si="62"/>
        <v>ALERTA</v>
      </c>
      <c r="L985" s="24" t="str">
        <f t="shared" si="63"/>
        <v>Revisar</v>
      </c>
    </row>
    <row r="986" spans="1:12" ht="18" customHeight="1" x14ac:dyDescent="0.3">
      <c r="A986" s="25" t="s">
        <v>2019</v>
      </c>
      <c r="B986" s="8" t="s">
        <v>2020</v>
      </c>
      <c r="C986" s="25" t="s">
        <v>67</v>
      </c>
      <c r="D986" s="25" t="s">
        <v>105</v>
      </c>
      <c r="E986" s="9">
        <v>11500000</v>
      </c>
      <c r="F986" s="26">
        <v>0.7</v>
      </c>
      <c r="G986" s="25">
        <v>66</v>
      </c>
      <c r="H986" s="27">
        <v>2.9</v>
      </c>
      <c r="I986" s="21" t="str">
        <f t="shared" si="60"/>
        <v>No cumple</v>
      </c>
      <c r="J986" s="22" t="str">
        <f t="shared" si="61"/>
        <v>Sin bono</v>
      </c>
      <c r="K986" s="23" t="str">
        <f t="shared" si="62"/>
        <v>OK</v>
      </c>
      <c r="L986" s="24" t="str">
        <f t="shared" si="63"/>
        <v>Revisar</v>
      </c>
    </row>
    <row r="987" spans="1:12" ht="18" customHeight="1" x14ac:dyDescent="0.3">
      <c r="A987" s="18" t="s">
        <v>2021</v>
      </c>
      <c r="B987" s="5" t="s">
        <v>2022</v>
      </c>
      <c r="C987" s="18" t="s">
        <v>74</v>
      </c>
      <c r="D987" s="18" t="s">
        <v>88</v>
      </c>
      <c r="E987" s="6">
        <v>11800000</v>
      </c>
      <c r="F987" s="19">
        <v>0.77</v>
      </c>
      <c r="G987" s="18">
        <v>57</v>
      </c>
      <c r="H987" s="20">
        <v>9.9</v>
      </c>
      <c r="I987" s="21" t="str">
        <f t="shared" si="60"/>
        <v>No cumple</v>
      </c>
      <c r="J987" s="22" t="str">
        <f t="shared" si="61"/>
        <v>Sin bono</v>
      </c>
      <c r="K987" s="23" t="str">
        <f t="shared" si="62"/>
        <v>OK</v>
      </c>
      <c r="L987" s="24" t="str">
        <f t="shared" si="63"/>
        <v>Revisar</v>
      </c>
    </row>
    <row r="988" spans="1:12" ht="18" customHeight="1" x14ac:dyDescent="0.3">
      <c r="A988" s="25" t="s">
        <v>2023</v>
      </c>
      <c r="B988" s="8" t="s">
        <v>2024</v>
      </c>
      <c r="C988" s="25" t="s">
        <v>81</v>
      </c>
      <c r="D988" s="25" t="s">
        <v>114</v>
      </c>
      <c r="E988" s="9">
        <v>11900000</v>
      </c>
      <c r="F988" s="26">
        <v>0.56999999999999995</v>
      </c>
      <c r="G988" s="25">
        <v>58</v>
      </c>
      <c r="H988" s="27">
        <v>14</v>
      </c>
      <c r="I988" s="21" t="str">
        <f t="shared" si="60"/>
        <v>No cumple</v>
      </c>
      <c r="J988" s="22" t="str">
        <f t="shared" si="61"/>
        <v>Sin bono</v>
      </c>
      <c r="K988" s="23" t="str">
        <f t="shared" si="62"/>
        <v>ALERTA</v>
      </c>
      <c r="L988" s="24" t="str">
        <f t="shared" si="63"/>
        <v>Revisar</v>
      </c>
    </row>
    <row r="989" spans="1:12" ht="18" customHeight="1" x14ac:dyDescent="0.3">
      <c r="A989" s="18" t="s">
        <v>2025</v>
      </c>
      <c r="B989" s="5" t="s">
        <v>2026</v>
      </c>
      <c r="C989" s="18" t="s">
        <v>63</v>
      </c>
      <c r="D989" s="18" t="s">
        <v>88</v>
      </c>
      <c r="E989" s="6">
        <v>11200000</v>
      </c>
      <c r="F989" s="19">
        <v>0.95</v>
      </c>
      <c r="G989" s="18">
        <v>50</v>
      </c>
      <c r="H989" s="20">
        <v>19.8</v>
      </c>
      <c r="I989" s="21" t="str">
        <f t="shared" si="60"/>
        <v>Cumple</v>
      </c>
      <c r="J989" s="22" t="str">
        <f t="shared" si="61"/>
        <v>Sin bono</v>
      </c>
      <c r="K989" s="23" t="str">
        <f t="shared" si="62"/>
        <v>OK</v>
      </c>
      <c r="L989" s="24" t="str">
        <f t="shared" si="63"/>
        <v>Revisar</v>
      </c>
    </row>
    <row r="990" spans="1:12" ht="18" customHeight="1" x14ac:dyDescent="0.3">
      <c r="A990" s="25" t="s">
        <v>2027</v>
      </c>
      <c r="B990" s="8" t="s">
        <v>2028</v>
      </c>
      <c r="C990" s="25" t="s">
        <v>77</v>
      </c>
      <c r="D990" s="25" t="s">
        <v>92</v>
      </c>
      <c r="E990" s="9">
        <v>7800000</v>
      </c>
      <c r="F990" s="26">
        <v>0.67</v>
      </c>
      <c r="G990" s="25">
        <v>97</v>
      </c>
      <c r="H990" s="27">
        <v>14.5</v>
      </c>
      <c r="I990" s="21" t="str">
        <f t="shared" si="60"/>
        <v>No cumple</v>
      </c>
      <c r="J990" s="22" t="str">
        <f t="shared" si="61"/>
        <v>Sin bono</v>
      </c>
      <c r="K990" s="23" t="str">
        <f t="shared" si="62"/>
        <v>OK</v>
      </c>
      <c r="L990" s="24" t="str">
        <f t="shared" si="63"/>
        <v>Revisar</v>
      </c>
    </row>
    <row r="991" spans="1:12" ht="18" customHeight="1" x14ac:dyDescent="0.3">
      <c r="A991" s="18" t="s">
        <v>2029</v>
      </c>
      <c r="B991" s="5" t="s">
        <v>2030</v>
      </c>
      <c r="C991" s="18" t="s">
        <v>63</v>
      </c>
      <c r="D991" s="18" t="s">
        <v>78</v>
      </c>
      <c r="E991" s="6">
        <v>4400000</v>
      </c>
      <c r="F991" s="19">
        <v>0.63</v>
      </c>
      <c r="G991" s="18">
        <v>36</v>
      </c>
      <c r="H991" s="20">
        <v>17</v>
      </c>
      <c r="I991" s="21" t="str">
        <f t="shared" si="60"/>
        <v>No cumple</v>
      </c>
      <c r="J991" s="22" t="str">
        <f t="shared" si="61"/>
        <v>Sin bono</v>
      </c>
      <c r="K991" s="23" t="str">
        <f t="shared" si="62"/>
        <v>ALERTA</v>
      </c>
      <c r="L991" s="24" t="str">
        <f t="shared" si="63"/>
        <v>Revisar</v>
      </c>
    </row>
    <row r="992" spans="1:12" ht="18" customHeight="1" x14ac:dyDescent="0.3">
      <c r="A992" s="25" t="s">
        <v>2031</v>
      </c>
      <c r="B992" s="8" t="s">
        <v>2032</v>
      </c>
      <c r="C992" s="25" t="s">
        <v>67</v>
      </c>
      <c r="D992" s="25" t="s">
        <v>64</v>
      </c>
      <c r="E992" s="9">
        <v>7400000</v>
      </c>
      <c r="F992" s="26">
        <v>0.85</v>
      </c>
      <c r="G992" s="25">
        <v>43</v>
      </c>
      <c r="H992" s="27">
        <v>13.6</v>
      </c>
      <c r="I992" s="21" t="str">
        <f t="shared" si="60"/>
        <v>Cumple</v>
      </c>
      <c r="J992" s="22" t="str">
        <f t="shared" si="61"/>
        <v>Sin bono</v>
      </c>
      <c r="K992" s="23" t="str">
        <f t="shared" si="62"/>
        <v>ALERTA</v>
      </c>
      <c r="L992" s="24" t="str">
        <f t="shared" si="63"/>
        <v>Revisar</v>
      </c>
    </row>
    <row r="993" spans="1:12" ht="18" customHeight="1" x14ac:dyDescent="0.3">
      <c r="A993" s="18" t="s">
        <v>2033</v>
      </c>
      <c r="B993" s="5" t="s">
        <v>2034</v>
      </c>
      <c r="C993" s="18" t="s">
        <v>63</v>
      </c>
      <c r="D993" s="18" t="s">
        <v>114</v>
      </c>
      <c r="E993" s="6">
        <v>3500000</v>
      </c>
      <c r="F993" s="19">
        <v>0.5</v>
      </c>
      <c r="G993" s="18">
        <v>90</v>
      </c>
      <c r="H993" s="20">
        <v>3.6</v>
      </c>
      <c r="I993" s="21" t="str">
        <f t="shared" si="60"/>
        <v>No cumple</v>
      </c>
      <c r="J993" s="22" t="str">
        <f t="shared" si="61"/>
        <v>Sin bono</v>
      </c>
      <c r="K993" s="23" t="str">
        <f t="shared" si="62"/>
        <v>ALERTA</v>
      </c>
      <c r="L993" s="24" t="str">
        <f t="shared" si="63"/>
        <v>Revisar</v>
      </c>
    </row>
    <row r="994" spans="1:12" ht="18" customHeight="1" x14ac:dyDescent="0.3">
      <c r="A994" s="25" t="s">
        <v>2035</v>
      </c>
      <c r="B994" s="8" t="s">
        <v>2036</v>
      </c>
      <c r="C994" s="25" t="s">
        <v>63</v>
      </c>
      <c r="D994" s="25" t="s">
        <v>78</v>
      </c>
      <c r="E994" s="9">
        <v>8700000</v>
      </c>
      <c r="F994" s="26">
        <v>0.93</v>
      </c>
      <c r="G994" s="25">
        <v>78</v>
      </c>
      <c r="H994" s="27">
        <v>5.5</v>
      </c>
      <c r="I994" s="21" t="str">
        <f t="shared" si="60"/>
        <v>Cumple</v>
      </c>
      <c r="J994" s="22" t="str">
        <f t="shared" si="61"/>
        <v>BONO</v>
      </c>
      <c r="K994" s="23" t="str">
        <f t="shared" si="62"/>
        <v>OK</v>
      </c>
      <c r="L994" s="24" t="str">
        <f t="shared" si="63"/>
        <v>Bueno</v>
      </c>
    </row>
    <row r="995" spans="1:12" ht="18" customHeight="1" x14ac:dyDescent="0.3">
      <c r="A995" s="18" t="s">
        <v>2037</v>
      </c>
      <c r="B995" s="5" t="s">
        <v>2038</v>
      </c>
      <c r="C995" s="18" t="s">
        <v>74</v>
      </c>
      <c r="D995" s="18" t="s">
        <v>114</v>
      </c>
      <c r="E995" s="6">
        <v>10400000</v>
      </c>
      <c r="F995" s="19">
        <v>0.83</v>
      </c>
      <c r="G995" s="18">
        <v>30</v>
      </c>
      <c r="H995" s="20">
        <v>11.1</v>
      </c>
      <c r="I995" s="21" t="str">
        <f t="shared" si="60"/>
        <v>Cumple</v>
      </c>
      <c r="J995" s="22" t="str">
        <f t="shared" si="61"/>
        <v>Sin bono</v>
      </c>
      <c r="K995" s="23" t="str">
        <f t="shared" si="62"/>
        <v>ALERTA</v>
      </c>
      <c r="L995" s="24" t="str">
        <f t="shared" si="63"/>
        <v>Revisar</v>
      </c>
    </row>
    <row r="996" spans="1:12" ht="18" customHeight="1" x14ac:dyDescent="0.3">
      <c r="A996" s="25" t="s">
        <v>2039</v>
      </c>
      <c r="B996" s="8" t="s">
        <v>2040</v>
      </c>
      <c r="C996" s="25" t="s">
        <v>91</v>
      </c>
      <c r="D996" s="25" t="s">
        <v>114</v>
      </c>
      <c r="E996" s="9">
        <v>10100000</v>
      </c>
      <c r="F996" s="26">
        <v>0.56000000000000005</v>
      </c>
      <c r="G996" s="25">
        <v>50</v>
      </c>
      <c r="H996" s="27">
        <v>1.8</v>
      </c>
      <c r="I996" s="21" t="str">
        <f t="shared" si="60"/>
        <v>No cumple</v>
      </c>
      <c r="J996" s="22" t="str">
        <f t="shared" si="61"/>
        <v>Sin bono</v>
      </c>
      <c r="K996" s="23" t="str">
        <f t="shared" si="62"/>
        <v>ALERTA</v>
      </c>
      <c r="L996" s="24" t="str">
        <f t="shared" si="63"/>
        <v>Revisar</v>
      </c>
    </row>
    <row r="997" spans="1:12" ht="18" customHeight="1" x14ac:dyDescent="0.3">
      <c r="A997" s="18" t="s">
        <v>2041</v>
      </c>
      <c r="B997" s="5" t="s">
        <v>2042</v>
      </c>
      <c r="C997" s="18" t="s">
        <v>91</v>
      </c>
      <c r="D997" s="18" t="s">
        <v>78</v>
      </c>
      <c r="E997" s="6">
        <v>4300000</v>
      </c>
      <c r="F997" s="19">
        <v>0.73</v>
      </c>
      <c r="G997" s="18">
        <v>76</v>
      </c>
      <c r="H997" s="20">
        <v>19.3</v>
      </c>
      <c r="I997" s="21" t="str">
        <f t="shared" si="60"/>
        <v>No cumple</v>
      </c>
      <c r="J997" s="22" t="str">
        <f t="shared" si="61"/>
        <v>Sin bono</v>
      </c>
      <c r="K997" s="23" t="str">
        <f t="shared" si="62"/>
        <v>OK</v>
      </c>
      <c r="L997" s="24" t="str">
        <f t="shared" si="63"/>
        <v>Revisar</v>
      </c>
    </row>
    <row r="998" spans="1:12" ht="18" customHeight="1" x14ac:dyDescent="0.3">
      <c r="A998" s="25" t="s">
        <v>2043</v>
      </c>
      <c r="B998" s="8" t="s">
        <v>2044</v>
      </c>
      <c r="C998" s="25" t="s">
        <v>77</v>
      </c>
      <c r="D998" s="25" t="s">
        <v>114</v>
      </c>
      <c r="E998" s="9">
        <v>10100000</v>
      </c>
      <c r="F998" s="26">
        <v>0.72</v>
      </c>
      <c r="G998" s="25">
        <v>70</v>
      </c>
      <c r="H998" s="27">
        <v>10.5</v>
      </c>
      <c r="I998" s="21" t="str">
        <f t="shared" si="60"/>
        <v>No cumple</v>
      </c>
      <c r="J998" s="22" t="str">
        <f t="shared" si="61"/>
        <v>Sin bono</v>
      </c>
      <c r="K998" s="23" t="str">
        <f t="shared" si="62"/>
        <v>OK</v>
      </c>
      <c r="L998" s="24" t="str">
        <f t="shared" si="63"/>
        <v>Revisar</v>
      </c>
    </row>
    <row r="999" spans="1:12" ht="18" customHeight="1" x14ac:dyDescent="0.3">
      <c r="A999" s="18" t="s">
        <v>2045</v>
      </c>
      <c r="B999" s="5" t="s">
        <v>2046</v>
      </c>
      <c r="C999" s="18" t="s">
        <v>67</v>
      </c>
      <c r="D999" s="18" t="s">
        <v>114</v>
      </c>
      <c r="E999" s="6">
        <v>10500000</v>
      </c>
      <c r="F999" s="19">
        <v>0.75</v>
      </c>
      <c r="G999" s="18">
        <v>75</v>
      </c>
      <c r="H999" s="20">
        <v>5.5</v>
      </c>
      <c r="I999" s="21" t="str">
        <f t="shared" si="60"/>
        <v>No cumple</v>
      </c>
      <c r="J999" s="22" t="str">
        <f t="shared" si="61"/>
        <v>Sin bono</v>
      </c>
      <c r="K999" s="23" t="str">
        <f t="shared" si="62"/>
        <v>OK</v>
      </c>
      <c r="L999" s="24" t="str">
        <f t="shared" si="63"/>
        <v>Revisar</v>
      </c>
    </row>
    <row r="1000" spans="1:12" ht="18" customHeight="1" x14ac:dyDescent="0.3">
      <c r="A1000" s="25" t="s">
        <v>2047</v>
      </c>
      <c r="B1000" s="8" t="s">
        <v>2048</v>
      </c>
      <c r="C1000" s="25" t="s">
        <v>63</v>
      </c>
      <c r="D1000" s="25" t="s">
        <v>114</v>
      </c>
      <c r="E1000" s="9">
        <v>7900000</v>
      </c>
      <c r="F1000" s="26">
        <v>0.7</v>
      </c>
      <c r="G1000" s="25">
        <v>62</v>
      </c>
      <c r="H1000" s="27">
        <v>13.5</v>
      </c>
      <c r="I1000" s="21" t="str">
        <f t="shared" si="60"/>
        <v>No cumple</v>
      </c>
      <c r="J1000" s="22" t="str">
        <f t="shared" si="61"/>
        <v>Sin bono</v>
      </c>
      <c r="K1000" s="23" t="str">
        <f t="shared" si="62"/>
        <v>OK</v>
      </c>
      <c r="L1000" s="24" t="str">
        <f t="shared" si="63"/>
        <v>Revisar</v>
      </c>
    </row>
    <row r="1001" spans="1:12" ht="18" customHeight="1" x14ac:dyDescent="0.3">
      <c r="A1001" s="18" t="s">
        <v>2049</v>
      </c>
      <c r="B1001" s="5" t="s">
        <v>2050</v>
      </c>
      <c r="C1001" s="18" t="s">
        <v>71</v>
      </c>
      <c r="D1001" s="18" t="s">
        <v>68</v>
      </c>
      <c r="E1001" s="6">
        <v>4700000</v>
      </c>
      <c r="F1001" s="19">
        <v>0.62</v>
      </c>
      <c r="G1001" s="18">
        <v>85</v>
      </c>
      <c r="H1001" s="20">
        <v>7.6</v>
      </c>
      <c r="I1001" s="21" t="str">
        <f t="shared" si="60"/>
        <v>No cumple</v>
      </c>
      <c r="J1001" s="22" t="str">
        <f t="shared" si="61"/>
        <v>Sin bono</v>
      </c>
      <c r="K1001" s="23" t="str">
        <f t="shared" si="62"/>
        <v>OK</v>
      </c>
      <c r="L1001" s="24" t="str">
        <f t="shared" si="63"/>
        <v>Revisar</v>
      </c>
    </row>
    <row r="1002" spans="1:12" ht="18" customHeight="1" x14ac:dyDescent="0.3">
      <c r="A1002" s="25" t="s">
        <v>2051</v>
      </c>
      <c r="B1002" s="8" t="s">
        <v>2052</v>
      </c>
      <c r="C1002" s="25" t="s">
        <v>74</v>
      </c>
      <c r="D1002" s="25" t="s">
        <v>92</v>
      </c>
      <c r="E1002" s="9">
        <v>7000000</v>
      </c>
      <c r="F1002" s="26">
        <v>0.88</v>
      </c>
      <c r="G1002" s="25">
        <v>48</v>
      </c>
      <c r="H1002" s="27">
        <v>17.399999999999999</v>
      </c>
      <c r="I1002" s="21" t="str">
        <f t="shared" si="60"/>
        <v>Cumple</v>
      </c>
      <c r="J1002" s="22" t="str">
        <f t="shared" si="61"/>
        <v>Sin bono</v>
      </c>
      <c r="K1002" s="23" t="str">
        <f t="shared" si="62"/>
        <v>ALERTA</v>
      </c>
      <c r="L1002" s="24" t="str">
        <f t="shared" si="63"/>
        <v>Revisar</v>
      </c>
    </row>
    <row r="1003" spans="1:12" ht="18" customHeight="1" x14ac:dyDescent="0.3">
      <c r="A1003" s="18" t="s">
        <v>2053</v>
      </c>
      <c r="B1003" s="5" t="s">
        <v>2054</v>
      </c>
      <c r="C1003" s="18" t="s">
        <v>63</v>
      </c>
      <c r="D1003" s="18" t="s">
        <v>105</v>
      </c>
      <c r="E1003" s="6">
        <v>10300000</v>
      </c>
      <c r="F1003" s="19">
        <v>0.52</v>
      </c>
      <c r="G1003" s="18">
        <v>31</v>
      </c>
      <c r="H1003" s="20">
        <v>13.7</v>
      </c>
      <c r="I1003" s="21" t="str">
        <f t="shared" si="60"/>
        <v>No cumple</v>
      </c>
      <c r="J1003" s="22" t="str">
        <f t="shared" si="61"/>
        <v>Sin bono</v>
      </c>
      <c r="K1003" s="23" t="str">
        <f t="shared" si="62"/>
        <v>ALERTA</v>
      </c>
      <c r="L1003" s="24" t="str">
        <f t="shared" si="63"/>
        <v>Revisar</v>
      </c>
    </row>
    <row r="1004" spans="1:12" ht="18" customHeight="1" x14ac:dyDescent="0.3">
      <c r="A1004" s="25" t="s">
        <v>2055</v>
      </c>
      <c r="B1004" s="8" t="s">
        <v>2056</v>
      </c>
      <c r="C1004" s="25" t="s">
        <v>63</v>
      </c>
      <c r="D1004" s="25" t="s">
        <v>105</v>
      </c>
      <c r="E1004" s="9">
        <v>5100000</v>
      </c>
      <c r="F1004" s="26">
        <v>0.69</v>
      </c>
      <c r="G1004" s="25">
        <v>75</v>
      </c>
      <c r="H1004" s="27">
        <v>16</v>
      </c>
      <c r="I1004" s="21" t="str">
        <f t="shared" si="60"/>
        <v>No cumple</v>
      </c>
      <c r="J1004" s="22" t="str">
        <f t="shared" si="61"/>
        <v>Sin bono</v>
      </c>
      <c r="K1004" s="23" t="str">
        <f t="shared" si="62"/>
        <v>OK</v>
      </c>
      <c r="L1004" s="24" t="str">
        <f t="shared" si="63"/>
        <v>Revisar</v>
      </c>
    </row>
    <row r="1005" spans="1:12" ht="18" customHeight="1" x14ac:dyDescent="0.3">
      <c r="A1005" s="18" t="s">
        <v>2057</v>
      </c>
      <c r="B1005" s="5" t="s">
        <v>2058</v>
      </c>
      <c r="C1005" s="18" t="s">
        <v>71</v>
      </c>
      <c r="D1005" s="18" t="s">
        <v>64</v>
      </c>
      <c r="E1005" s="6">
        <v>3800000</v>
      </c>
      <c r="F1005" s="19">
        <v>0.86</v>
      </c>
      <c r="G1005" s="18">
        <v>100</v>
      </c>
      <c r="H1005" s="20">
        <v>18.600000000000001</v>
      </c>
      <c r="I1005" s="21" t="str">
        <f t="shared" si="60"/>
        <v>Cumple</v>
      </c>
      <c r="J1005" s="22" t="str">
        <f t="shared" si="61"/>
        <v>BONO</v>
      </c>
      <c r="K1005" s="23" t="str">
        <f t="shared" si="62"/>
        <v>OK</v>
      </c>
      <c r="L1005" s="24" t="str">
        <f t="shared" si="63"/>
        <v>Bueno</v>
      </c>
    </row>
    <row r="1006" spans="1:12" ht="18" customHeight="1" x14ac:dyDescent="0.3">
      <c r="A1006" s="25" t="s">
        <v>2059</v>
      </c>
      <c r="B1006" s="8" t="s">
        <v>2060</v>
      </c>
      <c r="C1006" s="25" t="s">
        <v>91</v>
      </c>
      <c r="D1006" s="25" t="s">
        <v>68</v>
      </c>
      <c r="E1006" s="9">
        <v>11700000</v>
      </c>
      <c r="F1006" s="26">
        <v>0.74</v>
      </c>
      <c r="G1006" s="25">
        <v>74</v>
      </c>
      <c r="H1006" s="27">
        <v>4.9000000000000004</v>
      </c>
      <c r="I1006" s="21" t="str">
        <f t="shared" si="60"/>
        <v>No cumple</v>
      </c>
      <c r="J1006" s="22" t="str">
        <f t="shared" si="61"/>
        <v>Sin bono</v>
      </c>
      <c r="K1006" s="23" t="str">
        <f t="shared" si="62"/>
        <v>OK</v>
      </c>
      <c r="L1006" s="24" t="str">
        <f t="shared" si="63"/>
        <v>Revisar</v>
      </c>
    </row>
    <row r="1007" spans="1:12" ht="18" customHeight="1" x14ac:dyDescent="0.3">
      <c r="A1007" s="18" t="s">
        <v>2061</v>
      </c>
      <c r="B1007" s="5" t="s">
        <v>2062</v>
      </c>
      <c r="C1007" s="18" t="s">
        <v>63</v>
      </c>
      <c r="D1007" s="18" t="s">
        <v>114</v>
      </c>
      <c r="E1007" s="6">
        <v>7500000</v>
      </c>
      <c r="F1007" s="19">
        <v>0.98</v>
      </c>
      <c r="G1007" s="18">
        <v>73</v>
      </c>
      <c r="H1007" s="20">
        <v>18.3</v>
      </c>
      <c r="I1007" s="21" t="str">
        <f t="shared" si="60"/>
        <v>Cumple</v>
      </c>
      <c r="J1007" s="22" t="str">
        <f t="shared" si="61"/>
        <v>BONO</v>
      </c>
      <c r="K1007" s="23" t="str">
        <f t="shared" si="62"/>
        <v>OK</v>
      </c>
      <c r="L1007" s="24" t="str">
        <f t="shared" si="63"/>
        <v>Bueno</v>
      </c>
    </row>
    <row r="1008" spans="1:12" ht="18" customHeight="1" x14ac:dyDescent="0.3">
      <c r="A1008" s="25" t="s">
        <v>2063</v>
      </c>
      <c r="B1008" s="8" t="s">
        <v>2064</v>
      </c>
      <c r="C1008" s="25" t="s">
        <v>77</v>
      </c>
      <c r="D1008" s="25" t="s">
        <v>64</v>
      </c>
      <c r="E1008" s="9">
        <v>7300000</v>
      </c>
      <c r="F1008" s="26">
        <v>0.45</v>
      </c>
      <c r="G1008" s="25">
        <v>88</v>
      </c>
      <c r="H1008" s="27">
        <v>6.6</v>
      </c>
      <c r="I1008" s="21" t="str">
        <f t="shared" si="60"/>
        <v>No cumple</v>
      </c>
      <c r="J1008" s="22" t="str">
        <f t="shared" si="61"/>
        <v>Sin bono</v>
      </c>
      <c r="K1008" s="23" t="str">
        <f t="shared" si="62"/>
        <v>ALERTA</v>
      </c>
      <c r="L1008" s="24" t="str">
        <f t="shared" si="63"/>
        <v>Revisar</v>
      </c>
    </row>
    <row r="1009" spans="1:12" ht="18" customHeight="1" x14ac:dyDescent="0.3">
      <c r="A1009" s="18" t="s">
        <v>2065</v>
      </c>
      <c r="B1009" s="5" t="s">
        <v>2066</v>
      </c>
      <c r="C1009" s="18" t="s">
        <v>81</v>
      </c>
      <c r="D1009" s="18" t="s">
        <v>64</v>
      </c>
      <c r="E1009" s="6">
        <v>4000000</v>
      </c>
      <c r="F1009" s="19">
        <v>0.69</v>
      </c>
      <c r="G1009" s="18">
        <v>55</v>
      </c>
      <c r="H1009" s="20">
        <v>1.7</v>
      </c>
      <c r="I1009" s="21" t="str">
        <f t="shared" si="60"/>
        <v>No cumple</v>
      </c>
      <c r="J1009" s="22" t="str">
        <f t="shared" si="61"/>
        <v>Sin bono</v>
      </c>
      <c r="K1009" s="23" t="str">
        <f t="shared" si="62"/>
        <v>OK</v>
      </c>
      <c r="L1009" s="24" t="str">
        <f t="shared" si="63"/>
        <v>Revisar</v>
      </c>
    </row>
    <row r="1010" spans="1:12" ht="18" customHeight="1" x14ac:dyDescent="0.3">
      <c r="A1010" s="25" t="s">
        <v>2067</v>
      </c>
      <c r="B1010" s="8" t="s">
        <v>2068</v>
      </c>
      <c r="C1010" s="25" t="s">
        <v>77</v>
      </c>
      <c r="D1010" s="25" t="s">
        <v>64</v>
      </c>
      <c r="E1010" s="9">
        <v>4700000</v>
      </c>
      <c r="F1010" s="26">
        <v>0.87</v>
      </c>
      <c r="G1010" s="25">
        <v>62</v>
      </c>
      <c r="H1010" s="27">
        <v>4.5</v>
      </c>
      <c r="I1010" s="21" t="str">
        <f t="shared" si="60"/>
        <v>Cumple</v>
      </c>
      <c r="J1010" s="22" t="str">
        <f t="shared" si="61"/>
        <v>Sin bono</v>
      </c>
      <c r="K1010" s="23" t="str">
        <f t="shared" si="62"/>
        <v>OK</v>
      </c>
      <c r="L1010" s="24" t="str">
        <f t="shared" si="63"/>
        <v>Revisar</v>
      </c>
    </row>
    <row r="1011" spans="1:12" ht="18" customHeight="1" x14ac:dyDescent="0.3">
      <c r="A1011" s="18" t="s">
        <v>2069</v>
      </c>
      <c r="B1011" s="5" t="s">
        <v>2070</v>
      </c>
      <c r="C1011" s="18" t="s">
        <v>63</v>
      </c>
      <c r="D1011" s="18" t="s">
        <v>114</v>
      </c>
      <c r="E1011" s="6">
        <v>9600000</v>
      </c>
      <c r="F1011" s="19">
        <v>0.9</v>
      </c>
      <c r="G1011" s="18">
        <v>43</v>
      </c>
      <c r="H1011" s="20">
        <v>19.8</v>
      </c>
      <c r="I1011" s="21" t="str">
        <f t="shared" si="60"/>
        <v>Cumple</v>
      </c>
      <c r="J1011" s="22" t="str">
        <f t="shared" si="61"/>
        <v>Sin bono</v>
      </c>
      <c r="K1011" s="23" t="str">
        <f t="shared" si="62"/>
        <v>ALERTA</v>
      </c>
      <c r="L1011" s="24" t="str">
        <f t="shared" si="63"/>
        <v>Revisar</v>
      </c>
    </row>
    <row r="1012" spans="1:12" ht="18" customHeight="1" x14ac:dyDescent="0.3">
      <c r="A1012" s="25" t="s">
        <v>2071</v>
      </c>
      <c r="B1012" s="8" t="s">
        <v>2072</v>
      </c>
      <c r="C1012" s="25" t="s">
        <v>81</v>
      </c>
      <c r="D1012" s="25" t="s">
        <v>60</v>
      </c>
      <c r="E1012" s="9">
        <v>4200000</v>
      </c>
      <c r="F1012" s="26">
        <v>0.55000000000000004</v>
      </c>
      <c r="G1012" s="25">
        <v>35</v>
      </c>
      <c r="H1012" s="27">
        <v>2.7</v>
      </c>
      <c r="I1012" s="21" t="str">
        <f t="shared" si="60"/>
        <v>No cumple</v>
      </c>
      <c r="J1012" s="22" t="str">
        <f t="shared" si="61"/>
        <v>Sin bono</v>
      </c>
      <c r="K1012" s="23" t="str">
        <f t="shared" si="62"/>
        <v>ALERTA</v>
      </c>
      <c r="L1012" s="24" t="str">
        <f t="shared" si="63"/>
        <v>Revisar</v>
      </c>
    </row>
    <row r="1013" spans="1:12" ht="18" customHeight="1" x14ac:dyDescent="0.3">
      <c r="A1013" s="18" t="s">
        <v>2073</v>
      </c>
      <c r="B1013" s="5" t="s">
        <v>2074</v>
      </c>
      <c r="C1013" s="18" t="s">
        <v>81</v>
      </c>
      <c r="D1013" s="18" t="s">
        <v>64</v>
      </c>
      <c r="E1013" s="6">
        <v>4800000</v>
      </c>
      <c r="F1013" s="19">
        <v>0.82</v>
      </c>
      <c r="G1013" s="18">
        <v>91</v>
      </c>
      <c r="H1013" s="20">
        <v>19.2</v>
      </c>
      <c r="I1013" s="21" t="str">
        <f t="shared" si="60"/>
        <v>Cumple</v>
      </c>
      <c r="J1013" s="22" t="str">
        <f t="shared" si="61"/>
        <v>BONO</v>
      </c>
      <c r="K1013" s="23" t="str">
        <f t="shared" si="62"/>
        <v>OK</v>
      </c>
      <c r="L1013" s="24" t="str">
        <f t="shared" si="63"/>
        <v>Bueno</v>
      </c>
    </row>
    <row r="1014" spans="1:12" ht="18" customHeight="1" x14ac:dyDescent="0.3">
      <c r="A1014" s="25" t="s">
        <v>2075</v>
      </c>
      <c r="B1014" s="8" t="s">
        <v>2076</v>
      </c>
      <c r="C1014" s="25" t="s">
        <v>74</v>
      </c>
      <c r="D1014" s="25" t="s">
        <v>78</v>
      </c>
      <c r="E1014" s="9">
        <v>3000000</v>
      </c>
      <c r="F1014" s="26">
        <v>0.52</v>
      </c>
      <c r="G1014" s="25">
        <v>74</v>
      </c>
      <c r="H1014" s="27">
        <v>10</v>
      </c>
      <c r="I1014" s="21" t="str">
        <f t="shared" si="60"/>
        <v>No cumple</v>
      </c>
      <c r="J1014" s="22" t="str">
        <f t="shared" si="61"/>
        <v>Sin bono</v>
      </c>
      <c r="K1014" s="23" t="str">
        <f t="shared" si="62"/>
        <v>ALERTA</v>
      </c>
      <c r="L1014" s="24" t="str">
        <f t="shared" si="63"/>
        <v>Revisar</v>
      </c>
    </row>
    <row r="1015" spans="1:12" ht="18" customHeight="1" x14ac:dyDescent="0.3">
      <c r="A1015" s="18" t="s">
        <v>2077</v>
      </c>
      <c r="B1015" s="5" t="s">
        <v>2078</v>
      </c>
      <c r="C1015" s="18" t="s">
        <v>81</v>
      </c>
      <c r="D1015" s="18" t="s">
        <v>68</v>
      </c>
      <c r="E1015" s="6">
        <v>10400000</v>
      </c>
      <c r="F1015" s="19">
        <v>0.86</v>
      </c>
      <c r="G1015" s="18">
        <v>85</v>
      </c>
      <c r="H1015" s="20">
        <v>9.6</v>
      </c>
      <c r="I1015" s="21" t="str">
        <f t="shared" si="60"/>
        <v>Cumple</v>
      </c>
      <c r="J1015" s="22" t="str">
        <f t="shared" si="61"/>
        <v>BONO</v>
      </c>
      <c r="K1015" s="23" t="str">
        <f t="shared" si="62"/>
        <v>OK</v>
      </c>
      <c r="L1015" s="24" t="str">
        <f t="shared" si="63"/>
        <v>Bueno</v>
      </c>
    </row>
    <row r="1016" spans="1:12" ht="18" customHeight="1" x14ac:dyDescent="0.3">
      <c r="A1016" s="25" t="s">
        <v>2079</v>
      </c>
      <c r="B1016" s="8" t="s">
        <v>2080</v>
      </c>
      <c r="C1016" s="25" t="s">
        <v>71</v>
      </c>
      <c r="D1016" s="25" t="s">
        <v>114</v>
      </c>
      <c r="E1016" s="9">
        <v>5900000</v>
      </c>
      <c r="F1016" s="26">
        <v>0.6</v>
      </c>
      <c r="G1016" s="25">
        <v>44</v>
      </c>
      <c r="H1016" s="27">
        <v>17.3</v>
      </c>
      <c r="I1016" s="21" t="str">
        <f t="shared" si="60"/>
        <v>No cumple</v>
      </c>
      <c r="J1016" s="22" t="str">
        <f t="shared" si="61"/>
        <v>Sin bono</v>
      </c>
      <c r="K1016" s="23" t="str">
        <f t="shared" si="62"/>
        <v>ALERTA</v>
      </c>
      <c r="L1016" s="24" t="str">
        <f t="shared" si="63"/>
        <v>Revisar</v>
      </c>
    </row>
    <row r="1017" spans="1:12" ht="18" customHeight="1" x14ac:dyDescent="0.3">
      <c r="A1017" s="18" t="s">
        <v>2081</v>
      </c>
      <c r="B1017" s="5" t="s">
        <v>2082</v>
      </c>
      <c r="C1017" s="18" t="s">
        <v>77</v>
      </c>
      <c r="D1017" s="18" t="s">
        <v>78</v>
      </c>
      <c r="E1017" s="6">
        <v>11700000</v>
      </c>
      <c r="F1017" s="19">
        <v>0.85</v>
      </c>
      <c r="G1017" s="18">
        <v>53</v>
      </c>
      <c r="H1017" s="20">
        <v>3.8</v>
      </c>
      <c r="I1017" s="21" t="str">
        <f t="shared" si="60"/>
        <v>Cumple</v>
      </c>
      <c r="J1017" s="22" t="str">
        <f t="shared" si="61"/>
        <v>Sin bono</v>
      </c>
      <c r="K1017" s="23" t="str">
        <f t="shared" si="62"/>
        <v>OK</v>
      </c>
      <c r="L1017" s="24" t="str">
        <f t="shared" si="63"/>
        <v>Revisar</v>
      </c>
    </row>
    <row r="1018" spans="1:12" ht="18" customHeight="1" x14ac:dyDescent="0.3">
      <c r="A1018" s="25" t="s">
        <v>2083</v>
      </c>
      <c r="B1018" s="8" t="s">
        <v>2084</v>
      </c>
      <c r="C1018" s="25" t="s">
        <v>74</v>
      </c>
      <c r="D1018" s="25" t="s">
        <v>114</v>
      </c>
      <c r="E1018" s="9">
        <v>7900000</v>
      </c>
      <c r="F1018" s="26">
        <v>0.47</v>
      </c>
      <c r="G1018" s="25">
        <v>54</v>
      </c>
      <c r="H1018" s="27">
        <v>18.600000000000001</v>
      </c>
      <c r="I1018" s="21" t="str">
        <f t="shared" si="60"/>
        <v>No cumple</v>
      </c>
      <c r="J1018" s="22" t="str">
        <f t="shared" si="61"/>
        <v>Sin bono</v>
      </c>
      <c r="K1018" s="23" t="str">
        <f t="shared" si="62"/>
        <v>ALERTA</v>
      </c>
      <c r="L1018" s="24" t="str">
        <f t="shared" si="63"/>
        <v>Revisar</v>
      </c>
    </row>
    <row r="1019" spans="1:12" ht="18" customHeight="1" x14ac:dyDescent="0.3">
      <c r="A1019" s="18" t="s">
        <v>2085</v>
      </c>
      <c r="B1019" s="5" t="s">
        <v>2086</v>
      </c>
      <c r="C1019" s="18" t="s">
        <v>74</v>
      </c>
      <c r="D1019" s="18" t="s">
        <v>64</v>
      </c>
      <c r="E1019" s="6">
        <v>7600000</v>
      </c>
      <c r="F1019" s="19">
        <v>0.67</v>
      </c>
      <c r="G1019" s="18">
        <v>69</v>
      </c>
      <c r="H1019" s="20">
        <v>14</v>
      </c>
      <c r="I1019" s="21" t="str">
        <f t="shared" si="60"/>
        <v>No cumple</v>
      </c>
      <c r="J1019" s="22" t="str">
        <f t="shared" si="61"/>
        <v>Sin bono</v>
      </c>
      <c r="K1019" s="23" t="str">
        <f t="shared" si="62"/>
        <v>OK</v>
      </c>
      <c r="L1019" s="24" t="str">
        <f t="shared" si="63"/>
        <v>Revisar</v>
      </c>
    </row>
    <row r="1020" spans="1:12" ht="18" customHeight="1" x14ac:dyDescent="0.3">
      <c r="A1020" s="25" t="s">
        <v>2087</v>
      </c>
      <c r="B1020" s="8" t="s">
        <v>2088</v>
      </c>
      <c r="C1020" s="25" t="s">
        <v>59</v>
      </c>
      <c r="D1020" s="25" t="s">
        <v>105</v>
      </c>
      <c r="E1020" s="9">
        <v>6300000</v>
      </c>
      <c r="F1020" s="26">
        <v>0.95</v>
      </c>
      <c r="G1020" s="25">
        <v>42</v>
      </c>
      <c r="H1020" s="27">
        <v>8.6</v>
      </c>
      <c r="I1020" s="21" t="str">
        <f t="shared" si="60"/>
        <v>Cumple</v>
      </c>
      <c r="J1020" s="22" t="str">
        <f t="shared" si="61"/>
        <v>Sin bono</v>
      </c>
      <c r="K1020" s="23" t="str">
        <f t="shared" si="62"/>
        <v>ALERTA</v>
      </c>
      <c r="L1020" s="24" t="str">
        <f t="shared" si="63"/>
        <v>Revisar</v>
      </c>
    </row>
    <row r="1021" spans="1:12" ht="18" customHeight="1" x14ac:dyDescent="0.3">
      <c r="A1021" s="18" t="s">
        <v>2089</v>
      </c>
      <c r="B1021" s="5" t="s">
        <v>2090</v>
      </c>
      <c r="C1021" s="18" t="s">
        <v>59</v>
      </c>
      <c r="D1021" s="18" t="s">
        <v>78</v>
      </c>
      <c r="E1021" s="6">
        <v>4000000</v>
      </c>
      <c r="F1021" s="19">
        <v>0.82</v>
      </c>
      <c r="G1021" s="18">
        <v>100</v>
      </c>
      <c r="H1021" s="20">
        <v>15.4</v>
      </c>
      <c r="I1021" s="21" t="str">
        <f t="shared" si="60"/>
        <v>Cumple</v>
      </c>
      <c r="J1021" s="22" t="str">
        <f t="shared" si="61"/>
        <v>BONO</v>
      </c>
      <c r="K1021" s="23" t="str">
        <f t="shared" si="62"/>
        <v>OK</v>
      </c>
      <c r="L1021" s="24" t="str">
        <f t="shared" si="63"/>
        <v>Bueno</v>
      </c>
    </row>
    <row r="1022" spans="1:12" ht="18" customHeight="1" x14ac:dyDescent="0.3">
      <c r="A1022" s="25" t="s">
        <v>2091</v>
      </c>
      <c r="B1022" s="8" t="s">
        <v>2092</v>
      </c>
      <c r="C1022" s="25" t="s">
        <v>81</v>
      </c>
      <c r="D1022" s="25" t="s">
        <v>92</v>
      </c>
      <c r="E1022" s="9">
        <v>5800000</v>
      </c>
      <c r="F1022" s="26">
        <v>0.81</v>
      </c>
      <c r="G1022" s="25">
        <v>56</v>
      </c>
      <c r="H1022" s="27">
        <v>11.7</v>
      </c>
      <c r="I1022" s="21" t="str">
        <f t="shared" si="60"/>
        <v>Cumple</v>
      </c>
      <c r="J1022" s="22" t="str">
        <f t="shared" si="61"/>
        <v>Sin bono</v>
      </c>
      <c r="K1022" s="23" t="str">
        <f t="shared" si="62"/>
        <v>OK</v>
      </c>
      <c r="L1022" s="24" t="str">
        <f t="shared" si="63"/>
        <v>Revisar</v>
      </c>
    </row>
    <row r="1023" spans="1:12" ht="18" customHeight="1" x14ac:dyDescent="0.3">
      <c r="A1023" s="18" t="s">
        <v>2093</v>
      </c>
      <c r="B1023" s="5" t="s">
        <v>2094</v>
      </c>
      <c r="C1023" s="18" t="s">
        <v>77</v>
      </c>
      <c r="D1023" s="18" t="s">
        <v>78</v>
      </c>
      <c r="E1023" s="6">
        <v>3700000</v>
      </c>
      <c r="F1023" s="19">
        <v>0.97</v>
      </c>
      <c r="G1023" s="18">
        <v>73</v>
      </c>
      <c r="H1023" s="20">
        <v>6</v>
      </c>
      <c r="I1023" s="21" t="str">
        <f t="shared" si="60"/>
        <v>Cumple</v>
      </c>
      <c r="J1023" s="22" t="str">
        <f t="shared" si="61"/>
        <v>BONO</v>
      </c>
      <c r="K1023" s="23" t="str">
        <f t="shared" si="62"/>
        <v>OK</v>
      </c>
      <c r="L1023" s="24" t="str">
        <f t="shared" si="63"/>
        <v>Bueno</v>
      </c>
    </row>
    <row r="1024" spans="1:12" ht="18" customHeight="1" x14ac:dyDescent="0.3">
      <c r="A1024" s="25" t="s">
        <v>2095</v>
      </c>
      <c r="B1024" s="8" t="s">
        <v>2096</v>
      </c>
      <c r="C1024" s="25" t="s">
        <v>71</v>
      </c>
      <c r="D1024" s="25" t="s">
        <v>64</v>
      </c>
      <c r="E1024" s="9">
        <v>4400000</v>
      </c>
      <c r="F1024" s="26">
        <v>0.56000000000000005</v>
      </c>
      <c r="G1024" s="25">
        <v>100</v>
      </c>
      <c r="H1024" s="27">
        <v>14.2</v>
      </c>
      <c r="I1024" s="21" t="str">
        <f t="shared" si="60"/>
        <v>No cumple</v>
      </c>
      <c r="J1024" s="22" t="str">
        <f t="shared" si="61"/>
        <v>Sin bono</v>
      </c>
      <c r="K1024" s="23" t="str">
        <f t="shared" si="62"/>
        <v>ALERTA</v>
      </c>
      <c r="L1024" s="24" t="str">
        <f t="shared" si="63"/>
        <v>Revisar</v>
      </c>
    </row>
    <row r="1025" spans="1:12" ht="18" customHeight="1" x14ac:dyDescent="0.3">
      <c r="A1025" s="18" t="s">
        <v>2097</v>
      </c>
      <c r="B1025" s="5" t="s">
        <v>2098</v>
      </c>
      <c r="C1025" s="18" t="s">
        <v>81</v>
      </c>
      <c r="D1025" s="18" t="s">
        <v>105</v>
      </c>
      <c r="E1025" s="6">
        <v>10800000</v>
      </c>
      <c r="F1025" s="19">
        <v>0.84</v>
      </c>
      <c r="G1025" s="18">
        <v>85</v>
      </c>
      <c r="H1025" s="20">
        <v>1.4</v>
      </c>
      <c r="I1025" s="21" t="str">
        <f t="shared" si="60"/>
        <v>Cumple</v>
      </c>
      <c r="J1025" s="22" t="str">
        <f t="shared" si="61"/>
        <v>BONO</v>
      </c>
      <c r="K1025" s="23" t="str">
        <f t="shared" si="62"/>
        <v>OK</v>
      </c>
      <c r="L1025" s="24" t="str">
        <f t="shared" si="63"/>
        <v>Bueno</v>
      </c>
    </row>
    <row r="1026" spans="1:12" ht="18" customHeight="1" x14ac:dyDescent="0.3">
      <c r="A1026" s="25" t="s">
        <v>2099</v>
      </c>
      <c r="B1026" s="8" t="s">
        <v>2100</v>
      </c>
      <c r="C1026" s="25" t="s">
        <v>91</v>
      </c>
      <c r="D1026" s="25" t="s">
        <v>114</v>
      </c>
      <c r="E1026" s="9">
        <v>10400000</v>
      </c>
      <c r="F1026" s="26">
        <v>0.6</v>
      </c>
      <c r="G1026" s="25">
        <v>46</v>
      </c>
      <c r="H1026" s="27">
        <v>5.8</v>
      </c>
      <c r="I1026" s="21" t="str">
        <f t="shared" si="60"/>
        <v>No cumple</v>
      </c>
      <c r="J1026" s="22" t="str">
        <f t="shared" si="61"/>
        <v>Sin bono</v>
      </c>
      <c r="K1026" s="23" t="str">
        <f t="shared" si="62"/>
        <v>ALERTA</v>
      </c>
      <c r="L1026" s="24" t="str">
        <f t="shared" si="63"/>
        <v>Revisar</v>
      </c>
    </row>
    <row r="1027" spans="1:12" ht="18" customHeight="1" x14ac:dyDescent="0.3">
      <c r="A1027" s="18" t="s">
        <v>2101</v>
      </c>
      <c r="B1027" s="5" t="s">
        <v>2102</v>
      </c>
      <c r="C1027" s="18" t="s">
        <v>59</v>
      </c>
      <c r="D1027" s="18" t="s">
        <v>88</v>
      </c>
      <c r="E1027" s="6">
        <v>5600000</v>
      </c>
      <c r="F1027" s="19">
        <v>0.61</v>
      </c>
      <c r="G1027" s="18">
        <v>64</v>
      </c>
      <c r="H1027" s="20">
        <v>11</v>
      </c>
      <c r="I1027" s="21" t="str">
        <f t="shared" si="60"/>
        <v>No cumple</v>
      </c>
      <c r="J1027" s="22" t="str">
        <f t="shared" si="61"/>
        <v>Sin bono</v>
      </c>
      <c r="K1027" s="23" t="str">
        <f t="shared" si="62"/>
        <v>OK</v>
      </c>
      <c r="L1027" s="24" t="str">
        <f t="shared" si="63"/>
        <v>Revisar</v>
      </c>
    </row>
    <row r="1028" spans="1:12" ht="18" customHeight="1" x14ac:dyDescent="0.3">
      <c r="A1028" s="25" t="s">
        <v>2103</v>
      </c>
      <c r="B1028" s="8" t="s">
        <v>2104</v>
      </c>
      <c r="C1028" s="25" t="s">
        <v>81</v>
      </c>
      <c r="D1028" s="25" t="s">
        <v>92</v>
      </c>
      <c r="E1028" s="9">
        <v>3800000</v>
      </c>
      <c r="F1028" s="26">
        <v>0.97</v>
      </c>
      <c r="G1028" s="25">
        <v>100</v>
      </c>
      <c r="H1028" s="27">
        <v>5.3</v>
      </c>
      <c r="I1028" s="21" t="str">
        <f t="shared" si="60"/>
        <v>Cumple</v>
      </c>
      <c r="J1028" s="22" t="str">
        <f t="shared" si="61"/>
        <v>BONO</v>
      </c>
      <c r="K1028" s="23" t="str">
        <f t="shared" si="62"/>
        <v>OK</v>
      </c>
      <c r="L1028" s="24" t="str">
        <f t="shared" si="63"/>
        <v>Excelente</v>
      </c>
    </row>
    <row r="1029" spans="1:12" ht="18" customHeight="1" x14ac:dyDescent="0.3">
      <c r="A1029" s="18" t="s">
        <v>2105</v>
      </c>
      <c r="B1029" s="5" t="s">
        <v>2106</v>
      </c>
      <c r="C1029" s="18" t="s">
        <v>81</v>
      </c>
      <c r="D1029" s="18" t="s">
        <v>60</v>
      </c>
      <c r="E1029" s="6">
        <v>6300000</v>
      </c>
      <c r="F1029" s="19">
        <v>0.55000000000000004</v>
      </c>
      <c r="G1029" s="18">
        <v>32</v>
      </c>
      <c r="H1029" s="20">
        <v>10.7</v>
      </c>
      <c r="I1029" s="21" t="str">
        <f t="shared" si="60"/>
        <v>No cumple</v>
      </c>
      <c r="J1029" s="22" t="str">
        <f t="shared" si="61"/>
        <v>Sin bono</v>
      </c>
      <c r="K1029" s="23" t="str">
        <f t="shared" si="62"/>
        <v>ALERTA</v>
      </c>
      <c r="L1029" s="24" t="str">
        <f t="shared" si="63"/>
        <v>Revisar</v>
      </c>
    </row>
    <row r="1030" spans="1:12" ht="18" customHeight="1" x14ac:dyDescent="0.3">
      <c r="A1030" s="25" t="s">
        <v>2107</v>
      </c>
      <c r="B1030" s="8" t="s">
        <v>2108</v>
      </c>
      <c r="C1030" s="25" t="s">
        <v>67</v>
      </c>
      <c r="D1030" s="25" t="s">
        <v>105</v>
      </c>
      <c r="E1030" s="9">
        <v>5600000</v>
      </c>
      <c r="F1030" s="26">
        <v>0.63</v>
      </c>
      <c r="G1030" s="25">
        <v>56</v>
      </c>
      <c r="H1030" s="27">
        <v>11.6</v>
      </c>
      <c r="I1030" s="21" t="str">
        <f t="shared" si="60"/>
        <v>No cumple</v>
      </c>
      <c r="J1030" s="22" t="str">
        <f t="shared" si="61"/>
        <v>Sin bono</v>
      </c>
      <c r="K1030" s="23" t="str">
        <f t="shared" si="62"/>
        <v>OK</v>
      </c>
      <c r="L1030" s="24" t="str">
        <f t="shared" si="63"/>
        <v>Revisar</v>
      </c>
    </row>
    <row r="1031" spans="1:12" ht="18" customHeight="1" x14ac:dyDescent="0.3">
      <c r="A1031" s="18" t="s">
        <v>2109</v>
      </c>
      <c r="B1031" s="5" t="s">
        <v>2110</v>
      </c>
      <c r="C1031" s="18" t="s">
        <v>77</v>
      </c>
      <c r="D1031" s="18" t="s">
        <v>114</v>
      </c>
      <c r="E1031" s="6">
        <v>5000000</v>
      </c>
      <c r="F1031" s="19">
        <v>0.55000000000000004</v>
      </c>
      <c r="G1031" s="18">
        <v>92</v>
      </c>
      <c r="H1031" s="20">
        <v>18.899999999999999</v>
      </c>
      <c r="I1031" s="21" t="str">
        <f t="shared" si="60"/>
        <v>No cumple</v>
      </c>
      <c r="J1031" s="22" t="str">
        <f t="shared" si="61"/>
        <v>Sin bono</v>
      </c>
      <c r="K1031" s="23" t="str">
        <f t="shared" si="62"/>
        <v>ALERTA</v>
      </c>
      <c r="L1031" s="24" t="str">
        <f t="shared" si="63"/>
        <v>Revisar</v>
      </c>
    </row>
    <row r="1032" spans="1:12" ht="18" customHeight="1" x14ac:dyDescent="0.3">
      <c r="A1032" s="25" t="s">
        <v>2111</v>
      </c>
      <c r="B1032" s="8" t="s">
        <v>2112</v>
      </c>
      <c r="C1032" s="25" t="s">
        <v>67</v>
      </c>
      <c r="D1032" s="25" t="s">
        <v>105</v>
      </c>
      <c r="E1032" s="9">
        <v>11000000</v>
      </c>
      <c r="F1032" s="26">
        <v>0.98</v>
      </c>
      <c r="G1032" s="25">
        <v>42</v>
      </c>
      <c r="H1032" s="27">
        <v>14.5</v>
      </c>
      <c r="I1032" s="21" t="str">
        <f t="shared" si="60"/>
        <v>Cumple</v>
      </c>
      <c r="J1032" s="22" t="str">
        <f t="shared" si="61"/>
        <v>Sin bono</v>
      </c>
      <c r="K1032" s="23" t="str">
        <f t="shared" si="62"/>
        <v>ALERTA</v>
      </c>
      <c r="L1032" s="24" t="str">
        <f t="shared" si="63"/>
        <v>Revisar</v>
      </c>
    </row>
    <row r="1033" spans="1:12" ht="18" customHeight="1" x14ac:dyDescent="0.3">
      <c r="A1033" s="18" t="s">
        <v>2113</v>
      </c>
      <c r="B1033" s="5" t="s">
        <v>2114</v>
      </c>
      <c r="C1033" s="18" t="s">
        <v>74</v>
      </c>
      <c r="D1033" s="18" t="s">
        <v>92</v>
      </c>
      <c r="E1033" s="6">
        <v>11800000</v>
      </c>
      <c r="F1033" s="19">
        <v>0.5</v>
      </c>
      <c r="G1033" s="18">
        <v>47</v>
      </c>
      <c r="H1033" s="20">
        <v>9.6</v>
      </c>
      <c r="I1033" s="21" t="str">
        <f t="shared" si="60"/>
        <v>No cumple</v>
      </c>
      <c r="J1033" s="22" t="str">
        <f t="shared" si="61"/>
        <v>Sin bono</v>
      </c>
      <c r="K1033" s="23" t="str">
        <f t="shared" si="62"/>
        <v>ALERTA</v>
      </c>
      <c r="L1033" s="24" t="str">
        <f t="shared" si="63"/>
        <v>Revisar</v>
      </c>
    </row>
    <row r="1034" spans="1:12" ht="18" customHeight="1" x14ac:dyDescent="0.3">
      <c r="A1034" s="25" t="s">
        <v>2115</v>
      </c>
      <c r="B1034" s="8" t="s">
        <v>2116</v>
      </c>
      <c r="C1034" s="25" t="s">
        <v>71</v>
      </c>
      <c r="D1034" s="25" t="s">
        <v>88</v>
      </c>
      <c r="E1034" s="9">
        <v>7000000</v>
      </c>
      <c r="F1034" s="26">
        <v>0.71</v>
      </c>
      <c r="G1034" s="25">
        <v>61</v>
      </c>
      <c r="H1034" s="27">
        <v>1.1000000000000001</v>
      </c>
      <c r="I1034" s="21" t="str">
        <f t="shared" si="60"/>
        <v>No cumple</v>
      </c>
      <c r="J1034" s="22" t="str">
        <f t="shared" si="61"/>
        <v>Sin bono</v>
      </c>
      <c r="K1034" s="23" t="str">
        <f t="shared" si="62"/>
        <v>OK</v>
      </c>
      <c r="L1034" s="24" t="str">
        <f t="shared" si="63"/>
        <v>Revisar</v>
      </c>
    </row>
    <row r="1035" spans="1:12" ht="18" customHeight="1" x14ac:dyDescent="0.3">
      <c r="A1035" s="18" t="s">
        <v>2117</v>
      </c>
      <c r="B1035" s="5" t="s">
        <v>2118</v>
      </c>
      <c r="C1035" s="18" t="s">
        <v>91</v>
      </c>
      <c r="D1035" s="18" t="s">
        <v>64</v>
      </c>
      <c r="E1035" s="6">
        <v>4100000</v>
      </c>
      <c r="F1035" s="19">
        <v>0.75</v>
      </c>
      <c r="G1035" s="18">
        <v>43</v>
      </c>
      <c r="H1035" s="20">
        <v>10.199999999999999</v>
      </c>
      <c r="I1035" s="21" t="str">
        <f t="shared" si="60"/>
        <v>No cumple</v>
      </c>
      <c r="J1035" s="22" t="str">
        <f t="shared" si="61"/>
        <v>Sin bono</v>
      </c>
      <c r="K1035" s="23" t="str">
        <f t="shared" si="62"/>
        <v>ALERTA</v>
      </c>
      <c r="L1035" s="24" t="str">
        <f t="shared" si="63"/>
        <v>Revisar</v>
      </c>
    </row>
    <row r="1036" spans="1:12" ht="18" customHeight="1" x14ac:dyDescent="0.3">
      <c r="A1036" s="25" t="s">
        <v>2119</v>
      </c>
      <c r="B1036" s="8" t="s">
        <v>2120</v>
      </c>
      <c r="C1036" s="25" t="s">
        <v>63</v>
      </c>
      <c r="D1036" s="25" t="s">
        <v>114</v>
      </c>
      <c r="E1036" s="9">
        <v>7300000</v>
      </c>
      <c r="F1036" s="26">
        <v>0.81</v>
      </c>
      <c r="G1036" s="25">
        <v>58</v>
      </c>
      <c r="H1036" s="27">
        <v>18.399999999999999</v>
      </c>
      <c r="I1036" s="21" t="str">
        <f t="shared" si="60"/>
        <v>Cumple</v>
      </c>
      <c r="J1036" s="22" t="str">
        <f t="shared" si="61"/>
        <v>Sin bono</v>
      </c>
      <c r="K1036" s="23" t="str">
        <f t="shared" si="62"/>
        <v>OK</v>
      </c>
      <c r="L1036" s="24" t="str">
        <f t="shared" si="63"/>
        <v>Revisar</v>
      </c>
    </row>
    <row r="1037" spans="1:12" ht="18" customHeight="1" x14ac:dyDescent="0.3">
      <c r="A1037" s="18" t="s">
        <v>2121</v>
      </c>
      <c r="B1037" s="5" t="s">
        <v>2122</v>
      </c>
      <c r="C1037" s="18" t="s">
        <v>74</v>
      </c>
      <c r="D1037" s="18" t="s">
        <v>64</v>
      </c>
      <c r="E1037" s="6">
        <v>4700000</v>
      </c>
      <c r="F1037" s="19">
        <v>0.88</v>
      </c>
      <c r="G1037" s="18">
        <v>48</v>
      </c>
      <c r="H1037" s="20">
        <v>6.4</v>
      </c>
      <c r="I1037" s="21" t="str">
        <f t="shared" ref="I1037:I1100" si="64">IF(F1037&gt;=0.8,"Cumple","No cumple")</f>
        <v>Cumple</v>
      </c>
      <c r="J1037" s="22" t="str">
        <f t="shared" ref="J1037:J1100" si="65">IF(AND(F1037&gt;=0.8,G1037&gt;=70),"BONO","Sin bono")</f>
        <v>Sin bono</v>
      </c>
      <c r="K1037" s="23" t="str">
        <f t="shared" ref="K1037:K1100" si="66">IF(OR(F1037&lt;0.6,G1037&lt;50),"ALERTA","OK")</f>
        <v>ALERTA</v>
      </c>
      <c r="L1037" s="24" t="str">
        <f t="shared" ref="L1037:L1100" si="67">IF(AND(F1037&gt;=0.9,G1037&gt;=85),"Excelente",IF(AND(F1037&gt;=0.8,G1037&gt;=70),"Bueno","Revisar"))</f>
        <v>Revisar</v>
      </c>
    </row>
    <row r="1038" spans="1:12" ht="18" customHeight="1" x14ac:dyDescent="0.3">
      <c r="A1038" s="25" t="s">
        <v>2123</v>
      </c>
      <c r="B1038" s="8" t="s">
        <v>2124</v>
      </c>
      <c r="C1038" s="25" t="s">
        <v>74</v>
      </c>
      <c r="D1038" s="25" t="s">
        <v>78</v>
      </c>
      <c r="E1038" s="9">
        <v>10100000</v>
      </c>
      <c r="F1038" s="26">
        <v>0.69</v>
      </c>
      <c r="G1038" s="25">
        <v>65</v>
      </c>
      <c r="H1038" s="27">
        <v>2.9</v>
      </c>
      <c r="I1038" s="21" t="str">
        <f t="shared" si="64"/>
        <v>No cumple</v>
      </c>
      <c r="J1038" s="22" t="str">
        <f t="shared" si="65"/>
        <v>Sin bono</v>
      </c>
      <c r="K1038" s="23" t="str">
        <f t="shared" si="66"/>
        <v>OK</v>
      </c>
      <c r="L1038" s="24" t="str">
        <f t="shared" si="67"/>
        <v>Revisar</v>
      </c>
    </row>
    <row r="1039" spans="1:12" ht="18" customHeight="1" x14ac:dyDescent="0.3">
      <c r="A1039" s="18" t="s">
        <v>2125</v>
      </c>
      <c r="B1039" s="5" t="s">
        <v>2126</v>
      </c>
      <c r="C1039" s="18" t="s">
        <v>74</v>
      </c>
      <c r="D1039" s="18" t="s">
        <v>68</v>
      </c>
      <c r="E1039" s="6">
        <v>9500000</v>
      </c>
      <c r="F1039" s="19">
        <v>0.77</v>
      </c>
      <c r="G1039" s="18">
        <v>58</v>
      </c>
      <c r="H1039" s="20">
        <v>14.1</v>
      </c>
      <c r="I1039" s="21" t="str">
        <f t="shared" si="64"/>
        <v>No cumple</v>
      </c>
      <c r="J1039" s="22" t="str">
        <f t="shared" si="65"/>
        <v>Sin bono</v>
      </c>
      <c r="K1039" s="23" t="str">
        <f t="shared" si="66"/>
        <v>OK</v>
      </c>
      <c r="L1039" s="24" t="str">
        <f t="shared" si="67"/>
        <v>Revisar</v>
      </c>
    </row>
    <row r="1040" spans="1:12" ht="18" customHeight="1" x14ac:dyDescent="0.3">
      <c r="A1040" s="25" t="s">
        <v>2127</v>
      </c>
      <c r="B1040" s="8" t="s">
        <v>2128</v>
      </c>
      <c r="C1040" s="25" t="s">
        <v>91</v>
      </c>
      <c r="D1040" s="25" t="s">
        <v>92</v>
      </c>
      <c r="E1040" s="9">
        <v>9900000</v>
      </c>
      <c r="F1040" s="26">
        <v>0.71</v>
      </c>
      <c r="G1040" s="25">
        <v>47</v>
      </c>
      <c r="H1040" s="27">
        <v>18.399999999999999</v>
      </c>
      <c r="I1040" s="21" t="str">
        <f t="shared" si="64"/>
        <v>No cumple</v>
      </c>
      <c r="J1040" s="22" t="str">
        <f t="shared" si="65"/>
        <v>Sin bono</v>
      </c>
      <c r="K1040" s="23" t="str">
        <f t="shared" si="66"/>
        <v>ALERTA</v>
      </c>
      <c r="L1040" s="24" t="str">
        <f t="shared" si="67"/>
        <v>Revisar</v>
      </c>
    </row>
    <row r="1041" spans="1:12" ht="18" customHeight="1" x14ac:dyDescent="0.3">
      <c r="A1041" s="18" t="s">
        <v>2129</v>
      </c>
      <c r="B1041" s="5" t="s">
        <v>2130</v>
      </c>
      <c r="C1041" s="18" t="s">
        <v>71</v>
      </c>
      <c r="D1041" s="18" t="s">
        <v>68</v>
      </c>
      <c r="E1041" s="6">
        <v>3100000</v>
      </c>
      <c r="F1041" s="19">
        <v>0.83</v>
      </c>
      <c r="G1041" s="18">
        <v>84</v>
      </c>
      <c r="H1041" s="20">
        <v>7.4</v>
      </c>
      <c r="I1041" s="21" t="str">
        <f t="shared" si="64"/>
        <v>Cumple</v>
      </c>
      <c r="J1041" s="22" t="str">
        <f t="shared" si="65"/>
        <v>BONO</v>
      </c>
      <c r="K1041" s="23" t="str">
        <f t="shared" si="66"/>
        <v>OK</v>
      </c>
      <c r="L1041" s="24" t="str">
        <f t="shared" si="67"/>
        <v>Bueno</v>
      </c>
    </row>
    <row r="1042" spans="1:12" ht="18" customHeight="1" x14ac:dyDescent="0.3">
      <c r="A1042" s="25" t="s">
        <v>2131</v>
      </c>
      <c r="B1042" s="8" t="s">
        <v>2132</v>
      </c>
      <c r="C1042" s="25" t="s">
        <v>63</v>
      </c>
      <c r="D1042" s="25" t="s">
        <v>114</v>
      </c>
      <c r="E1042" s="9">
        <v>5100000</v>
      </c>
      <c r="F1042" s="26">
        <v>0.71</v>
      </c>
      <c r="G1042" s="25">
        <v>47</v>
      </c>
      <c r="H1042" s="27">
        <v>15</v>
      </c>
      <c r="I1042" s="21" t="str">
        <f t="shared" si="64"/>
        <v>No cumple</v>
      </c>
      <c r="J1042" s="22" t="str">
        <f t="shared" si="65"/>
        <v>Sin bono</v>
      </c>
      <c r="K1042" s="23" t="str">
        <f t="shared" si="66"/>
        <v>ALERTA</v>
      </c>
      <c r="L1042" s="24" t="str">
        <f t="shared" si="67"/>
        <v>Revisar</v>
      </c>
    </row>
    <row r="1043" spans="1:12" ht="18" customHeight="1" x14ac:dyDescent="0.3">
      <c r="A1043" s="18" t="s">
        <v>2133</v>
      </c>
      <c r="B1043" s="5" t="s">
        <v>2134</v>
      </c>
      <c r="C1043" s="18" t="s">
        <v>91</v>
      </c>
      <c r="D1043" s="18" t="s">
        <v>64</v>
      </c>
      <c r="E1043" s="6">
        <v>10500000</v>
      </c>
      <c r="F1043" s="19">
        <v>0.86</v>
      </c>
      <c r="G1043" s="18">
        <v>94</v>
      </c>
      <c r="H1043" s="20">
        <v>3.2</v>
      </c>
      <c r="I1043" s="21" t="str">
        <f t="shared" si="64"/>
        <v>Cumple</v>
      </c>
      <c r="J1043" s="22" t="str">
        <f t="shared" si="65"/>
        <v>BONO</v>
      </c>
      <c r="K1043" s="23" t="str">
        <f t="shared" si="66"/>
        <v>OK</v>
      </c>
      <c r="L1043" s="24" t="str">
        <f t="shared" si="67"/>
        <v>Bueno</v>
      </c>
    </row>
    <row r="1044" spans="1:12" ht="18" customHeight="1" x14ac:dyDescent="0.3">
      <c r="A1044" s="25" t="s">
        <v>2135</v>
      </c>
      <c r="B1044" s="8" t="s">
        <v>2136</v>
      </c>
      <c r="C1044" s="25" t="s">
        <v>59</v>
      </c>
      <c r="D1044" s="25" t="s">
        <v>60</v>
      </c>
      <c r="E1044" s="9">
        <v>8200000</v>
      </c>
      <c r="F1044" s="26">
        <v>0.96</v>
      </c>
      <c r="G1044" s="25">
        <v>64</v>
      </c>
      <c r="H1044" s="27">
        <v>19.5</v>
      </c>
      <c r="I1044" s="21" t="str">
        <f t="shared" si="64"/>
        <v>Cumple</v>
      </c>
      <c r="J1044" s="22" t="str">
        <f t="shared" si="65"/>
        <v>Sin bono</v>
      </c>
      <c r="K1044" s="23" t="str">
        <f t="shared" si="66"/>
        <v>OK</v>
      </c>
      <c r="L1044" s="24" t="str">
        <f t="shared" si="67"/>
        <v>Revisar</v>
      </c>
    </row>
    <row r="1045" spans="1:12" ht="18" customHeight="1" x14ac:dyDescent="0.3">
      <c r="A1045" s="18" t="s">
        <v>2137</v>
      </c>
      <c r="B1045" s="5" t="s">
        <v>2138</v>
      </c>
      <c r="C1045" s="18" t="s">
        <v>91</v>
      </c>
      <c r="D1045" s="18" t="s">
        <v>60</v>
      </c>
      <c r="E1045" s="6">
        <v>7800000</v>
      </c>
      <c r="F1045" s="19">
        <v>0.55000000000000004</v>
      </c>
      <c r="G1045" s="18">
        <v>39</v>
      </c>
      <c r="H1045" s="20">
        <v>16.3</v>
      </c>
      <c r="I1045" s="21" t="str">
        <f t="shared" si="64"/>
        <v>No cumple</v>
      </c>
      <c r="J1045" s="22" t="str">
        <f t="shared" si="65"/>
        <v>Sin bono</v>
      </c>
      <c r="K1045" s="23" t="str">
        <f t="shared" si="66"/>
        <v>ALERTA</v>
      </c>
      <c r="L1045" s="24" t="str">
        <f t="shared" si="67"/>
        <v>Revisar</v>
      </c>
    </row>
    <row r="1046" spans="1:12" ht="18" customHeight="1" x14ac:dyDescent="0.3">
      <c r="A1046" s="25" t="s">
        <v>2139</v>
      </c>
      <c r="B1046" s="8" t="s">
        <v>2140</v>
      </c>
      <c r="C1046" s="25" t="s">
        <v>81</v>
      </c>
      <c r="D1046" s="25" t="s">
        <v>64</v>
      </c>
      <c r="E1046" s="9">
        <v>5800000</v>
      </c>
      <c r="F1046" s="26">
        <v>0.61</v>
      </c>
      <c r="G1046" s="25">
        <v>99</v>
      </c>
      <c r="H1046" s="27">
        <v>2.1</v>
      </c>
      <c r="I1046" s="21" t="str">
        <f t="shared" si="64"/>
        <v>No cumple</v>
      </c>
      <c r="J1046" s="22" t="str">
        <f t="shared" si="65"/>
        <v>Sin bono</v>
      </c>
      <c r="K1046" s="23" t="str">
        <f t="shared" si="66"/>
        <v>OK</v>
      </c>
      <c r="L1046" s="24" t="str">
        <f t="shared" si="67"/>
        <v>Revisar</v>
      </c>
    </row>
    <row r="1047" spans="1:12" ht="18" customHeight="1" x14ac:dyDescent="0.3">
      <c r="A1047" s="18" t="s">
        <v>2141</v>
      </c>
      <c r="B1047" s="5" t="s">
        <v>2142</v>
      </c>
      <c r="C1047" s="18" t="s">
        <v>91</v>
      </c>
      <c r="D1047" s="18" t="s">
        <v>60</v>
      </c>
      <c r="E1047" s="6">
        <v>6200000</v>
      </c>
      <c r="F1047" s="19">
        <v>0.5</v>
      </c>
      <c r="G1047" s="18">
        <v>35</v>
      </c>
      <c r="H1047" s="20">
        <v>11.3</v>
      </c>
      <c r="I1047" s="21" t="str">
        <f t="shared" si="64"/>
        <v>No cumple</v>
      </c>
      <c r="J1047" s="22" t="str">
        <f t="shared" si="65"/>
        <v>Sin bono</v>
      </c>
      <c r="K1047" s="23" t="str">
        <f t="shared" si="66"/>
        <v>ALERTA</v>
      </c>
      <c r="L1047" s="24" t="str">
        <f t="shared" si="67"/>
        <v>Revisar</v>
      </c>
    </row>
    <row r="1048" spans="1:12" ht="18" customHeight="1" x14ac:dyDescent="0.3">
      <c r="A1048" s="25" t="s">
        <v>2143</v>
      </c>
      <c r="B1048" s="8" t="s">
        <v>2144</v>
      </c>
      <c r="C1048" s="25" t="s">
        <v>74</v>
      </c>
      <c r="D1048" s="25" t="s">
        <v>88</v>
      </c>
      <c r="E1048" s="9">
        <v>2900000</v>
      </c>
      <c r="F1048" s="26">
        <v>0.99</v>
      </c>
      <c r="G1048" s="25">
        <v>66</v>
      </c>
      <c r="H1048" s="27">
        <v>19.2</v>
      </c>
      <c r="I1048" s="21" t="str">
        <f t="shared" si="64"/>
        <v>Cumple</v>
      </c>
      <c r="J1048" s="22" t="str">
        <f t="shared" si="65"/>
        <v>Sin bono</v>
      </c>
      <c r="K1048" s="23" t="str">
        <f t="shared" si="66"/>
        <v>OK</v>
      </c>
      <c r="L1048" s="24" t="str">
        <f t="shared" si="67"/>
        <v>Revisar</v>
      </c>
    </row>
    <row r="1049" spans="1:12" ht="18" customHeight="1" x14ac:dyDescent="0.3">
      <c r="A1049" s="18" t="s">
        <v>2145</v>
      </c>
      <c r="B1049" s="5" t="s">
        <v>2146</v>
      </c>
      <c r="C1049" s="18" t="s">
        <v>71</v>
      </c>
      <c r="D1049" s="18" t="s">
        <v>114</v>
      </c>
      <c r="E1049" s="6">
        <v>11500000</v>
      </c>
      <c r="F1049" s="19">
        <v>0.7</v>
      </c>
      <c r="G1049" s="18">
        <v>41</v>
      </c>
      <c r="H1049" s="20">
        <v>19.100000000000001</v>
      </c>
      <c r="I1049" s="21" t="str">
        <f t="shared" si="64"/>
        <v>No cumple</v>
      </c>
      <c r="J1049" s="22" t="str">
        <f t="shared" si="65"/>
        <v>Sin bono</v>
      </c>
      <c r="K1049" s="23" t="str">
        <f t="shared" si="66"/>
        <v>ALERTA</v>
      </c>
      <c r="L1049" s="24" t="str">
        <f t="shared" si="67"/>
        <v>Revisar</v>
      </c>
    </row>
    <row r="1050" spans="1:12" ht="18" customHeight="1" x14ac:dyDescent="0.3">
      <c r="A1050" s="25" t="s">
        <v>2147</v>
      </c>
      <c r="B1050" s="8" t="s">
        <v>2148</v>
      </c>
      <c r="C1050" s="25" t="s">
        <v>81</v>
      </c>
      <c r="D1050" s="25" t="s">
        <v>105</v>
      </c>
      <c r="E1050" s="9">
        <v>4400000</v>
      </c>
      <c r="F1050" s="26">
        <v>0.64</v>
      </c>
      <c r="G1050" s="25">
        <v>76</v>
      </c>
      <c r="H1050" s="27">
        <v>12.5</v>
      </c>
      <c r="I1050" s="21" t="str">
        <f t="shared" si="64"/>
        <v>No cumple</v>
      </c>
      <c r="J1050" s="22" t="str">
        <f t="shared" si="65"/>
        <v>Sin bono</v>
      </c>
      <c r="K1050" s="23" t="str">
        <f t="shared" si="66"/>
        <v>OK</v>
      </c>
      <c r="L1050" s="24" t="str">
        <f t="shared" si="67"/>
        <v>Revisar</v>
      </c>
    </row>
    <row r="1051" spans="1:12" ht="18" customHeight="1" x14ac:dyDescent="0.3">
      <c r="A1051" s="18" t="s">
        <v>2149</v>
      </c>
      <c r="B1051" s="5" t="s">
        <v>2150</v>
      </c>
      <c r="C1051" s="18" t="s">
        <v>63</v>
      </c>
      <c r="D1051" s="18" t="s">
        <v>60</v>
      </c>
      <c r="E1051" s="6">
        <v>5400000</v>
      </c>
      <c r="F1051" s="19">
        <v>1</v>
      </c>
      <c r="G1051" s="18">
        <v>39</v>
      </c>
      <c r="H1051" s="20">
        <v>19.2</v>
      </c>
      <c r="I1051" s="21" t="str">
        <f t="shared" si="64"/>
        <v>Cumple</v>
      </c>
      <c r="J1051" s="22" t="str">
        <f t="shared" si="65"/>
        <v>Sin bono</v>
      </c>
      <c r="K1051" s="23" t="str">
        <f t="shared" si="66"/>
        <v>ALERTA</v>
      </c>
      <c r="L1051" s="24" t="str">
        <f t="shared" si="67"/>
        <v>Revisar</v>
      </c>
    </row>
    <row r="1052" spans="1:12" ht="18" customHeight="1" x14ac:dyDescent="0.3">
      <c r="A1052" s="25" t="s">
        <v>2151</v>
      </c>
      <c r="B1052" s="8" t="s">
        <v>2152</v>
      </c>
      <c r="C1052" s="25" t="s">
        <v>74</v>
      </c>
      <c r="D1052" s="25" t="s">
        <v>88</v>
      </c>
      <c r="E1052" s="9">
        <v>10100000</v>
      </c>
      <c r="F1052" s="26">
        <v>0.65</v>
      </c>
      <c r="G1052" s="25">
        <v>41</v>
      </c>
      <c r="H1052" s="27">
        <v>1.4</v>
      </c>
      <c r="I1052" s="21" t="str">
        <f t="shared" si="64"/>
        <v>No cumple</v>
      </c>
      <c r="J1052" s="22" t="str">
        <f t="shared" si="65"/>
        <v>Sin bono</v>
      </c>
      <c r="K1052" s="23" t="str">
        <f t="shared" si="66"/>
        <v>ALERTA</v>
      </c>
      <c r="L1052" s="24" t="str">
        <f t="shared" si="67"/>
        <v>Revisar</v>
      </c>
    </row>
    <row r="1053" spans="1:12" ht="18" customHeight="1" x14ac:dyDescent="0.3">
      <c r="A1053" s="18" t="s">
        <v>2153</v>
      </c>
      <c r="B1053" s="5" t="s">
        <v>2154</v>
      </c>
      <c r="C1053" s="18" t="s">
        <v>59</v>
      </c>
      <c r="D1053" s="18" t="s">
        <v>68</v>
      </c>
      <c r="E1053" s="6">
        <v>8000000</v>
      </c>
      <c r="F1053" s="19">
        <v>0.92</v>
      </c>
      <c r="G1053" s="18">
        <v>46</v>
      </c>
      <c r="H1053" s="20">
        <v>8.8000000000000007</v>
      </c>
      <c r="I1053" s="21" t="str">
        <f t="shared" si="64"/>
        <v>Cumple</v>
      </c>
      <c r="J1053" s="22" t="str">
        <f t="shared" si="65"/>
        <v>Sin bono</v>
      </c>
      <c r="K1053" s="23" t="str">
        <f t="shared" si="66"/>
        <v>ALERTA</v>
      </c>
      <c r="L1053" s="24" t="str">
        <f t="shared" si="67"/>
        <v>Revisar</v>
      </c>
    </row>
    <row r="1054" spans="1:12" ht="18" customHeight="1" x14ac:dyDescent="0.3">
      <c r="A1054" s="25" t="s">
        <v>2155</v>
      </c>
      <c r="B1054" s="8" t="s">
        <v>2156</v>
      </c>
      <c r="C1054" s="25" t="s">
        <v>91</v>
      </c>
      <c r="D1054" s="25" t="s">
        <v>64</v>
      </c>
      <c r="E1054" s="9">
        <v>5900000</v>
      </c>
      <c r="F1054" s="26">
        <v>0.83</v>
      </c>
      <c r="G1054" s="25">
        <v>31</v>
      </c>
      <c r="H1054" s="27">
        <v>3.1</v>
      </c>
      <c r="I1054" s="21" t="str">
        <f t="shared" si="64"/>
        <v>Cumple</v>
      </c>
      <c r="J1054" s="22" t="str">
        <f t="shared" si="65"/>
        <v>Sin bono</v>
      </c>
      <c r="K1054" s="23" t="str">
        <f t="shared" si="66"/>
        <v>ALERTA</v>
      </c>
      <c r="L1054" s="24" t="str">
        <f t="shared" si="67"/>
        <v>Revisar</v>
      </c>
    </row>
    <row r="1055" spans="1:12" ht="18" customHeight="1" x14ac:dyDescent="0.3">
      <c r="A1055" s="18" t="s">
        <v>2157</v>
      </c>
      <c r="B1055" s="5" t="s">
        <v>2158</v>
      </c>
      <c r="C1055" s="18" t="s">
        <v>77</v>
      </c>
      <c r="D1055" s="18" t="s">
        <v>78</v>
      </c>
      <c r="E1055" s="6">
        <v>3800000</v>
      </c>
      <c r="F1055" s="19">
        <v>0.55000000000000004</v>
      </c>
      <c r="G1055" s="18">
        <v>43</v>
      </c>
      <c r="H1055" s="20">
        <v>18.3</v>
      </c>
      <c r="I1055" s="21" t="str">
        <f t="shared" si="64"/>
        <v>No cumple</v>
      </c>
      <c r="J1055" s="22" t="str">
        <f t="shared" si="65"/>
        <v>Sin bono</v>
      </c>
      <c r="K1055" s="23" t="str">
        <f t="shared" si="66"/>
        <v>ALERTA</v>
      </c>
      <c r="L1055" s="24" t="str">
        <f t="shared" si="67"/>
        <v>Revisar</v>
      </c>
    </row>
    <row r="1056" spans="1:12" ht="18" customHeight="1" x14ac:dyDescent="0.3">
      <c r="A1056" s="25" t="s">
        <v>2159</v>
      </c>
      <c r="B1056" s="8" t="s">
        <v>2160</v>
      </c>
      <c r="C1056" s="25" t="s">
        <v>63</v>
      </c>
      <c r="D1056" s="25" t="s">
        <v>64</v>
      </c>
      <c r="E1056" s="9">
        <v>7400000</v>
      </c>
      <c r="F1056" s="26">
        <v>0.88</v>
      </c>
      <c r="G1056" s="25">
        <v>90</v>
      </c>
      <c r="H1056" s="27">
        <v>4.3</v>
      </c>
      <c r="I1056" s="21" t="str">
        <f t="shared" si="64"/>
        <v>Cumple</v>
      </c>
      <c r="J1056" s="22" t="str">
        <f t="shared" si="65"/>
        <v>BONO</v>
      </c>
      <c r="K1056" s="23" t="str">
        <f t="shared" si="66"/>
        <v>OK</v>
      </c>
      <c r="L1056" s="24" t="str">
        <f t="shared" si="67"/>
        <v>Bueno</v>
      </c>
    </row>
    <row r="1057" spans="1:12" ht="18" customHeight="1" x14ac:dyDescent="0.3">
      <c r="A1057" s="18" t="s">
        <v>2161</v>
      </c>
      <c r="B1057" s="5" t="s">
        <v>2162</v>
      </c>
      <c r="C1057" s="18" t="s">
        <v>71</v>
      </c>
      <c r="D1057" s="18" t="s">
        <v>78</v>
      </c>
      <c r="E1057" s="6">
        <v>6300000</v>
      </c>
      <c r="F1057" s="19">
        <v>0.67</v>
      </c>
      <c r="G1057" s="18">
        <v>68</v>
      </c>
      <c r="H1057" s="20">
        <v>17.5</v>
      </c>
      <c r="I1057" s="21" t="str">
        <f t="shared" si="64"/>
        <v>No cumple</v>
      </c>
      <c r="J1057" s="22" t="str">
        <f t="shared" si="65"/>
        <v>Sin bono</v>
      </c>
      <c r="K1057" s="23" t="str">
        <f t="shared" si="66"/>
        <v>OK</v>
      </c>
      <c r="L1057" s="24" t="str">
        <f t="shared" si="67"/>
        <v>Revisar</v>
      </c>
    </row>
    <row r="1058" spans="1:12" ht="18" customHeight="1" x14ac:dyDescent="0.3">
      <c r="A1058" s="25" t="s">
        <v>2163</v>
      </c>
      <c r="B1058" s="8" t="s">
        <v>2164</v>
      </c>
      <c r="C1058" s="25" t="s">
        <v>63</v>
      </c>
      <c r="D1058" s="25" t="s">
        <v>60</v>
      </c>
      <c r="E1058" s="9">
        <v>11300000</v>
      </c>
      <c r="F1058" s="26">
        <v>0.94</v>
      </c>
      <c r="G1058" s="25">
        <v>53</v>
      </c>
      <c r="H1058" s="27">
        <v>16.600000000000001</v>
      </c>
      <c r="I1058" s="21" t="str">
        <f t="shared" si="64"/>
        <v>Cumple</v>
      </c>
      <c r="J1058" s="22" t="str">
        <f t="shared" si="65"/>
        <v>Sin bono</v>
      </c>
      <c r="K1058" s="23" t="str">
        <f t="shared" si="66"/>
        <v>OK</v>
      </c>
      <c r="L1058" s="24" t="str">
        <f t="shared" si="67"/>
        <v>Revisar</v>
      </c>
    </row>
    <row r="1059" spans="1:12" ht="18" customHeight="1" x14ac:dyDescent="0.3">
      <c r="A1059" s="18" t="s">
        <v>2165</v>
      </c>
      <c r="B1059" s="5" t="s">
        <v>2166</v>
      </c>
      <c r="C1059" s="18" t="s">
        <v>59</v>
      </c>
      <c r="D1059" s="18" t="s">
        <v>114</v>
      </c>
      <c r="E1059" s="6">
        <v>5300000</v>
      </c>
      <c r="F1059" s="19">
        <v>0.64</v>
      </c>
      <c r="G1059" s="18">
        <v>83</v>
      </c>
      <c r="H1059" s="20">
        <v>9.6</v>
      </c>
      <c r="I1059" s="21" t="str">
        <f t="shared" si="64"/>
        <v>No cumple</v>
      </c>
      <c r="J1059" s="22" t="str">
        <f t="shared" si="65"/>
        <v>Sin bono</v>
      </c>
      <c r="K1059" s="23" t="str">
        <f t="shared" si="66"/>
        <v>OK</v>
      </c>
      <c r="L1059" s="24" t="str">
        <f t="shared" si="67"/>
        <v>Revisar</v>
      </c>
    </row>
    <row r="1060" spans="1:12" ht="18" customHeight="1" x14ac:dyDescent="0.3">
      <c r="A1060" s="25" t="s">
        <v>2167</v>
      </c>
      <c r="B1060" s="8" t="s">
        <v>2168</v>
      </c>
      <c r="C1060" s="25" t="s">
        <v>71</v>
      </c>
      <c r="D1060" s="25" t="s">
        <v>68</v>
      </c>
      <c r="E1060" s="9">
        <v>5500000</v>
      </c>
      <c r="F1060" s="26">
        <v>0.64</v>
      </c>
      <c r="G1060" s="25">
        <v>54</v>
      </c>
      <c r="H1060" s="27">
        <v>19.399999999999999</v>
      </c>
      <c r="I1060" s="21" t="str">
        <f t="shared" si="64"/>
        <v>No cumple</v>
      </c>
      <c r="J1060" s="22" t="str">
        <f t="shared" si="65"/>
        <v>Sin bono</v>
      </c>
      <c r="K1060" s="23" t="str">
        <f t="shared" si="66"/>
        <v>OK</v>
      </c>
      <c r="L1060" s="24" t="str">
        <f t="shared" si="67"/>
        <v>Revisar</v>
      </c>
    </row>
    <row r="1061" spans="1:12" ht="18" customHeight="1" x14ac:dyDescent="0.3">
      <c r="A1061" s="18" t="s">
        <v>2169</v>
      </c>
      <c r="B1061" s="5" t="s">
        <v>2170</v>
      </c>
      <c r="C1061" s="18" t="s">
        <v>63</v>
      </c>
      <c r="D1061" s="18" t="s">
        <v>92</v>
      </c>
      <c r="E1061" s="6">
        <v>7300000</v>
      </c>
      <c r="F1061" s="19">
        <v>0.91</v>
      </c>
      <c r="G1061" s="18">
        <v>84</v>
      </c>
      <c r="H1061" s="20">
        <v>10.5</v>
      </c>
      <c r="I1061" s="21" t="str">
        <f t="shared" si="64"/>
        <v>Cumple</v>
      </c>
      <c r="J1061" s="22" t="str">
        <f t="shared" si="65"/>
        <v>BONO</v>
      </c>
      <c r="K1061" s="23" t="str">
        <f t="shared" si="66"/>
        <v>OK</v>
      </c>
      <c r="L1061" s="24" t="str">
        <f t="shared" si="67"/>
        <v>Bueno</v>
      </c>
    </row>
    <row r="1062" spans="1:12" ht="18" customHeight="1" x14ac:dyDescent="0.3">
      <c r="A1062" s="25" t="s">
        <v>2171</v>
      </c>
      <c r="B1062" s="8" t="s">
        <v>2172</v>
      </c>
      <c r="C1062" s="25" t="s">
        <v>77</v>
      </c>
      <c r="D1062" s="25" t="s">
        <v>78</v>
      </c>
      <c r="E1062" s="9">
        <v>10900000</v>
      </c>
      <c r="F1062" s="26">
        <v>0.69</v>
      </c>
      <c r="G1062" s="25">
        <v>34</v>
      </c>
      <c r="H1062" s="27">
        <v>13.4</v>
      </c>
      <c r="I1062" s="21" t="str">
        <f t="shared" si="64"/>
        <v>No cumple</v>
      </c>
      <c r="J1062" s="22" t="str">
        <f t="shared" si="65"/>
        <v>Sin bono</v>
      </c>
      <c r="K1062" s="23" t="str">
        <f t="shared" si="66"/>
        <v>ALERTA</v>
      </c>
      <c r="L1062" s="24" t="str">
        <f t="shared" si="67"/>
        <v>Revisar</v>
      </c>
    </row>
    <row r="1063" spans="1:12" ht="18" customHeight="1" x14ac:dyDescent="0.3">
      <c r="A1063" s="18" t="s">
        <v>2173</v>
      </c>
      <c r="B1063" s="5" t="s">
        <v>2174</v>
      </c>
      <c r="C1063" s="18" t="s">
        <v>63</v>
      </c>
      <c r="D1063" s="18" t="s">
        <v>60</v>
      </c>
      <c r="E1063" s="6">
        <v>2800000</v>
      </c>
      <c r="F1063" s="19">
        <v>0.95</v>
      </c>
      <c r="G1063" s="18">
        <v>83</v>
      </c>
      <c r="H1063" s="20">
        <v>0.7</v>
      </c>
      <c r="I1063" s="21" t="str">
        <f t="shared" si="64"/>
        <v>Cumple</v>
      </c>
      <c r="J1063" s="22" t="str">
        <f t="shared" si="65"/>
        <v>BONO</v>
      </c>
      <c r="K1063" s="23" t="str">
        <f t="shared" si="66"/>
        <v>OK</v>
      </c>
      <c r="L1063" s="24" t="str">
        <f t="shared" si="67"/>
        <v>Bueno</v>
      </c>
    </row>
    <row r="1064" spans="1:12" ht="18" customHeight="1" x14ac:dyDescent="0.3">
      <c r="A1064" s="25" t="s">
        <v>2175</v>
      </c>
      <c r="B1064" s="8" t="s">
        <v>2176</v>
      </c>
      <c r="C1064" s="25" t="s">
        <v>91</v>
      </c>
      <c r="D1064" s="25" t="s">
        <v>78</v>
      </c>
      <c r="E1064" s="9">
        <v>10100000</v>
      </c>
      <c r="F1064" s="26">
        <v>0.66</v>
      </c>
      <c r="G1064" s="25">
        <v>46</v>
      </c>
      <c r="H1064" s="27">
        <v>19.7</v>
      </c>
      <c r="I1064" s="21" t="str">
        <f t="shared" si="64"/>
        <v>No cumple</v>
      </c>
      <c r="J1064" s="22" t="str">
        <f t="shared" si="65"/>
        <v>Sin bono</v>
      </c>
      <c r="K1064" s="23" t="str">
        <f t="shared" si="66"/>
        <v>ALERTA</v>
      </c>
      <c r="L1064" s="24" t="str">
        <f t="shared" si="67"/>
        <v>Revisar</v>
      </c>
    </row>
    <row r="1065" spans="1:12" ht="18" customHeight="1" x14ac:dyDescent="0.3">
      <c r="A1065" s="18" t="s">
        <v>2177</v>
      </c>
      <c r="B1065" s="5" t="s">
        <v>2178</v>
      </c>
      <c r="C1065" s="18" t="s">
        <v>67</v>
      </c>
      <c r="D1065" s="18" t="s">
        <v>60</v>
      </c>
      <c r="E1065" s="6">
        <v>6600000</v>
      </c>
      <c r="F1065" s="19">
        <v>0.56000000000000005</v>
      </c>
      <c r="G1065" s="18">
        <v>61</v>
      </c>
      <c r="H1065" s="20">
        <v>14.5</v>
      </c>
      <c r="I1065" s="21" t="str">
        <f t="shared" si="64"/>
        <v>No cumple</v>
      </c>
      <c r="J1065" s="22" t="str">
        <f t="shared" si="65"/>
        <v>Sin bono</v>
      </c>
      <c r="K1065" s="23" t="str">
        <f t="shared" si="66"/>
        <v>ALERTA</v>
      </c>
      <c r="L1065" s="24" t="str">
        <f t="shared" si="67"/>
        <v>Revisar</v>
      </c>
    </row>
    <row r="1066" spans="1:12" ht="18" customHeight="1" x14ac:dyDescent="0.3">
      <c r="A1066" s="25" t="s">
        <v>2179</v>
      </c>
      <c r="B1066" s="8" t="s">
        <v>2180</v>
      </c>
      <c r="C1066" s="25" t="s">
        <v>91</v>
      </c>
      <c r="D1066" s="25" t="s">
        <v>68</v>
      </c>
      <c r="E1066" s="9">
        <v>3700000</v>
      </c>
      <c r="F1066" s="26">
        <v>0.72</v>
      </c>
      <c r="G1066" s="25">
        <v>39</v>
      </c>
      <c r="H1066" s="27">
        <v>4.2</v>
      </c>
      <c r="I1066" s="21" t="str">
        <f t="shared" si="64"/>
        <v>No cumple</v>
      </c>
      <c r="J1066" s="22" t="str">
        <f t="shared" si="65"/>
        <v>Sin bono</v>
      </c>
      <c r="K1066" s="23" t="str">
        <f t="shared" si="66"/>
        <v>ALERTA</v>
      </c>
      <c r="L1066" s="24" t="str">
        <f t="shared" si="67"/>
        <v>Revisar</v>
      </c>
    </row>
    <row r="1067" spans="1:12" ht="18" customHeight="1" x14ac:dyDescent="0.3">
      <c r="A1067" s="18" t="s">
        <v>2181</v>
      </c>
      <c r="B1067" s="5" t="s">
        <v>2182</v>
      </c>
      <c r="C1067" s="18" t="s">
        <v>59</v>
      </c>
      <c r="D1067" s="18" t="s">
        <v>64</v>
      </c>
      <c r="E1067" s="6">
        <v>5000000</v>
      </c>
      <c r="F1067" s="19">
        <v>0.81</v>
      </c>
      <c r="G1067" s="18">
        <v>34</v>
      </c>
      <c r="H1067" s="20">
        <v>2.2999999999999998</v>
      </c>
      <c r="I1067" s="21" t="str">
        <f t="shared" si="64"/>
        <v>Cumple</v>
      </c>
      <c r="J1067" s="22" t="str">
        <f t="shared" si="65"/>
        <v>Sin bono</v>
      </c>
      <c r="K1067" s="23" t="str">
        <f t="shared" si="66"/>
        <v>ALERTA</v>
      </c>
      <c r="L1067" s="24" t="str">
        <f t="shared" si="67"/>
        <v>Revisar</v>
      </c>
    </row>
    <row r="1068" spans="1:12" ht="18" customHeight="1" x14ac:dyDescent="0.3">
      <c r="A1068" s="25" t="s">
        <v>2183</v>
      </c>
      <c r="B1068" s="8" t="s">
        <v>2184</v>
      </c>
      <c r="C1068" s="25" t="s">
        <v>91</v>
      </c>
      <c r="D1068" s="25" t="s">
        <v>114</v>
      </c>
      <c r="E1068" s="9">
        <v>9400000</v>
      </c>
      <c r="F1068" s="26">
        <v>0.86</v>
      </c>
      <c r="G1068" s="25">
        <v>45</v>
      </c>
      <c r="H1068" s="27">
        <v>3.9</v>
      </c>
      <c r="I1068" s="21" t="str">
        <f t="shared" si="64"/>
        <v>Cumple</v>
      </c>
      <c r="J1068" s="22" t="str">
        <f t="shared" si="65"/>
        <v>Sin bono</v>
      </c>
      <c r="K1068" s="23" t="str">
        <f t="shared" si="66"/>
        <v>ALERTA</v>
      </c>
      <c r="L1068" s="24" t="str">
        <f t="shared" si="67"/>
        <v>Revisar</v>
      </c>
    </row>
    <row r="1069" spans="1:12" ht="18" customHeight="1" x14ac:dyDescent="0.3">
      <c r="A1069" s="18" t="s">
        <v>2185</v>
      </c>
      <c r="B1069" s="5" t="s">
        <v>2186</v>
      </c>
      <c r="C1069" s="18" t="s">
        <v>67</v>
      </c>
      <c r="D1069" s="18" t="s">
        <v>78</v>
      </c>
      <c r="E1069" s="6">
        <v>7200000</v>
      </c>
      <c r="F1069" s="19">
        <v>0.84</v>
      </c>
      <c r="G1069" s="18">
        <v>67</v>
      </c>
      <c r="H1069" s="20">
        <v>9.3000000000000007</v>
      </c>
      <c r="I1069" s="21" t="str">
        <f t="shared" si="64"/>
        <v>Cumple</v>
      </c>
      <c r="J1069" s="22" t="str">
        <f t="shared" si="65"/>
        <v>Sin bono</v>
      </c>
      <c r="K1069" s="23" t="str">
        <f t="shared" si="66"/>
        <v>OK</v>
      </c>
      <c r="L1069" s="24" t="str">
        <f t="shared" si="67"/>
        <v>Revisar</v>
      </c>
    </row>
    <row r="1070" spans="1:12" ht="18" customHeight="1" x14ac:dyDescent="0.3">
      <c r="A1070" s="25" t="s">
        <v>2187</v>
      </c>
      <c r="B1070" s="8" t="s">
        <v>2188</v>
      </c>
      <c r="C1070" s="25" t="s">
        <v>59</v>
      </c>
      <c r="D1070" s="25" t="s">
        <v>114</v>
      </c>
      <c r="E1070" s="9">
        <v>5400000</v>
      </c>
      <c r="F1070" s="26">
        <v>0.97</v>
      </c>
      <c r="G1070" s="25">
        <v>92</v>
      </c>
      <c r="H1070" s="27">
        <v>8.6999999999999993</v>
      </c>
      <c r="I1070" s="21" t="str">
        <f t="shared" si="64"/>
        <v>Cumple</v>
      </c>
      <c r="J1070" s="22" t="str">
        <f t="shared" si="65"/>
        <v>BONO</v>
      </c>
      <c r="K1070" s="23" t="str">
        <f t="shared" si="66"/>
        <v>OK</v>
      </c>
      <c r="L1070" s="24" t="str">
        <f t="shared" si="67"/>
        <v>Excelente</v>
      </c>
    </row>
    <row r="1071" spans="1:12" ht="18" customHeight="1" x14ac:dyDescent="0.3">
      <c r="A1071" s="18" t="s">
        <v>2189</v>
      </c>
      <c r="B1071" s="5" t="s">
        <v>2190</v>
      </c>
      <c r="C1071" s="18" t="s">
        <v>59</v>
      </c>
      <c r="D1071" s="18" t="s">
        <v>92</v>
      </c>
      <c r="E1071" s="6">
        <v>10700000</v>
      </c>
      <c r="F1071" s="19">
        <v>0.51</v>
      </c>
      <c r="G1071" s="18">
        <v>79</v>
      </c>
      <c r="H1071" s="20">
        <v>8.6</v>
      </c>
      <c r="I1071" s="21" t="str">
        <f t="shared" si="64"/>
        <v>No cumple</v>
      </c>
      <c r="J1071" s="22" t="str">
        <f t="shared" si="65"/>
        <v>Sin bono</v>
      </c>
      <c r="K1071" s="23" t="str">
        <f t="shared" si="66"/>
        <v>ALERTA</v>
      </c>
      <c r="L1071" s="24" t="str">
        <f t="shared" si="67"/>
        <v>Revisar</v>
      </c>
    </row>
    <row r="1072" spans="1:12" ht="18" customHeight="1" x14ac:dyDescent="0.3">
      <c r="A1072" s="25" t="s">
        <v>2191</v>
      </c>
      <c r="B1072" s="8" t="s">
        <v>2192</v>
      </c>
      <c r="C1072" s="25" t="s">
        <v>71</v>
      </c>
      <c r="D1072" s="25" t="s">
        <v>64</v>
      </c>
      <c r="E1072" s="9">
        <v>9300000</v>
      </c>
      <c r="F1072" s="26">
        <v>0.59</v>
      </c>
      <c r="G1072" s="25">
        <v>82</v>
      </c>
      <c r="H1072" s="27">
        <v>5.9</v>
      </c>
      <c r="I1072" s="21" t="str">
        <f t="shared" si="64"/>
        <v>No cumple</v>
      </c>
      <c r="J1072" s="22" t="str">
        <f t="shared" si="65"/>
        <v>Sin bono</v>
      </c>
      <c r="K1072" s="23" t="str">
        <f t="shared" si="66"/>
        <v>ALERTA</v>
      </c>
      <c r="L1072" s="24" t="str">
        <f t="shared" si="67"/>
        <v>Revisar</v>
      </c>
    </row>
    <row r="1073" spans="1:12" ht="18" customHeight="1" x14ac:dyDescent="0.3">
      <c r="A1073" s="18" t="s">
        <v>2193</v>
      </c>
      <c r="B1073" s="5" t="s">
        <v>2194</v>
      </c>
      <c r="C1073" s="18" t="s">
        <v>59</v>
      </c>
      <c r="D1073" s="18" t="s">
        <v>60</v>
      </c>
      <c r="E1073" s="6">
        <v>9500000</v>
      </c>
      <c r="F1073" s="19">
        <v>0.56999999999999995</v>
      </c>
      <c r="G1073" s="18">
        <v>65</v>
      </c>
      <c r="H1073" s="20">
        <v>14.3</v>
      </c>
      <c r="I1073" s="21" t="str">
        <f t="shared" si="64"/>
        <v>No cumple</v>
      </c>
      <c r="J1073" s="22" t="str">
        <f t="shared" si="65"/>
        <v>Sin bono</v>
      </c>
      <c r="K1073" s="23" t="str">
        <f t="shared" si="66"/>
        <v>ALERTA</v>
      </c>
      <c r="L1073" s="24" t="str">
        <f t="shared" si="67"/>
        <v>Revisar</v>
      </c>
    </row>
    <row r="1074" spans="1:12" ht="18" customHeight="1" x14ac:dyDescent="0.3">
      <c r="A1074" s="25" t="s">
        <v>2195</v>
      </c>
      <c r="B1074" s="8" t="s">
        <v>2196</v>
      </c>
      <c r="C1074" s="25" t="s">
        <v>81</v>
      </c>
      <c r="D1074" s="25" t="s">
        <v>92</v>
      </c>
      <c r="E1074" s="9">
        <v>7900000</v>
      </c>
      <c r="F1074" s="26">
        <v>0.49</v>
      </c>
      <c r="G1074" s="25">
        <v>70</v>
      </c>
      <c r="H1074" s="27">
        <v>9.9</v>
      </c>
      <c r="I1074" s="21" t="str">
        <f t="shared" si="64"/>
        <v>No cumple</v>
      </c>
      <c r="J1074" s="22" t="str">
        <f t="shared" si="65"/>
        <v>Sin bono</v>
      </c>
      <c r="K1074" s="23" t="str">
        <f t="shared" si="66"/>
        <v>ALERTA</v>
      </c>
      <c r="L1074" s="24" t="str">
        <f t="shared" si="67"/>
        <v>Revisar</v>
      </c>
    </row>
    <row r="1075" spans="1:12" ht="18" customHeight="1" x14ac:dyDescent="0.3">
      <c r="A1075" s="18" t="s">
        <v>2197</v>
      </c>
      <c r="B1075" s="5" t="s">
        <v>2198</v>
      </c>
      <c r="C1075" s="18" t="s">
        <v>59</v>
      </c>
      <c r="D1075" s="18" t="s">
        <v>105</v>
      </c>
      <c r="E1075" s="6">
        <v>9100000</v>
      </c>
      <c r="F1075" s="19">
        <v>0.92</v>
      </c>
      <c r="G1075" s="18">
        <v>45</v>
      </c>
      <c r="H1075" s="20">
        <v>16.899999999999999</v>
      </c>
      <c r="I1075" s="21" t="str">
        <f t="shared" si="64"/>
        <v>Cumple</v>
      </c>
      <c r="J1075" s="22" t="str">
        <f t="shared" si="65"/>
        <v>Sin bono</v>
      </c>
      <c r="K1075" s="23" t="str">
        <f t="shared" si="66"/>
        <v>ALERTA</v>
      </c>
      <c r="L1075" s="24" t="str">
        <f t="shared" si="67"/>
        <v>Revisar</v>
      </c>
    </row>
    <row r="1076" spans="1:12" ht="18" customHeight="1" x14ac:dyDescent="0.3">
      <c r="A1076" s="25" t="s">
        <v>2199</v>
      </c>
      <c r="B1076" s="8" t="s">
        <v>2200</v>
      </c>
      <c r="C1076" s="25" t="s">
        <v>71</v>
      </c>
      <c r="D1076" s="25" t="s">
        <v>114</v>
      </c>
      <c r="E1076" s="9">
        <v>10200000</v>
      </c>
      <c r="F1076" s="26">
        <v>0.7</v>
      </c>
      <c r="G1076" s="25">
        <v>46</v>
      </c>
      <c r="H1076" s="27">
        <v>6.4</v>
      </c>
      <c r="I1076" s="21" t="str">
        <f t="shared" si="64"/>
        <v>No cumple</v>
      </c>
      <c r="J1076" s="22" t="str">
        <f t="shared" si="65"/>
        <v>Sin bono</v>
      </c>
      <c r="K1076" s="23" t="str">
        <f t="shared" si="66"/>
        <v>ALERTA</v>
      </c>
      <c r="L1076" s="24" t="str">
        <f t="shared" si="67"/>
        <v>Revisar</v>
      </c>
    </row>
    <row r="1077" spans="1:12" ht="18" customHeight="1" x14ac:dyDescent="0.3">
      <c r="A1077" s="18" t="s">
        <v>2201</v>
      </c>
      <c r="B1077" s="5" t="s">
        <v>2202</v>
      </c>
      <c r="C1077" s="18" t="s">
        <v>81</v>
      </c>
      <c r="D1077" s="18" t="s">
        <v>88</v>
      </c>
      <c r="E1077" s="6">
        <v>11800000</v>
      </c>
      <c r="F1077" s="19">
        <v>0.7</v>
      </c>
      <c r="G1077" s="18">
        <v>49</v>
      </c>
      <c r="H1077" s="20">
        <v>17</v>
      </c>
      <c r="I1077" s="21" t="str">
        <f t="shared" si="64"/>
        <v>No cumple</v>
      </c>
      <c r="J1077" s="22" t="str">
        <f t="shared" si="65"/>
        <v>Sin bono</v>
      </c>
      <c r="K1077" s="23" t="str">
        <f t="shared" si="66"/>
        <v>ALERTA</v>
      </c>
      <c r="L1077" s="24" t="str">
        <f t="shared" si="67"/>
        <v>Revisar</v>
      </c>
    </row>
    <row r="1078" spans="1:12" ht="18" customHeight="1" x14ac:dyDescent="0.3">
      <c r="A1078" s="25" t="s">
        <v>2203</v>
      </c>
      <c r="B1078" s="8" t="s">
        <v>2204</v>
      </c>
      <c r="C1078" s="25" t="s">
        <v>91</v>
      </c>
      <c r="D1078" s="25" t="s">
        <v>105</v>
      </c>
      <c r="E1078" s="9">
        <v>5100000</v>
      </c>
      <c r="F1078" s="26">
        <v>0.6</v>
      </c>
      <c r="G1078" s="25">
        <v>90</v>
      </c>
      <c r="H1078" s="27">
        <v>13.2</v>
      </c>
      <c r="I1078" s="21" t="str">
        <f t="shared" si="64"/>
        <v>No cumple</v>
      </c>
      <c r="J1078" s="22" t="str">
        <f t="shared" si="65"/>
        <v>Sin bono</v>
      </c>
      <c r="K1078" s="23" t="str">
        <f t="shared" si="66"/>
        <v>OK</v>
      </c>
      <c r="L1078" s="24" t="str">
        <f t="shared" si="67"/>
        <v>Revisar</v>
      </c>
    </row>
    <row r="1079" spans="1:12" ht="18" customHeight="1" x14ac:dyDescent="0.3">
      <c r="A1079" s="18" t="s">
        <v>2205</v>
      </c>
      <c r="B1079" s="5" t="s">
        <v>2206</v>
      </c>
      <c r="C1079" s="18" t="s">
        <v>74</v>
      </c>
      <c r="D1079" s="18" t="s">
        <v>92</v>
      </c>
      <c r="E1079" s="6">
        <v>8300000</v>
      </c>
      <c r="F1079" s="19">
        <v>0.56999999999999995</v>
      </c>
      <c r="G1079" s="18">
        <v>80</v>
      </c>
      <c r="H1079" s="20">
        <v>10</v>
      </c>
      <c r="I1079" s="21" t="str">
        <f t="shared" si="64"/>
        <v>No cumple</v>
      </c>
      <c r="J1079" s="22" t="str">
        <f t="shared" si="65"/>
        <v>Sin bono</v>
      </c>
      <c r="K1079" s="23" t="str">
        <f t="shared" si="66"/>
        <v>ALERTA</v>
      </c>
      <c r="L1079" s="24" t="str">
        <f t="shared" si="67"/>
        <v>Revisar</v>
      </c>
    </row>
    <row r="1080" spans="1:12" ht="18" customHeight="1" x14ac:dyDescent="0.3">
      <c r="A1080" s="25" t="s">
        <v>2207</v>
      </c>
      <c r="B1080" s="8" t="s">
        <v>2208</v>
      </c>
      <c r="C1080" s="25" t="s">
        <v>91</v>
      </c>
      <c r="D1080" s="25" t="s">
        <v>105</v>
      </c>
      <c r="E1080" s="9">
        <v>6200000</v>
      </c>
      <c r="F1080" s="26">
        <v>0.65</v>
      </c>
      <c r="G1080" s="25">
        <v>36</v>
      </c>
      <c r="H1080" s="27">
        <v>13</v>
      </c>
      <c r="I1080" s="21" t="str">
        <f t="shared" si="64"/>
        <v>No cumple</v>
      </c>
      <c r="J1080" s="22" t="str">
        <f t="shared" si="65"/>
        <v>Sin bono</v>
      </c>
      <c r="K1080" s="23" t="str">
        <f t="shared" si="66"/>
        <v>ALERTA</v>
      </c>
      <c r="L1080" s="24" t="str">
        <f t="shared" si="67"/>
        <v>Revisar</v>
      </c>
    </row>
    <row r="1081" spans="1:12" ht="18" customHeight="1" x14ac:dyDescent="0.3">
      <c r="A1081" s="18" t="s">
        <v>2209</v>
      </c>
      <c r="B1081" s="5" t="s">
        <v>2210</v>
      </c>
      <c r="C1081" s="18" t="s">
        <v>77</v>
      </c>
      <c r="D1081" s="18" t="s">
        <v>68</v>
      </c>
      <c r="E1081" s="6">
        <v>4100000</v>
      </c>
      <c r="F1081" s="19">
        <v>0.82</v>
      </c>
      <c r="G1081" s="18">
        <v>61</v>
      </c>
      <c r="H1081" s="20">
        <v>19.2</v>
      </c>
      <c r="I1081" s="21" t="str">
        <f t="shared" si="64"/>
        <v>Cumple</v>
      </c>
      <c r="J1081" s="22" t="str">
        <f t="shared" si="65"/>
        <v>Sin bono</v>
      </c>
      <c r="K1081" s="23" t="str">
        <f t="shared" si="66"/>
        <v>OK</v>
      </c>
      <c r="L1081" s="24" t="str">
        <f t="shared" si="67"/>
        <v>Revisar</v>
      </c>
    </row>
    <row r="1082" spans="1:12" ht="18" customHeight="1" x14ac:dyDescent="0.3">
      <c r="A1082" s="25" t="s">
        <v>2211</v>
      </c>
      <c r="B1082" s="8" t="s">
        <v>2212</v>
      </c>
      <c r="C1082" s="25" t="s">
        <v>67</v>
      </c>
      <c r="D1082" s="25" t="s">
        <v>88</v>
      </c>
      <c r="E1082" s="9">
        <v>9100000</v>
      </c>
      <c r="F1082" s="26">
        <v>0.56000000000000005</v>
      </c>
      <c r="G1082" s="25">
        <v>56</v>
      </c>
      <c r="H1082" s="27">
        <v>7</v>
      </c>
      <c r="I1082" s="21" t="str">
        <f t="shared" si="64"/>
        <v>No cumple</v>
      </c>
      <c r="J1082" s="22" t="str">
        <f t="shared" si="65"/>
        <v>Sin bono</v>
      </c>
      <c r="K1082" s="23" t="str">
        <f t="shared" si="66"/>
        <v>ALERTA</v>
      </c>
      <c r="L1082" s="24" t="str">
        <f t="shared" si="67"/>
        <v>Revisar</v>
      </c>
    </row>
    <row r="1083" spans="1:12" ht="18" customHeight="1" x14ac:dyDescent="0.3">
      <c r="A1083" s="18" t="s">
        <v>2213</v>
      </c>
      <c r="B1083" s="5" t="s">
        <v>2214</v>
      </c>
      <c r="C1083" s="18" t="s">
        <v>59</v>
      </c>
      <c r="D1083" s="18" t="s">
        <v>60</v>
      </c>
      <c r="E1083" s="6">
        <v>4900000</v>
      </c>
      <c r="F1083" s="19">
        <v>0.62</v>
      </c>
      <c r="G1083" s="18">
        <v>38</v>
      </c>
      <c r="H1083" s="20">
        <v>3.3</v>
      </c>
      <c r="I1083" s="21" t="str">
        <f t="shared" si="64"/>
        <v>No cumple</v>
      </c>
      <c r="J1083" s="22" t="str">
        <f t="shared" si="65"/>
        <v>Sin bono</v>
      </c>
      <c r="K1083" s="23" t="str">
        <f t="shared" si="66"/>
        <v>ALERTA</v>
      </c>
      <c r="L1083" s="24" t="str">
        <f t="shared" si="67"/>
        <v>Revisar</v>
      </c>
    </row>
    <row r="1084" spans="1:12" ht="18" customHeight="1" x14ac:dyDescent="0.3">
      <c r="A1084" s="25" t="s">
        <v>2215</v>
      </c>
      <c r="B1084" s="8" t="s">
        <v>2216</v>
      </c>
      <c r="C1084" s="25" t="s">
        <v>81</v>
      </c>
      <c r="D1084" s="25" t="s">
        <v>64</v>
      </c>
      <c r="E1084" s="9">
        <v>5000000</v>
      </c>
      <c r="F1084" s="26">
        <v>0.99</v>
      </c>
      <c r="G1084" s="25">
        <v>39</v>
      </c>
      <c r="H1084" s="27">
        <v>3.4</v>
      </c>
      <c r="I1084" s="21" t="str">
        <f t="shared" si="64"/>
        <v>Cumple</v>
      </c>
      <c r="J1084" s="22" t="str">
        <f t="shared" si="65"/>
        <v>Sin bono</v>
      </c>
      <c r="K1084" s="23" t="str">
        <f t="shared" si="66"/>
        <v>ALERTA</v>
      </c>
      <c r="L1084" s="24" t="str">
        <f t="shared" si="67"/>
        <v>Revisar</v>
      </c>
    </row>
    <row r="1085" spans="1:12" ht="18" customHeight="1" x14ac:dyDescent="0.3">
      <c r="A1085" s="18" t="s">
        <v>2217</v>
      </c>
      <c r="B1085" s="5" t="s">
        <v>2218</v>
      </c>
      <c r="C1085" s="18" t="s">
        <v>71</v>
      </c>
      <c r="D1085" s="18" t="s">
        <v>78</v>
      </c>
      <c r="E1085" s="6">
        <v>4000000</v>
      </c>
      <c r="F1085" s="19">
        <v>0.62</v>
      </c>
      <c r="G1085" s="18">
        <v>72</v>
      </c>
      <c r="H1085" s="20">
        <v>9.1</v>
      </c>
      <c r="I1085" s="21" t="str">
        <f t="shared" si="64"/>
        <v>No cumple</v>
      </c>
      <c r="J1085" s="22" t="str">
        <f t="shared" si="65"/>
        <v>Sin bono</v>
      </c>
      <c r="K1085" s="23" t="str">
        <f t="shared" si="66"/>
        <v>OK</v>
      </c>
      <c r="L1085" s="24" t="str">
        <f t="shared" si="67"/>
        <v>Revisar</v>
      </c>
    </row>
    <row r="1086" spans="1:12" ht="18" customHeight="1" x14ac:dyDescent="0.3">
      <c r="A1086" s="25" t="s">
        <v>2219</v>
      </c>
      <c r="B1086" s="8" t="s">
        <v>2220</v>
      </c>
      <c r="C1086" s="25" t="s">
        <v>77</v>
      </c>
      <c r="D1086" s="25" t="s">
        <v>114</v>
      </c>
      <c r="E1086" s="9">
        <v>6100000</v>
      </c>
      <c r="F1086" s="26">
        <v>0.95</v>
      </c>
      <c r="G1086" s="25">
        <v>74</v>
      </c>
      <c r="H1086" s="27">
        <v>17.8</v>
      </c>
      <c r="I1086" s="21" t="str">
        <f t="shared" si="64"/>
        <v>Cumple</v>
      </c>
      <c r="J1086" s="22" t="str">
        <f t="shared" si="65"/>
        <v>BONO</v>
      </c>
      <c r="K1086" s="23" t="str">
        <f t="shared" si="66"/>
        <v>OK</v>
      </c>
      <c r="L1086" s="24" t="str">
        <f t="shared" si="67"/>
        <v>Bueno</v>
      </c>
    </row>
    <row r="1087" spans="1:12" ht="18" customHeight="1" x14ac:dyDescent="0.3">
      <c r="A1087" s="18" t="s">
        <v>2221</v>
      </c>
      <c r="B1087" s="5" t="s">
        <v>2222</v>
      </c>
      <c r="C1087" s="18" t="s">
        <v>59</v>
      </c>
      <c r="D1087" s="18" t="s">
        <v>114</v>
      </c>
      <c r="E1087" s="6">
        <v>6600000</v>
      </c>
      <c r="F1087" s="19">
        <v>0.72</v>
      </c>
      <c r="G1087" s="18">
        <v>38</v>
      </c>
      <c r="H1087" s="20">
        <v>16</v>
      </c>
      <c r="I1087" s="21" t="str">
        <f t="shared" si="64"/>
        <v>No cumple</v>
      </c>
      <c r="J1087" s="22" t="str">
        <f t="shared" si="65"/>
        <v>Sin bono</v>
      </c>
      <c r="K1087" s="23" t="str">
        <f t="shared" si="66"/>
        <v>ALERTA</v>
      </c>
      <c r="L1087" s="24" t="str">
        <f t="shared" si="67"/>
        <v>Revisar</v>
      </c>
    </row>
    <row r="1088" spans="1:12" ht="18" customHeight="1" x14ac:dyDescent="0.3">
      <c r="A1088" s="25" t="s">
        <v>2223</v>
      </c>
      <c r="B1088" s="8" t="s">
        <v>2224</v>
      </c>
      <c r="C1088" s="25" t="s">
        <v>59</v>
      </c>
      <c r="D1088" s="25" t="s">
        <v>64</v>
      </c>
      <c r="E1088" s="9">
        <v>8300000</v>
      </c>
      <c r="F1088" s="26">
        <v>0.64</v>
      </c>
      <c r="G1088" s="25">
        <v>30</v>
      </c>
      <c r="H1088" s="27">
        <v>1</v>
      </c>
      <c r="I1088" s="21" t="str">
        <f t="shared" si="64"/>
        <v>No cumple</v>
      </c>
      <c r="J1088" s="22" t="str">
        <f t="shared" si="65"/>
        <v>Sin bono</v>
      </c>
      <c r="K1088" s="23" t="str">
        <f t="shared" si="66"/>
        <v>ALERTA</v>
      </c>
      <c r="L1088" s="24" t="str">
        <f t="shared" si="67"/>
        <v>Revisar</v>
      </c>
    </row>
    <row r="1089" spans="1:12" ht="18" customHeight="1" x14ac:dyDescent="0.3">
      <c r="A1089" s="18" t="s">
        <v>2225</v>
      </c>
      <c r="B1089" s="5" t="s">
        <v>2226</v>
      </c>
      <c r="C1089" s="18" t="s">
        <v>71</v>
      </c>
      <c r="D1089" s="18" t="s">
        <v>78</v>
      </c>
      <c r="E1089" s="6">
        <v>11900000</v>
      </c>
      <c r="F1089" s="19">
        <v>0.6</v>
      </c>
      <c r="G1089" s="18">
        <v>55</v>
      </c>
      <c r="H1089" s="20">
        <v>8.6</v>
      </c>
      <c r="I1089" s="21" t="str">
        <f t="shared" si="64"/>
        <v>No cumple</v>
      </c>
      <c r="J1089" s="22" t="str">
        <f t="shared" si="65"/>
        <v>Sin bono</v>
      </c>
      <c r="K1089" s="23" t="str">
        <f t="shared" si="66"/>
        <v>OK</v>
      </c>
      <c r="L1089" s="24" t="str">
        <f t="shared" si="67"/>
        <v>Revisar</v>
      </c>
    </row>
    <row r="1090" spans="1:12" ht="18" customHeight="1" x14ac:dyDescent="0.3">
      <c r="A1090" s="25" t="s">
        <v>2227</v>
      </c>
      <c r="B1090" s="8" t="s">
        <v>2228</v>
      </c>
      <c r="C1090" s="25" t="s">
        <v>77</v>
      </c>
      <c r="D1090" s="25" t="s">
        <v>114</v>
      </c>
      <c r="E1090" s="9">
        <v>7600000</v>
      </c>
      <c r="F1090" s="26">
        <v>0.88</v>
      </c>
      <c r="G1090" s="25">
        <v>85</v>
      </c>
      <c r="H1090" s="27">
        <v>1.9</v>
      </c>
      <c r="I1090" s="21" t="str">
        <f t="shared" si="64"/>
        <v>Cumple</v>
      </c>
      <c r="J1090" s="22" t="str">
        <f t="shared" si="65"/>
        <v>BONO</v>
      </c>
      <c r="K1090" s="23" t="str">
        <f t="shared" si="66"/>
        <v>OK</v>
      </c>
      <c r="L1090" s="24" t="str">
        <f t="shared" si="67"/>
        <v>Bueno</v>
      </c>
    </row>
    <row r="1091" spans="1:12" ht="18" customHeight="1" x14ac:dyDescent="0.3">
      <c r="A1091" s="18" t="s">
        <v>2229</v>
      </c>
      <c r="B1091" s="5" t="s">
        <v>2230</v>
      </c>
      <c r="C1091" s="18" t="s">
        <v>63</v>
      </c>
      <c r="D1091" s="18" t="s">
        <v>78</v>
      </c>
      <c r="E1091" s="6">
        <v>4500000</v>
      </c>
      <c r="F1091" s="19">
        <v>0.79</v>
      </c>
      <c r="G1091" s="18">
        <v>68</v>
      </c>
      <c r="H1091" s="20">
        <v>15.7</v>
      </c>
      <c r="I1091" s="21" t="str">
        <f t="shared" si="64"/>
        <v>No cumple</v>
      </c>
      <c r="J1091" s="22" t="str">
        <f t="shared" si="65"/>
        <v>Sin bono</v>
      </c>
      <c r="K1091" s="23" t="str">
        <f t="shared" si="66"/>
        <v>OK</v>
      </c>
      <c r="L1091" s="24" t="str">
        <f t="shared" si="67"/>
        <v>Revisar</v>
      </c>
    </row>
    <row r="1092" spans="1:12" ht="18" customHeight="1" x14ac:dyDescent="0.3">
      <c r="A1092" s="25" t="s">
        <v>2231</v>
      </c>
      <c r="B1092" s="8" t="s">
        <v>2232</v>
      </c>
      <c r="C1092" s="25" t="s">
        <v>59</v>
      </c>
      <c r="D1092" s="25" t="s">
        <v>64</v>
      </c>
      <c r="E1092" s="9">
        <v>7800000</v>
      </c>
      <c r="F1092" s="26">
        <v>0.52</v>
      </c>
      <c r="G1092" s="25">
        <v>30</v>
      </c>
      <c r="H1092" s="27">
        <v>9.3000000000000007</v>
      </c>
      <c r="I1092" s="21" t="str">
        <f t="shared" si="64"/>
        <v>No cumple</v>
      </c>
      <c r="J1092" s="22" t="str">
        <f t="shared" si="65"/>
        <v>Sin bono</v>
      </c>
      <c r="K1092" s="23" t="str">
        <f t="shared" si="66"/>
        <v>ALERTA</v>
      </c>
      <c r="L1092" s="24" t="str">
        <f t="shared" si="67"/>
        <v>Revisar</v>
      </c>
    </row>
    <row r="1093" spans="1:12" ht="18" customHeight="1" x14ac:dyDescent="0.3">
      <c r="A1093" s="18" t="s">
        <v>2233</v>
      </c>
      <c r="B1093" s="5" t="s">
        <v>2234</v>
      </c>
      <c r="C1093" s="18" t="s">
        <v>91</v>
      </c>
      <c r="D1093" s="18" t="s">
        <v>88</v>
      </c>
      <c r="E1093" s="6">
        <v>11100000</v>
      </c>
      <c r="F1093" s="19">
        <v>0.51</v>
      </c>
      <c r="G1093" s="18">
        <v>42</v>
      </c>
      <c r="H1093" s="20">
        <v>16.399999999999999</v>
      </c>
      <c r="I1093" s="21" t="str">
        <f t="shared" si="64"/>
        <v>No cumple</v>
      </c>
      <c r="J1093" s="22" t="str">
        <f t="shared" si="65"/>
        <v>Sin bono</v>
      </c>
      <c r="K1093" s="23" t="str">
        <f t="shared" si="66"/>
        <v>ALERTA</v>
      </c>
      <c r="L1093" s="24" t="str">
        <f t="shared" si="67"/>
        <v>Revisar</v>
      </c>
    </row>
    <row r="1094" spans="1:12" ht="18" customHeight="1" x14ac:dyDescent="0.3">
      <c r="A1094" s="25" t="s">
        <v>2235</v>
      </c>
      <c r="B1094" s="8" t="s">
        <v>2236</v>
      </c>
      <c r="C1094" s="25" t="s">
        <v>71</v>
      </c>
      <c r="D1094" s="25" t="s">
        <v>78</v>
      </c>
      <c r="E1094" s="9">
        <v>9400000</v>
      </c>
      <c r="F1094" s="26">
        <v>0.5</v>
      </c>
      <c r="G1094" s="25">
        <v>56</v>
      </c>
      <c r="H1094" s="27">
        <v>2.1</v>
      </c>
      <c r="I1094" s="21" t="str">
        <f t="shared" si="64"/>
        <v>No cumple</v>
      </c>
      <c r="J1094" s="22" t="str">
        <f t="shared" si="65"/>
        <v>Sin bono</v>
      </c>
      <c r="K1094" s="23" t="str">
        <f t="shared" si="66"/>
        <v>ALERTA</v>
      </c>
      <c r="L1094" s="24" t="str">
        <f t="shared" si="67"/>
        <v>Revisar</v>
      </c>
    </row>
    <row r="1095" spans="1:12" ht="18" customHeight="1" x14ac:dyDescent="0.3">
      <c r="A1095" s="18" t="s">
        <v>2237</v>
      </c>
      <c r="B1095" s="5" t="s">
        <v>2238</v>
      </c>
      <c r="C1095" s="18" t="s">
        <v>77</v>
      </c>
      <c r="D1095" s="18" t="s">
        <v>68</v>
      </c>
      <c r="E1095" s="6">
        <v>3500000</v>
      </c>
      <c r="F1095" s="19">
        <v>0.96</v>
      </c>
      <c r="G1095" s="18">
        <v>68</v>
      </c>
      <c r="H1095" s="20">
        <v>8.1</v>
      </c>
      <c r="I1095" s="21" t="str">
        <f t="shared" si="64"/>
        <v>Cumple</v>
      </c>
      <c r="J1095" s="22" t="str">
        <f t="shared" si="65"/>
        <v>Sin bono</v>
      </c>
      <c r="K1095" s="23" t="str">
        <f t="shared" si="66"/>
        <v>OK</v>
      </c>
      <c r="L1095" s="24" t="str">
        <f t="shared" si="67"/>
        <v>Revisar</v>
      </c>
    </row>
    <row r="1096" spans="1:12" ht="18" customHeight="1" x14ac:dyDescent="0.3">
      <c r="A1096" s="25" t="s">
        <v>2239</v>
      </c>
      <c r="B1096" s="8" t="s">
        <v>2240</v>
      </c>
      <c r="C1096" s="25" t="s">
        <v>77</v>
      </c>
      <c r="D1096" s="25" t="s">
        <v>78</v>
      </c>
      <c r="E1096" s="9">
        <v>8300000</v>
      </c>
      <c r="F1096" s="26">
        <v>0.53</v>
      </c>
      <c r="G1096" s="25">
        <v>32</v>
      </c>
      <c r="H1096" s="27">
        <v>3.7</v>
      </c>
      <c r="I1096" s="21" t="str">
        <f t="shared" si="64"/>
        <v>No cumple</v>
      </c>
      <c r="J1096" s="22" t="str">
        <f t="shared" si="65"/>
        <v>Sin bono</v>
      </c>
      <c r="K1096" s="23" t="str">
        <f t="shared" si="66"/>
        <v>ALERTA</v>
      </c>
      <c r="L1096" s="24" t="str">
        <f t="shared" si="67"/>
        <v>Revisar</v>
      </c>
    </row>
    <row r="1097" spans="1:12" ht="18" customHeight="1" x14ac:dyDescent="0.3">
      <c r="A1097" s="18" t="s">
        <v>2241</v>
      </c>
      <c r="B1097" s="5" t="s">
        <v>2242</v>
      </c>
      <c r="C1097" s="18" t="s">
        <v>77</v>
      </c>
      <c r="D1097" s="18" t="s">
        <v>114</v>
      </c>
      <c r="E1097" s="6">
        <v>10100000</v>
      </c>
      <c r="F1097" s="19">
        <v>0.84</v>
      </c>
      <c r="G1097" s="18">
        <v>94</v>
      </c>
      <c r="H1097" s="20">
        <v>15.5</v>
      </c>
      <c r="I1097" s="21" t="str">
        <f t="shared" si="64"/>
        <v>Cumple</v>
      </c>
      <c r="J1097" s="22" t="str">
        <f t="shared" si="65"/>
        <v>BONO</v>
      </c>
      <c r="K1097" s="23" t="str">
        <f t="shared" si="66"/>
        <v>OK</v>
      </c>
      <c r="L1097" s="24" t="str">
        <f t="shared" si="67"/>
        <v>Bueno</v>
      </c>
    </row>
    <row r="1098" spans="1:12" ht="18" customHeight="1" x14ac:dyDescent="0.3">
      <c r="A1098" s="25" t="s">
        <v>2243</v>
      </c>
      <c r="B1098" s="8" t="s">
        <v>2244</v>
      </c>
      <c r="C1098" s="25" t="s">
        <v>71</v>
      </c>
      <c r="D1098" s="25" t="s">
        <v>92</v>
      </c>
      <c r="E1098" s="9">
        <v>10300000</v>
      </c>
      <c r="F1098" s="26">
        <v>0.98</v>
      </c>
      <c r="G1098" s="25">
        <v>74</v>
      </c>
      <c r="H1098" s="27">
        <v>11.7</v>
      </c>
      <c r="I1098" s="21" t="str">
        <f t="shared" si="64"/>
        <v>Cumple</v>
      </c>
      <c r="J1098" s="22" t="str">
        <f t="shared" si="65"/>
        <v>BONO</v>
      </c>
      <c r="K1098" s="23" t="str">
        <f t="shared" si="66"/>
        <v>OK</v>
      </c>
      <c r="L1098" s="24" t="str">
        <f t="shared" si="67"/>
        <v>Bueno</v>
      </c>
    </row>
    <row r="1099" spans="1:12" ht="18" customHeight="1" x14ac:dyDescent="0.3">
      <c r="A1099" s="18" t="s">
        <v>2245</v>
      </c>
      <c r="B1099" s="5" t="s">
        <v>2246</v>
      </c>
      <c r="C1099" s="18" t="s">
        <v>67</v>
      </c>
      <c r="D1099" s="18" t="s">
        <v>78</v>
      </c>
      <c r="E1099" s="6">
        <v>10200000</v>
      </c>
      <c r="F1099" s="19">
        <v>0.46</v>
      </c>
      <c r="G1099" s="18">
        <v>42</v>
      </c>
      <c r="H1099" s="20">
        <v>4.0999999999999996</v>
      </c>
      <c r="I1099" s="21" t="str">
        <f t="shared" si="64"/>
        <v>No cumple</v>
      </c>
      <c r="J1099" s="22" t="str">
        <f t="shared" si="65"/>
        <v>Sin bono</v>
      </c>
      <c r="K1099" s="23" t="str">
        <f t="shared" si="66"/>
        <v>ALERTA</v>
      </c>
      <c r="L1099" s="24" t="str">
        <f t="shared" si="67"/>
        <v>Revisar</v>
      </c>
    </row>
    <row r="1100" spans="1:12" ht="18" customHeight="1" x14ac:dyDescent="0.3">
      <c r="A1100" s="25" t="s">
        <v>2247</v>
      </c>
      <c r="B1100" s="8" t="s">
        <v>2248</v>
      </c>
      <c r="C1100" s="25" t="s">
        <v>59</v>
      </c>
      <c r="D1100" s="25" t="s">
        <v>68</v>
      </c>
      <c r="E1100" s="9">
        <v>11800000</v>
      </c>
      <c r="F1100" s="26">
        <v>0.65</v>
      </c>
      <c r="G1100" s="25">
        <v>50</v>
      </c>
      <c r="H1100" s="27">
        <v>19.399999999999999</v>
      </c>
      <c r="I1100" s="21" t="str">
        <f t="shared" si="64"/>
        <v>No cumple</v>
      </c>
      <c r="J1100" s="22" t="str">
        <f t="shared" si="65"/>
        <v>Sin bono</v>
      </c>
      <c r="K1100" s="23" t="str">
        <f t="shared" si="66"/>
        <v>OK</v>
      </c>
      <c r="L1100" s="24" t="str">
        <f t="shared" si="67"/>
        <v>Revisar</v>
      </c>
    </row>
    <row r="1101" spans="1:12" ht="18" customHeight="1" x14ac:dyDescent="0.3">
      <c r="A1101" s="18" t="s">
        <v>2249</v>
      </c>
      <c r="B1101" s="5" t="s">
        <v>2250</v>
      </c>
      <c r="C1101" s="18" t="s">
        <v>67</v>
      </c>
      <c r="D1101" s="18" t="s">
        <v>68</v>
      </c>
      <c r="E1101" s="6">
        <v>11500000</v>
      </c>
      <c r="F1101" s="19">
        <v>0.83</v>
      </c>
      <c r="G1101" s="18">
        <v>32</v>
      </c>
      <c r="H1101" s="20">
        <v>11</v>
      </c>
      <c r="I1101" s="21" t="str">
        <f t="shared" ref="I1101:I1164" si="68">IF(F1101&gt;=0.8,"Cumple","No cumple")</f>
        <v>Cumple</v>
      </c>
      <c r="J1101" s="22" t="str">
        <f t="shared" ref="J1101:J1164" si="69">IF(AND(F1101&gt;=0.8,G1101&gt;=70),"BONO","Sin bono")</f>
        <v>Sin bono</v>
      </c>
      <c r="K1101" s="23" t="str">
        <f t="shared" ref="K1101:K1164" si="70">IF(OR(F1101&lt;0.6,G1101&lt;50),"ALERTA","OK")</f>
        <v>ALERTA</v>
      </c>
      <c r="L1101" s="24" t="str">
        <f t="shared" ref="L1101:L1164" si="71">IF(AND(F1101&gt;=0.9,G1101&gt;=85),"Excelente",IF(AND(F1101&gt;=0.8,G1101&gt;=70),"Bueno","Revisar"))</f>
        <v>Revisar</v>
      </c>
    </row>
    <row r="1102" spans="1:12" ht="18" customHeight="1" x14ac:dyDescent="0.3">
      <c r="A1102" s="25" t="s">
        <v>2251</v>
      </c>
      <c r="B1102" s="8" t="s">
        <v>2252</v>
      </c>
      <c r="C1102" s="25" t="s">
        <v>81</v>
      </c>
      <c r="D1102" s="25" t="s">
        <v>92</v>
      </c>
      <c r="E1102" s="9">
        <v>5200000</v>
      </c>
      <c r="F1102" s="26">
        <v>0.64</v>
      </c>
      <c r="G1102" s="25">
        <v>37</v>
      </c>
      <c r="H1102" s="27">
        <v>4.8</v>
      </c>
      <c r="I1102" s="21" t="str">
        <f t="shared" si="68"/>
        <v>No cumple</v>
      </c>
      <c r="J1102" s="22" t="str">
        <f t="shared" si="69"/>
        <v>Sin bono</v>
      </c>
      <c r="K1102" s="23" t="str">
        <f t="shared" si="70"/>
        <v>ALERTA</v>
      </c>
      <c r="L1102" s="24" t="str">
        <f t="shared" si="71"/>
        <v>Revisar</v>
      </c>
    </row>
    <row r="1103" spans="1:12" ht="18" customHeight="1" x14ac:dyDescent="0.3">
      <c r="A1103" s="18" t="s">
        <v>2253</v>
      </c>
      <c r="B1103" s="5" t="s">
        <v>2254</v>
      </c>
      <c r="C1103" s="18" t="s">
        <v>91</v>
      </c>
      <c r="D1103" s="18" t="s">
        <v>60</v>
      </c>
      <c r="E1103" s="6">
        <v>3500000</v>
      </c>
      <c r="F1103" s="19">
        <v>0.49</v>
      </c>
      <c r="G1103" s="18">
        <v>46</v>
      </c>
      <c r="H1103" s="20">
        <v>8.8000000000000007</v>
      </c>
      <c r="I1103" s="21" t="str">
        <f t="shared" si="68"/>
        <v>No cumple</v>
      </c>
      <c r="J1103" s="22" t="str">
        <f t="shared" si="69"/>
        <v>Sin bono</v>
      </c>
      <c r="K1103" s="23" t="str">
        <f t="shared" si="70"/>
        <v>ALERTA</v>
      </c>
      <c r="L1103" s="24" t="str">
        <f t="shared" si="71"/>
        <v>Revisar</v>
      </c>
    </row>
    <row r="1104" spans="1:12" ht="18" customHeight="1" x14ac:dyDescent="0.3">
      <c r="A1104" s="25" t="s">
        <v>2255</v>
      </c>
      <c r="B1104" s="8" t="s">
        <v>2256</v>
      </c>
      <c r="C1104" s="25" t="s">
        <v>81</v>
      </c>
      <c r="D1104" s="25" t="s">
        <v>92</v>
      </c>
      <c r="E1104" s="9">
        <v>10500000</v>
      </c>
      <c r="F1104" s="26">
        <v>0.81</v>
      </c>
      <c r="G1104" s="25">
        <v>61</v>
      </c>
      <c r="H1104" s="27">
        <v>20</v>
      </c>
      <c r="I1104" s="21" t="str">
        <f t="shared" si="68"/>
        <v>Cumple</v>
      </c>
      <c r="J1104" s="22" t="str">
        <f t="shared" si="69"/>
        <v>Sin bono</v>
      </c>
      <c r="K1104" s="23" t="str">
        <f t="shared" si="70"/>
        <v>OK</v>
      </c>
      <c r="L1104" s="24" t="str">
        <f t="shared" si="71"/>
        <v>Revisar</v>
      </c>
    </row>
    <row r="1105" spans="1:12" ht="18" customHeight="1" x14ac:dyDescent="0.3">
      <c r="A1105" s="18" t="s">
        <v>2257</v>
      </c>
      <c r="B1105" s="5" t="s">
        <v>2258</v>
      </c>
      <c r="C1105" s="18" t="s">
        <v>63</v>
      </c>
      <c r="D1105" s="18" t="s">
        <v>105</v>
      </c>
      <c r="E1105" s="6">
        <v>11200000</v>
      </c>
      <c r="F1105" s="19">
        <v>0.52</v>
      </c>
      <c r="G1105" s="18">
        <v>39</v>
      </c>
      <c r="H1105" s="20">
        <v>1.5</v>
      </c>
      <c r="I1105" s="21" t="str">
        <f t="shared" si="68"/>
        <v>No cumple</v>
      </c>
      <c r="J1105" s="22" t="str">
        <f t="shared" si="69"/>
        <v>Sin bono</v>
      </c>
      <c r="K1105" s="23" t="str">
        <f t="shared" si="70"/>
        <v>ALERTA</v>
      </c>
      <c r="L1105" s="24" t="str">
        <f t="shared" si="71"/>
        <v>Revisar</v>
      </c>
    </row>
    <row r="1106" spans="1:12" ht="18" customHeight="1" x14ac:dyDescent="0.3">
      <c r="A1106" s="25" t="s">
        <v>2259</v>
      </c>
      <c r="B1106" s="8" t="s">
        <v>2260</v>
      </c>
      <c r="C1106" s="25" t="s">
        <v>67</v>
      </c>
      <c r="D1106" s="25" t="s">
        <v>88</v>
      </c>
      <c r="E1106" s="9">
        <v>6800000</v>
      </c>
      <c r="F1106" s="26">
        <v>0.83</v>
      </c>
      <c r="G1106" s="25">
        <v>94</v>
      </c>
      <c r="H1106" s="27">
        <v>2.1</v>
      </c>
      <c r="I1106" s="21" t="str">
        <f t="shared" si="68"/>
        <v>Cumple</v>
      </c>
      <c r="J1106" s="22" t="str">
        <f t="shared" si="69"/>
        <v>BONO</v>
      </c>
      <c r="K1106" s="23" t="str">
        <f t="shared" si="70"/>
        <v>OK</v>
      </c>
      <c r="L1106" s="24" t="str">
        <f t="shared" si="71"/>
        <v>Bueno</v>
      </c>
    </row>
    <row r="1107" spans="1:12" ht="18" customHeight="1" x14ac:dyDescent="0.3">
      <c r="A1107" s="18" t="s">
        <v>2261</v>
      </c>
      <c r="B1107" s="5" t="s">
        <v>2262</v>
      </c>
      <c r="C1107" s="18" t="s">
        <v>77</v>
      </c>
      <c r="D1107" s="18" t="s">
        <v>88</v>
      </c>
      <c r="E1107" s="6">
        <v>3800000</v>
      </c>
      <c r="F1107" s="19">
        <v>0.56000000000000005</v>
      </c>
      <c r="G1107" s="18">
        <v>47</v>
      </c>
      <c r="H1107" s="20">
        <v>16.8</v>
      </c>
      <c r="I1107" s="21" t="str">
        <f t="shared" si="68"/>
        <v>No cumple</v>
      </c>
      <c r="J1107" s="22" t="str">
        <f t="shared" si="69"/>
        <v>Sin bono</v>
      </c>
      <c r="K1107" s="23" t="str">
        <f t="shared" si="70"/>
        <v>ALERTA</v>
      </c>
      <c r="L1107" s="24" t="str">
        <f t="shared" si="71"/>
        <v>Revisar</v>
      </c>
    </row>
    <row r="1108" spans="1:12" ht="18" customHeight="1" x14ac:dyDescent="0.3">
      <c r="A1108" s="25" t="s">
        <v>2263</v>
      </c>
      <c r="B1108" s="8" t="s">
        <v>2264</v>
      </c>
      <c r="C1108" s="25" t="s">
        <v>67</v>
      </c>
      <c r="D1108" s="25" t="s">
        <v>60</v>
      </c>
      <c r="E1108" s="9">
        <v>7600000</v>
      </c>
      <c r="F1108" s="26">
        <v>0.55000000000000004</v>
      </c>
      <c r="G1108" s="25">
        <v>85</v>
      </c>
      <c r="H1108" s="27">
        <v>10.6</v>
      </c>
      <c r="I1108" s="21" t="str">
        <f t="shared" si="68"/>
        <v>No cumple</v>
      </c>
      <c r="J1108" s="22" t="str">
        <f t="shared" si="69"/>
        <v>Sin bono</v>
      </c>
      <c r="K1108" s="23" t="str">
        <f t="shared" si="70"/>
        <v>ALERTA</v>
      </c>
      <c r="L1108" s="24" t="str">
        <f t="shared" si="71"/>
        <v>Revisar</v>
      </c>
    </row>
    <row r="1109" spans="1:12" ht="18" customHeight="1" x14ac:dyDescent="0.3">
      <c r="A1109" s="18" t="s">
        <v>2265</v>
      </c>
      <c r="B1109" s="5" t="s">
        <v>2266</v>
      </c>
      <c r="C1109" s="18" t="s">
        <v>91</v>
      </c>
      <c r="D1109" s="18" t="s">
        <v>92</v>
      </c>
      <c r="E1109" s="6">
        <v>6100000</v>
      </c>
      <c r="F1109" s="19">
        <v>0.9</v>
      </c>
      <c r="G1109" s="18">
        <v>57</v>
      </c>
      <c r="H1109" s="20">
        <v>15.1</v>
      </c>
      <c r="I1109" s="21" t="str">
        <f t="shared" si="68"/>
        <v>Cumple</v>
      </c>
      <c r="J1109" s="22" t="str">
        <f t="shared" si="69"/>
        <v>Sin bono</v>
      </c>
      <c r="K1109" s="23" t="str">
        <f t="shared" si="70"/>
        <v>OK</v>
      </c>
      <c r="L1109" s="24" t="str">
        <f t="shared" si="71"/>
        <v>Revisar</v>
      </c>
    </row>
    <row r="1110" spans="1:12" ht="18" customHeight="1" x14ac:dyDescent="0.3">
      <c r="A1110" s="25" t="s">
        <v>2267</v>
      </c>
      <c r="B1110" s="8" t="s">
        <v>2268</v>
      </c>
      <c r="C1110" s="25" t="s">
        <v>63</v>
      </c>
      <c r="D1110" s="25" t="s">
        <v>88</v>
      </c>
      <c r="E1110" s="9">
        <v>9600000</v>
      </c>
      <c r="F1110" s="26">
        <v>0.7</v>
      </c>
      <c r="G1110" s="25">
        <v>96</v>
      </c>
      <c r="H1110" s="27">
        <v>5.2</v>
      </c>
      <c r="I1110" s="21" t="str">
        <f t="shared" si="68"/>
        <v>No cumple</v>
      </c>
      <c r="J1110" s="22" t="str">
        <f t="shared" si="69"/>
        <v>Sin bono</v>
      </c>
      <c r="K1110" s="23" t="str">
        <f t="shared" si="70"/>
        <v>OK</v>
      </c>
      <c r="L1110" s="24" t="str">
        <f t="shared" si="71"/>
        <v>Revisar</v>
      </c>
    </row>
    <row r="1111" spans="1:12" ht="18" customHeight="1" x14ac:dyDescent="0.3">
      <c r="A1111" s="18" t="s">
        <v>2269</v>
      </c>
      <c r="B1111" s="5" t="s">
        <v>2270</v>
      </c>
      <c r="C1111" s="18" t="s">
        <v>59</v>
      </c>
      <c r="D1111" s="18" t="s">
        <v>78</v>
      </c>
      <c r="E1111" s="6">
        <v>5900000</v>
      </c>
      <c r="F1111" s="19">
        <v>0.87</v>
      </c>
      <c r="G1111" s="18">
        <v>67</v>
      </c>
      <c r="H1111" s="20">
        <v>6.8</v>
      </c>
      <c r="I1111" s="21" t="str">
        <f t="shared" si="68"/>
        <v>Cumple</v>
      </c>
      <c r="J1111" s="22" t="str">
        <f t="shared" si="69"/>
        <v>Sin bono</v>
      </c>
      <c r="K1111" s="23" t="str">
        <f t="shared" si="70"/>
        <v>OK</v>
      </c>
      <c r="L1111" s="24" t="str">
        <f t="shared" si="71"/>
        <v>Revisar</v>
      </c>
    </row>
    <row r="1112" spans="1:12" ht="18" customHeight="1" x14ac:dyDescent="0.3">
      <c r="A1112" s="25" t="s">
        <v>2271</v>
      </c>
      <c r="B1112" s="8" t="s">
        <v>2272</v>
      </c>
      <c r="C1112" s="25" t="s">
        <v>77</v>
      </c>
      <c r="D1112" s="25" t="s">
        <v>64</v>
      </c>
      <c r="E1112" s="9">
        <v>7300000</v>
      </c>
      <c r="F1112" s="26">
        <v>0.71</v>
      </c>
      <c r="G1112" s="25">
        <v>57</v>
      </c>
      <c r="H1112" s="27">
        <v>8.1999999999999993</v>
      </c>
      <c r="I1112" s="21" t="str">
        <f t="shared" si="68"/>
        <v>No cumple</v>
      </c>
      <c r="J1112" s="22" t="str">
        <f t="shared" si="69"/>
        <v>Sin bono</v>
      </c>
      <c r="K1112" s="23" t="str">
        <f t="shared" si="70"/>
        <v>OK</v>
      </c>
      <c r="L1112" s="24" t="str">
        <f t="shared" si="71"/>
        <v>Revisar</v>
      </c>
    </row>
    <row r="1113" spans="1:12" ht="18" customHeight="1" x14ac:dyDescent="0.3">
      <c r="A1113" s="18" t="s">
        <v>2273</v>
      </c>
      <c r="B1113" s="5" t="s">
        <v>2274</v>
      </c>
      <c r="C1113" s="18" t="s">
        <v>81</v>
      </c>
      <c r="D1113" s="18" t="s">
        <v>78</v>
      </c>
      <c r="E1113" s="6">
        <v>8400000</v>
      </c>
      <c r="F1113" s="19">
        <v>0.55000000000000004</v>
      </c>
      <c r="G1113" s="18">
        <v>65</v>
      </c>
      <c r="H1113" s="20">
        <v>5.2</v>
      </c>
      <c r="I1113" s="21" t="str">
        <f t="shared" si="68"/>
        <v>No cumple</v>
      </c>
      <c r="J1113" s="22" t="str">
        <f t="shared" si="69"/>
        <v>Sin bono</v>
      </c>
      <c r="K1113" s="23" t="str">
        <f t="shared" si="70"/>
        <v>ALERTA</v>
      </c>
      <c r="L1113" s="24" t="str">
        <f t="shared" si="71"/>
        <v>Revisar</v>
      </c>
    </row>
    <row r="1114" spans="1:12" ht="18" customHeight="1" x14ac:dyDescent="0.3">
      <c r="A1114" s="25" t="s">
        <v>2275</v>
      </c>
      <c r="B1114" s="8" t="s">
        <v>2276</v>
      </c>
      <c r="C1114" s="25" t="s">
        <v>63</v>
      </c>
      <c r="D1114" s="25" t="s">
        <v>88</v>
      </c>
      <c r="E1114" s="9">
        <v>4600000</v>
      </c>
      <c r="F1114" s="26">
        <v>0.46</v>
      </c>
      <c r="G1114" s="25">
        <v>76</v>
      </c>
      <c r="H1114" s="27">
        <v>6.7</v>
      </c>
      <c r="I1114" s="21" t="str">
        <f t="shared" si="68"/>
        <v>No cumple</v>
      </c>
      <c r="J1114" s="22" t="str">
        <f t="shared" si="69"/>
        <v>Sin bono</v>
      </c>
      <c r="K1114" s="23" t="str">
        <f t="shared" si="70"/>
        <v>ALERTA</v>
      </c>
      <c r="L1114" s="24" t="str">
        <f t="shared" si="71"/>
        <v>Revisar</v>
      </c>
    </row>
    <row r="1115" spans="1:12" ht="18" customHeight="1" x14ac:dyDescent="0.3">
      <c r="A1115" s="18" t="s">
        <v>2277</v>
      </c>
      <c r="B1115" s="5" t="s">
        <v>2278</v>
      </c>
      <c r="C1115" s="18" t="s">
        <v>59</v>
      </c>
      <c r="D1115" s="18" t="s">
        <v>64</v>
      </c>
      <c r="E1115" s="6">
        <v>4800000</v>
      </c>
      <c r="F1115" s="19">
        <v>0.65</v>
      </c>
      <c r="G1115" s="18">
        <v>67</v>
      </c>
      <c r="H1115" s="20">
        <v>18.600000000000001</v>
      </c>
      <c r="I1115" s="21" t="str">
        <f t="shared" si="68"/>
        <v>No cumple</v>
      </c>
      <c r="J1115" s="22" t="str">
        <f t="shared" si="69"/>
        <v>Sin bono</v>
      </c>
      <c r="K1115" s="23" t="str">
        <f t="shared" si="70"/>
        <v>OK</v>
      </c>
      <c r="L1115" s="24" t="str">
        <f t="shared" si="71"/>
        <v>Revisar</v>
      </c>
    </row>
    <row r="1116" spans="1:12" ht="18" customHeight="1" x14ac:dyDescent="0.3">
      <c r="A1116" s="25" t="s">
        <v>2279</v>
      </c>
      <c r="B1116" s="8" t="s">
        <v>2280</v>
      </c>
      <c r="C1116" s="25" t="s">
        <v>91</v>
      </c>
      <c r="D1116" s="25" t="s">
        <v>114</v>
      </c>
      <c r="E1116" s="9">
        <v>7600000</v>
      </c>
      <c r="F1116" s="26">
        <v>0.87</v>
      </c>
      <c r="G1116" s="25">
        <v>40</v>
      </c>
      <c r="H1116" s="27">
        <v>19.100000000000001</v>
      </c>
      <c r="I1116" s="21" t="str">
        <f t="shared" si="68"/>
        <v>Cumple</v>
      </c>
      <c r="J1116" s="22" t="str">
        <f t="shared" si="69"/>
        <v>Sin bono</v>
      </c>
      <c r="K1116" s="23" t="str">
        <f t="shared" si="70"/>
        <v>ALERTA</v>
      </c>
      <c r="L1116" s="24" t="str">
        <f t="shared" si="71"/>
        <v>Revisar</v>
      </c>
    </row>
    <row r="1117" spans="1:12" ht="18" customHeight="1" x14ac:dyDescent="0.3">
      <c r="A1117" s="18" t="s">
        <v>2281</v>
      </c>
      <c r="B1117" s="5" t="s">
        <v>2282</v>
      </c>
      <c r="C1117" s="18" t="s">
        <v>67</v>
      </c>
      <c r="D1117" s="18" t="s">
        <v>92</v>
      </c>
      <c r="E1117" s="6">
        <v>5700000</v>
      </c>
      <c r="F1117" s="19">
        <v>0.7</v>
      </c>
      <c r="G1117" s="18">
        <v>44</v>
      </c>
      <c r="H1117" s="20">
        <v>13.9</v>
      </c>
      <c r="I1117" s="21" t="str">
        <f t="shared" si="68"/>
        <v>No cumple</v>
      </c>
      <c r="J1117" s="22" t="str">
        <f t="shared" si="69"/>
        <v>Sin bono</v>
      </c>
      <c r="K1117" s="23" t="str">
        <f t="shared" si="70"/>
        <v>ALERTA</v>
      </c>
      <c r="L1117" s="24" t="str">
        <f t="shared" si="71"/>
        <v>Revisar</v>
      </c>
    </row>
    <row r="1118" spans="1:12" ht="18" customHeight="1" x14ac:dyDescent="0.3">
      <c r="A1118" s="25" t="s">
        <v>2283</v>
      </c>
      <c r="B1118" s="8" t="s">
        <v>2284</v>
      </c>
      <c r="C1118" s="25" t="s">
        <v>77</v>
      </c>
      <c r="D1118" s="25" t="s">
        <v>60</v>
      </c>
      <c r="E1118" s="9">
        <v>5100000</v>
      </c>
      <c r="F1118" s="26">
        <v>0.93</v>
      </c>
      <c r="G1118" s="25">
        <v>31</v>
      </c>
      <c r="H1118" s="27">
        <v>3.3</v>
      </c>
      <c r="I1118" s="21" t="str">
        <f t="shared" si="68"/>
        <v>Cumple</v>
      </c>
      <c r="J1118" s="22" t="str">
        <f t="shared" si="69"/>
        <v>Sin bono</v>
      </c>
      <c r="K1118" s="23" t="str">
        <f t="shared" si="70"/>
        <v>ALERTA</v>
      </c>
      <c r="L1118" s="24" t="str">
        <f t="shared" si="71"/>
        <v>Revisar</v>
      </c>
    </row>
    <row r="1119" spans="1:12" ht="18" customHeight="1" x14ac:dyDescent="0.3">
      <c r="A1119" s="18" t="s">
        <v>2285</v>
      </c>
      <c r="B1119" s="5" t="s">
        <v>2286</v>
      </c>
      <c r="C1119" s="18" t="s">
        <v>63</v>
      </c>
      <c r="D1119" s="18" t="s">
        <v>92</v>
      </c>
      <c r="E1119" s="6">
        <v>4400000</v>
      </c>
      <c r="F1119" s="19">
        <v>0.67</v>
      </c>
      <c r="G1119" s="18">
        <v>60</v>
      </c>
      <c r="H1119" s="20">
        <v>14.2</v>
      </c>
      <c r="I1119" s="21" t="str">
        <f t="shared" si="68"/>
        <v>No cumple</v>
      </c>
      <c r="J1119" s="22" t="str">
        <f t="shared" si="69"/>
        <v>Sin bono</v>
      </c>
      <c r="K1119" s="23" t="str">
        <f t="shared" si="70"/>
        <v>OK</v>
      </c>
      <c r="L1119" s="24" t="str">
        <f t="shared" si="71"/>
        <v>Revisar</v>
      </c>
    </row>
    <row r="1120" spans="1:12" ht="18" customHeight="1" x14ac:dyDescent="0.3">
      <c r="A1120" s="25" t="s">
        <v>2287</v>
      </c>
      <c r="B1120" s="8" t="s">
        <v>2288</v>
      </c>
      <c r="C1120" s="25" t="s">
        <v>63</v>
      </c>
      <c r="D1120" s="25" t="s">
        <v>88</v>
      </c>
      <c r="E1120" s="9">
        <v>6900000</v>
      </c>
      <c r="F1120" s="26">
        <v>0.66</v>
      </c>
      <c r="G1120" s="25">
        <v>52</v>
      </c>
      <c r="H1120" s="27">
        <v>19.100000000000001</v>
      </c>
      <c r="I1120" s="21" t="str">
        <f t="shared" si="68"/>
        <v>No cumple</v>
      </c>
      <c r="J1120" s="22" t="str">
        <f t="shared" si="69"/>
        <v>Sin bono</v>
      </c>
      <c r="K1120" s="23" t="str">
        <f t="shared" si="70"/>
        <v>OK</v>
      </c>
      <c r="L1120" s="24" t="str">
        <f t="shared" si="71"/>
        <v>Revisar</v>
      </c>
    </row>
    <row r="1121" spans="1:12" ht="18" customHeight="1" x14ac:dyDescent="0.3">
      <c r="A1121" s="18" t="s">
        <v>2289</v>
      </c>
      <c r="B1121" s="5" t="s">
        <v>2290</v>
      </c>
      <c r="C1121" s="18" t="s">
        <v>59</v>
      </c>
      <c r="D1121" s="18" t="s">
        <v>114</v>
      </c>
      <c r="E1121" s="6">
        <v>4300000</v>
      </c>
      <c r="F1121" s="19">
        <v>0.61</v>
      </c>
      <c r="G1121" s="18">
        <v>92</v>
      </c>
      <c r="H1121" s="20">
        <v>8.8000000000000007</v>
      </c>
      <c r="I1121" s="21" t="str">
        <f t="shared" si="68"/>
        <v>No cumple</v>
      </c>
      <c r="J1121" s="22" t="str">
        <f t="shared" si="69"/>
        <v>Sin bono</v>
      </c>
      <c r="K1121" s="23" t="str">
        <f t="shared" si="70"/>
        <v>OK</v>
      </c>
      <c r="L1121" s="24" t="str">
        <f t="shared" si="71"/>
        <v>Revisar</v>
      </c>
    </row>
    <row r="1122" spans="1:12" ht="18" customHeight="1" x14ac:dyDescent="0.3">
      <c r="A1122" s="25" t="s">
        <v>2291</v>
      </c>
      <c r="B1122" s="8" t="s">
        <v>2292</v>
      </c>
      <c r="C1122" s="25" t="s">
        <v>74</v>
      </c>
      <c r="D1122" s="25" t="s">
        <v>60</v>
      </c>
      <c r="E1122" s="9">
        <v>11300000</v>
      </c>
      <c r="F1122" s="26">
        <v>0.6</v>
      </c>
      <c r="G1122" s="25">
        <v>42</v>
      </c>
      <c r="H1122" s="27">
        <v>4.0999999999999996</v>
      </c>
      <c r="I1122" s="21" t="str">
        <f t="shared" si="68"/>
        <v>No cumple</v>
      </c>
      <c r="J1122" s="22" t="str">
        <f t="shared" si="69"/>
        <v>Sin bono</v>
      </c>
      <c r="K1122" s="23" t="str">
        <f t="shared" si="70"/>
        <v>ALERTA</v>
      </c>
      <c r="L1122" s="24" t="str">
        <f t="shared" si="71"/>
        <v>Revisar</v>
      </c>
    </row>
    <row r="1123" spans="1:12" ht="18" customHeight="1" x14ac:dyDescent="0.3">
      <c r="A1123" s="18" t="s">
        <v>2293</v>
      </c>
      <c r="B1123" s="5" t="s">
        <v>2294</v>
      </c>
      <c r="C1123" s="18" t="s">
        <v>67</v>
      </c>
      <c r="D1123" s="18" t="s">
        <v>88</v>
      </c>
      <c r="E1123" s="6">
        <v>10100000</v>
      </c>
      <c r="F1123" s="19">
        <v>0.68</v>
      </c>
      <c r="G1123" s="18">
        <v>86</v>
      </c>
      <c r="H1123" s="20">
        <v>10.4</v>
      </c>
      <c r="I1123" s="21" t="str">
        <f t="shared" si="68"/>
        <v>No cumple</v>
      </c>
      <c r="J1123" s="22" t="str">
        <f t="shared" si="69"/>
        <v>Sin bono</v>
      </c>
      <c r="K1123" s="23" t="str">
        <f t="shared" si="70"/>
        <v>OK</v>
      </c>
      <c r="L1123" s="24" t="str">
        <f t="shared" si="71"/>
        <v>Revisar</v>
      </c>
    </row>
    <row r="1124" spans="1:12" ht="18" customHeight="1" x14ac:dyDescent="0.3">
      <c r="A1124" s="25" t="s">
        <v>2295</v>
      </c>
      <c r="B1124" s="8" t="s">
        <v>2296</v>
      </c>
      <c r="C1124" s="25" t="s">
        <v>71</v>
      </c>
      <c r="D1124" s="25" t="s">
        <v>88</v>
      </c>
      <c r="E1124" s="9">
        <v>11300000</v>
      </c>
      <c r="F1124" s="26">
        <v>0.51</v>
      </c>
      <c r="G1124" s="25">
        <v>75</v>
      </c>
      <c r="H1124" s="27">
        <v>16.100000000000001</v>
      </c>
      <c r="I1124" s="21" t="str">
        <f t="shared" si="68"/>
        <v>No cumple</v>
      </c>
      <c r="J1124" s="22" t="str">
        <f t="shared" si="69"/>
        <v>Sin bono</v>
      </c>
      <c r="K1124" s="23" t="str">
        <f t="shared" si="70"/>
        <v>ALERTA</v>
      </c>
      <c r="L1124" s="24" t="str">
        <f t="shared" si="71"/>
        <v>Revisar</v>
      </c>
    </row>
    <row r="1125" spans="1:12" ht="18" customHeight="1" x14ac:dyDescent="0.3">
      <c r="A1125" s="18" t="s">
        <v>2297</v>
      </c>
      <c r="B1125" s="5" t="s">
        <v>2298</v>
      </c>
      <c r="C1125" s="18" t="s">
        <v>74</v>
      </c>
      <c r="D1125" s="18" t="s">
        <v>92</v>
      </c>
      <c r="E1125" s="6">
        <v>5200000</v>
      </c>
      <c r="F1125" s="19">
        <v>0.91</v>
      </c>
      <c r="G1125" s="18">
        <v>34</v>
      </c>
      <c r="H1125" s="20">
        <v>19</v>
      </c>
      <c r="I1125" s="21" t="str">
        <f t="shared" si="68"/>
        <v>Cumple</v>
      </c>
      <c r="J1125" s="22" t="str">
        <f t="shared" si="69"/>
        <v>Sin bono</v>
      </c>
      <c r="K1125" s="23" t="str">
        <f t="shared" si="70"/>
        <v>ALERTA</v>
      </c>
      <c r="L1125" s="24" t="str">
        <f t="shared" si="71"/>
        <v>Revisar</v>
      </c>
    </row>
    <row r="1126" spans="1:12" ht="18" customHeight="1" x14ac:dyDescent="0.3">
      <c r="A1126" s="25" t="s">
        <v>2299</v>
      </c>
      <c r="B1126" s="8" t="s">
        <v>2300</v>
      </c>
      <c r="C1126" s="25" t="s">
        <v>63</v>
      </c>
      <c r="D1126" s="25" t="s">
        <v>60</v>
      </c>
      <c r="E1126" s="9">
        <v>11400000</v>
      </c>
      <c r="F1126" s="26">
        <v>0.56000000000000005</v>
      </c>
      <c r="G1126" s="25">
        <v>90</v>
      </c>
      <c r="H1126" s="27">
        <v>3</v>
      </c>
      <c r="I1126" s="21" t="str">
        <f t="shared" si="68"/>
        <v>No cumple</v>
      </c>
      <c r="J1126" s="22" t="str">
        <f t="shared" si="69"/>
        <v>Sin bono</v>
      </c>
      <c r="K1126" s="23" t="str">
        <f t="shared" si="70"/>
        <v>ALERTA</v>
      </c>
      <c r="L1126" s="24" t="str">
        <f t="shared" si="71"/>
        <v>Revisar</v>
      </c>
    </row>
    <row r="1127" spans="1:12" ht="18" customHeight="1" x14ac:dyDescent="0.3">
      <c r="A1127" s="18" t="s">
        <v>2301</v>
      </c>
      <c r="B1127" s="5" t="s">
        <v>2302</v>
      </c>
      <c r="C1127" s="18" t="s">
        <v>77</v>
      </c>
      <c r="D1127" s="18" t="s">
        <v>60</v>
      </c>
      <c r="E1127" s="6">
        <v>11800000</v>
      </c>
      <c r="F1127" s="19">
        <v>0.55000000000000004</v>
      </c>
      <c r="G1127" s="18">
        <v>83</v>
      </c>
      <c r="H1127" s="20">
        <v>13.8</v>
      </c>
      <c r="I1127" s="21" t="str">
        <f t="shared" si="68"/>
        <v>No cumple</v>
      </c>
      <c r="J1127" s="22" t="str">
        <f t="shared" si="69"/>
        <v>Sin bono</v>
      </c>
      <c r="K1127" s="23" t="str">
        <f t="shared" si="70"/>
        <v>ALERTA</v>
      </c>
      <c r="L1127" s="24" t="str">
        <f t="shared" si="71"/>
        <v>Revisar</v>
      </c>
    </row>
    <row r="1128" spans="1:12" ht="18" customHeight="1" x14ac:dyDescent="0.3">
      <c r="A1128" s="25" t="s">
        <v>2303</v>
      </c>
      <c r="B1128" s="8" t="s">
        <v>2304</v>
      </c>
      <c r="C1128" s="25" t="s">
        <v>59</v>
      </c>
      <c r="D1128" s="25" t="s">
        <v>68</v>
      </c>
      <c r="E1128" s="9">
        <v>8500000</v>
      </c>
      <c r="F1128" s="26">
        <v>0.63</v>
      </c>
      <c r="G1128" s="25">
        <v>84</v>
      </c>
      <c r="H1128" s="27">
        <v>2.2999999999999998</v>
      </c>
      <c r="I1128" s="21" t="str">
        <f t="shared" si="68"/>
        <v>No cumple</v>
      </c>
      <c r="J1128" s="22" t="str">
        <f t="shared" si="69"/>
        <v>Sin bono</v>
      </c>
      <c r="K1128" s="23" t="str">
        <f t="shared" si="70"/>
        <v>OK</v>
      </c>
      <c r="L1128" s="24" t="str">
        <f t="shared" si="71"/>
        <v>Revisar</v>
      </c>
    </row>
    <row r="1129" spans="1:12" ht="18" customHeight="1" x14ac:dyDescent="0.3">
      <c r="A1129" s="18" t="s">
        <v>2305</v>
      </c>
      <c r="B1129" s="5" t="s">
        <v>2306</v>
      </c>
      <c r="C1129" s="18" t="s">
        <v>81</v>
      </c>
      <c r="D1129" s="18" t="s">
        <v>114</v>
      </c>
      <c r="E1129" s="6">
        <v>10500000</v>
      </c>
      <c r="F1129" s="19">
        <v>0.75</v>
      </c>
      <c r="G1129" s="18">
        <v>32</v>
      </c>
      <c r="H1129" s="20">
        <v>16</v>
      </c>
      <c r="I1129" s="21" t="str">
        <f t="shared" si="68"/>
        <v>No cumple</v>
      </c>
      <c r="J1129" s="22" t="str">
        <f t="shared" si="69"/>
        <v>Sin bono</v>
      </c>
      <c r="K1129" s="23" t="str">
        <f t="shared" si="70"/>
        <v>ALERTA</v>
      </c>
      <c r="L1129" s="24" t="str">
        <f t="shared" si="71"/>
        <v>Revisar</v>
      </c>
    </row>
    <row r="1130" spans="1:12" ht="18" customHeight="1" x14ac:dyDescent="0.3">
      <c r="A1130" s="25" t="s">
        <v>2307</v>
      </c>
      <c r="B1130" s="8" t="s">
        <v>2308</v>
      </c>
      <c r="C1130" s="25" t="s">
        <v>67</v>
      </c>
      <c r="D1130" s="25" t="s">
        <v>114</v>
      </c>
      <c r="E1130" s="9">
        <v>9600000</v>
      </c>
      <c r="F1130" s="26">
        <v>0.67</v>
      </c>
      <c r="G1130" s="25">
        <v>59</v>
      </c>
      <c r="H1130" s="27">
        <v>5.8</v>
      </c>
      <c r="I1130" s="21" t="str">
        <f t="shared" si="68"/>
        <v>No cumple</v>
      </c>
      <c r="J1130" s="22" t="str">
        <f t="shared" si="69"/>
        <v>Sin bono</v>
      </c>
      <c r="K1130" s="23" t="str">
        <f t="shared" si="70"/>
        <v>OK</v>
      </c>
      <c r="L1130" s="24" t="str">
        <f t="shared" si="71"/>
        <v>Revisar</v>
      </c>
    </row>
    <row r="1131" spans="1:12" ht="18" customHeight="1" x14ac:dyDescent="0.3">
      <c r="A1131" s="18" t="s">
        <v>2309</v>
      </c>
      <c r="B1131" s="5" t="s">
        <v>2310</v>
      </c>
      <c r="C1131" s="18" t="s">
        <v>71</v>
      </c>
      <c r="D1131" s="18" t="s">
        <v>78</v>
      </c>
      <c r="E1131" s="6">
        <v>10300000</v>
      </c>
      <c r="F1131" s="19">
        <v>0.89</v>
      </c>
      <c r="G1131" s="18">
        <v>54</v>
      </c>
      <c r="H1131" s="20">
        <v>16.600000000000001</v>
      </c>
      <c r="I1131" s="21" t="str">
        <f t="shared" si="68"/>
        <v>Cumple</v>
      </c>
      <c r="J1131" s="22" t="str">
        <f t="shared" si="69"/>
        <v>Sin bono</v>
      </c>
      <c r="K1131" s="23" t="str">
        <f t="shared" si="70"/>
        <v>OK</v>
      </c>
      <c r="L1131" s="24" t="str">
        <f t="shared" si="71"/>
        <v>Revisar</v>
      </c>
    </row>
    <row r="1132" spans="1:12" ht="18" customHeight="1" x14ac:dyDescent="0.3">
      <c r="A1132" s="25" t="s">
        <v>2311</v>
      </c>
      <c r="B1132" s="8" t="s">
        <v>2312</v>
      </c>
      <c r="C1132" s="25" t="s">
        <v>77</v>
      </c>
      <c r="D1132" s="25" t="s">
        <v>88</v>
      </c>
      <c r="E1132" s="9">
        <v>11700000</v>
      </c>
      <c r="F1132" s="26">
        <v>0.74</v>
      </c>
      <c r="G1132" s="25">
        <v>61</v>
      </c>
      <c r="H1132" s="27">
        <v>7.6</v>
      </c>
      <c r="I1132" s="21" t="str">
        <f t="shared" si="68"/>
        <v>No cumple</v>
      </c>
      <c r="J1132" s="22" t="str">
        <f t="shared" si="69"/>
        <v>Sin bono</v>
      </c>
      <c r="K1132" s="23" t="str">
        <f t="shared" si="70"/>
        <v>OK</v>
      </c>
      <c r="L1132" s="24" t="str">
        <f t="shared" si="71"/>
        <v>Revisar</v>
      </c>
    </row>
    <row r="1133" spans="1:12" ht="18" customHeight="1" x14ac:dyDescent="0.3">
      <c r="A1133" s="18" t="s">
        <v>2313</v>
      </c>
      <c r="B1133" s="5" t="s">
        <v>2314</v>
      </c>
      <c r="C1133" s="18" t="s">
        <v>63</v>
      </c>
      <c r="D1133" s="18" t="s">
        <v>64</v>
      </c>
      <c r="E1133" s="6">
        <v>6200000</v>
      </c>
      <c r="F1133" s="19">
        <v>0.83</v>
      </c>
      <c r="G1133" s="18">
        <v>92</v>
      </c>
      <c r="H1133" s="20">
        <v>10.9</v>
      </c>
      <c r="I1133" s="21" t="str">
        <f t="shared" si="68"/>
        <v>Cumple</v>
      </c>
      <c r="J1133" s="22" t="str">
        <f t="shared" si="69"/>
        <v>BONO</v>
      </c>
      <c r="K1133" s="23" t="str">
        <f t="shared" si="70"/>
        <v>OK</v>
      </c>
      <c r="L1133" s="24" t="str">
        <f t="shared" si="71"/>
        <v>Bueno</v>
      </c>
    </row>
    <row r="1134" spans="1:12" ht="18" customHeight="1" x14ac:dyDescent="0.3">
      <c r="A1134" s="25" t="s">
        <v>2315</v>
      </c>
      <c r="B1134" s="8" t="s">
        <v>2316</v>
      </c>
      <c r="C1134" s="25" t="s">
        <v>63</v>
      </c>
      <c r="D1134" s="25" t="s">
        <v>88</v>
      </c>
      <c r="E1134" s="9">
        <v>12000000</v>
      </c>
      <c r="F1134" s="26">
        <v>0.96</v>
      </c>
      <c r="G1134" s="25">
        <v>64</v>
      </c>
      <c r="H1134" s="27">
        <v>10.4</v>
      </c>
      <c r="I1134" s="21" t="str">
        <f t="shared" si="68"/>
        <v>Cumple</v>
      </c>
      <c r="J1134" s="22" t="str">
        <f t="shared" si="69"/>
        <v>Sin bono</v>
      </c>
      <c r="K1134" s="23" t="str">
        <f t="shared" si="70"/>
        <v>OK</v>
      </c>
      <c r="L1134" s="24" t="str">
        <f t="shared" si="71"/>
        <v>Revisar</v>
      </c>
    </row>
    <row r="1135" spans="1:12" ht="18" customHeight="1" x14ac:dyDescent="0.3">
      <c r="A1135" s="18" t="s">
        <v>2317</v>
      </c>
      <c r="B1135" s="5" t="s">
        <v>2318</v>
      </c>
      <c r="C1135" s="18" t="s">
        <v>67</v>
      </c>
      <c r="D1135" s="18" t="s">
        <v>92</v>
      </c>
      <c r="E1135" s="6">
        <v>9400000</v>
      </c>
      <c r="F1135" s="19">
        <v>0.78</v>
      </c>
      <c r="G1135" s="18">
        <v>90</v>
      </c>
      <c r="H1135" s="20">
        <v>9.3000000000000007</v>
      </c>
      <c r="I1135" s="21" t="str">
        <f t="shared" si="68"/>
        <v>No cumple</v>
      </c>
      <c r="J1135" s="22" t="str">
        <f t="shared" si="69"/>
        <v>Sin bono</v>
      </c>
      <c r="K1135" s="23" t="str">
        <f t="shared" si="70"/>
        <v>OK</v>
      </c>
      <c r="L1135" s="24" t="str">
        <f t="shared" si="71"/>
        <v>Revisar</v>
      </c>
    </row>
    <row r="1136" spans="1:12" ht="18" customHeight="1" x14ac:dyDescent="0.3">
      <c r="A1136" s="25" t="s">
        <v>2319</v>
      </c>
      <c r="B1136" s="8" t="s">
        <v>2320</v>
      </c>
      <c r="C1136" s="25" t="s">
        <v>77</v>
      </c>
      <c r="D1136" s="25" t="s">
        <v>64</v>
      </c>
      <c r="E1136" s="9">
        <v>6800000</v>
      </c>
      <c r="F1136" s="26">
        <v>0.68</v>
      </c>
      <c r="G1136" s="25">
        <v>49</v>
      </c>
      <c r="H1136" s="27">
        <v>9.4</v>
      </c>
      <c r="I1136" s="21" t="str">
        <f t="shared" si="68"/>
        <v>No cumple</v>
      </c>
      <c r="J1136" s="22" t="str">
        <f t="shared" si="69"/>
        <v>Sin bono</v>
      </c>
      <c r="K1136" s="23" t="str">
        <f t="shared" si="70"/>
        <v>ALERTA</v>
      </c>
      <c r="L1136" s="24" t="str">
        <f t="shared" si="71"/>
        <v>Revisar</v>
      </c>
    </row>
    <row r="1137" spans="1:12" ht="18" customHeight="1" x14ac:dyDescent="0.3">
      <c r="A1137" s="18" t="s">
        <v>2321</v>
      </c>
      <c r="B1137" s="5" t="s">
        <v>2322</v>
      </c>
      <c r="C1137" s="18" t="s">
        <v>63</v>
      </c>
      <c r="D1137" s="18" t="s">
        <v>88</v>
      </c>
      <c r="E1137" s="6">
        <v>9900000</v>
      </c>
      <c r="F1137" s="19">
        <v>0.75</v>
      </c>
      <c r="G1137" s="18">
        <v>55</v>
      </c>
      <c r="H1137" s="20">
        <v>1.5</v>
      </c>
      <c r="I1137" s="21" t="str">
        <f t="shared" si="68"/>
        <v>No cumple</v>
      </c>
      <c r="J1137" s="22" t="str">
        <f t="shared" si="69"/>
        <v>Sin bono</v>
      </c>
      <c r="K1137" s="23" t="str">
        <f t="shared" si="70"/>
        <v>OK</v>
      </c>
      <c r="L1137" s="24" t="str">
        <f t="shared" si="71"/>
        <v>Revisar</v>
      </c>
    </row>
    <row r="1138" spans="1:12" ht="18" customHeight="1" x14ac:dyDescent="0.3">
      <c r="A1138" s="25" t="s">
        <v>2323</v>
      </c>
      <c r="B1138" s="8" t="s">
        <v>2324</v>
      </c>
      <c r="C1138" s="25" t="s">
        <v>74</v>
      </c>
      <c r="D1138" s="25" t="s">
        <v>114</v>
      </c>
      <c r="E1138" s="9">
        <v>4600000</v>
      </c>
      <c r="F1138" s="26">
        <v>0.54</v>
      </c>
      <c r="G1138" s="25">
        <v>30</v>
      </c>
      <c r="H1138" s="27">
        <v>6.5</v>
      </c>
      <c r="I1138" s="21" t="str">
        <f t="shared" si="68"/>
        <v>No cumple</v>
      </c>
      <c r="J1138" s="22" t="str">
        <f t="shared" si="69"/>
        <v>Sin bono</v>
      </c>
      <c r="K1138" s="23" t="str">
        <f t="shared" si="70"/>
        <v>ALERTA</v>
      </c>
      <c r="L1138" s="24" t="str">
        <f t="shared" si="71"/>
        <v>Revisar</v>
      </c>
    </row>
    <row r="1139" spans="1:12" ht="18" customHeight="1" x14ac:dyDescent="0.3">
      <c r="A1139" s="18" t="s">
        <v>2325</v>
      </c>
      <c r="B1139" s="5" t="s">
        <v>2326</v>
      </c>
      <c r="C1139" s="18" t="s">
        <v>74</v>
      </c>
      <c r="D1139" s="18" t="s">
        <v>60</v>
      </c>
      <c r="E1139" s="6">
        <v>4900000</v>
      </c>
      <c r="F1139" s="19">
        <v>0.97</v>
      </c>
      <c r="G1139" s="18">
        <v>65</v>
      </c>
      <c r="H1139" s="20">
        <v>14.2</v>
      </c>
      <c r="I1139" s="21" t="str">
        <f t="shared" si="68"/>
        <v>Cumple</v>
      </c>
      <c r="J1139" s="22" t="str">
        <f t="shared" si="69"/>
        <v>Sin bono</v>
      </c>
      <c r="K1139" s="23" t="str">
        <f t="shared" si="70"/>
        <v>OK</v>
      </c>
      <c r="L1139" s="24" t="str">
        <f t="shared" si="71"/>
        <v>Revisar</v>
      </c>
    </row>
    <row r="1140" spans="1:12" ht="18" customHeight="1" x14ac:dyDescent="0.3">
      <c r="A1140" s="25" t="s">
        <v>2327</v>
      </c>
      <c r="B1140" s="8" t="s">
        <v>2328</v>
      </c>
      <c r="C1140" s="25" t="s">
        <v>59</v>
      </c>
      <c r="D1140" s="25" t="s">
        <v>78</v>
      </c>
      <c r="E1140" s="9">
        <v>9900000</v>
      </c>
      <c r="F1140" s="26">
        <v>0.94</v>
      </c>
      <c r="G1140" s="25">
        <v>74</v>
      </c>
      <c r="H1140" s="27">
        <v>3.6</v>
      </c>
      <c r="I1140" s="21" t="str">
        <f t="shared" si="68"/>
        <v>Cumple</v>
      </c>
      <c r="J1140" s="22" t="str">
        <f t="shared" si="69"/>
        <v>BONO</v>
      </c>
      <c r="K1140" s="23" t="str">
        <f t="shared" si="70"/>
        <v>OK</v>
      </c>
      <c r="L1140" s="24" t="str">
        <f t="shared" si="71"/>
        <v>Bueno</v>
      </c>
    </row>
    <row r="1141" spans="1:12" ht="18" customHeight="1" x14ac:dyDescent="0.3">
      <c r="A1141" s="18" t="s">
        <v>2329</v>
      </c>
      <c r="B1141" s="5" t="s">
        <v>2330</v>
      </c>
      <c r="C1141" s="18" t="s">
        <v>63</v>
      </c>
      <c r="D1141" s="18" t="s">
        <v>60</v>
      </c>
      <c r="E1141" s="6">
        <v>10600000</v>
      </c>
      <c r="F1141" s="19">
        <v>0.76</v>
      </c>
      <c r="G1141" s="18">
        <v>54</v>
      </c>
      <c r="H1141" s="20">
        <v>7.6</v>
      </c>
      <c r="I1141" s="21" t="str">
        <f t="shared" si="68"/>
        <v>No cumple</v>
      </c>
      <c r="J1141" s="22" t="str">
        <f t="shared" si="69"/>
        <v>Sin bono</v>
      </c>
      <c r="K1141" s="23" t="str">
        <f t="shared" si="70"/>
        <v>OK</v>
      </c>
      <c r="L1141" s="24" t="str">
        <f t="shared" si="71"/>
        <v>Revisar</v>
      </c>
    </row>
    <row r="1142" spans="1:12" ht="18" customHeight="1" x14ac:dyDescent="0.3">
      <c r="A1142" s="25" t="s">
        <v>2331</v>
      </c>
      <c r="B1142" s="8" t="s">
        <v>2332</v>
      </c>
      <c r="C1142" s="25" t="s">
        <v>91</v>
      </c>
      <c r="D1142" s="25" t="s">
        <v>92</v>
      </c>
      <c r="E1142" s="9">
        <v>11400000</v>
      </c>
      <c r="F1142" s="26">
        <v>0.92</v>
      </c>
      <c r="G1142" s="25">
        <v>70</v>
      </c>
      <c r="H1142" s="27">
        <v>18</v>
      </c>
      <c r="I1142" s="21" t="str">
        <f t="shared" si="68"/>
        <v>Cumple</v>
      </c>
      <c r="J1142" s="22" t="str">
        <f t="shared" si="69"/>
        <v>BONO</v>
      </c>
      <c r="K1142" s="23" t="str">
        <f t="shared" si="70"/>
        <v>OK</v>
      </c>
      <c r="L1142" s="24" t="str">
        <f t="shared" si="71"/>
        <v>Bueno</v>
      </c>
    </row>
    <row r="1143" spans="1:12" ht="18" customHeight="1" x14ac:dyDescent="0.3">
      <c r="A1143" s="18" t="s">
        <v>2333</v>
      </c>
      <c r="B1143" s="5" t="s">
        <v>2334</v>
      </c>
      <c r="C1143" s="18" t="s">
        <v>81</v>
      </c>
      <c r="D1143" s="18" t="s">
        <v>64</v>
      </c>
      <c r="E1143" s="6">
        <v>11300000</v>
      </c>
      <c r="F1143" s="19">
        <v>0.67</v>
      </c>
      <c r="G1143" s="18">
        <v>37</v>
      </c>
      <c r="H1143" s="20">
        <v>1.3</v>
      </c>
      <c r="I1143" s="21" t="str">
        <f t="shared" si="68"/>
        <v>No cumple</v>
      </c>
      <c r="J1143" s="22" t="str">
        <f t="shared" si="69"/>
        <v>Sin bono</v>
      </c>
      <c r="K1143" s="23" t="str">
        <f t="shared" si="70"/>
        <v>ALERTA</v>
      </c>
      <c r="L1143" s="24" t="str">
        <f t="shared" si="71"/>
        <v>Revisar</v>
      </c>
    </row>
    <row r="1144" spans="1:12" ht="18" customHeight="1" x14ac:dyDescent="0.3">
      <c r="A1144" s="25" t="s">
        <v>2335</v>
      </c>
      <c r="B1144" s="8" t="s">
        <v>2336</v>
      </c>
      <c r="C1144" s="25" t="s">
        <v>81</v>
      </c>
      <c r="D1144" s="25" t="s">
        <v>78</v>
      </c>
      <c r="E1144" s="9">
        <v>7100000</v>
      </c>
      <c r="F1144" s="26">
        <v>0.71</v>
      </c>
      <c r="G1144" s="25">
        <v>41</v>
      </c>
      <c r="H1144" s="27">
        <v>11.3</v>
      </c>
      <c r="I1144" s="21" t="str">
        <f t="shared" si="68"/>
        <v>No cumple</v>
      </c>
      <c r="J1144" s="22" t="str">
        <f t="shared" si="69"/>
        <v>Sin bono</v>
      </c>
      <c r="K1144" s="23" t="str">
        <f t="shared" si="70"/>
        <v>ALERTA</v>
      </c>
      <c r="L1144" s="24" t="str">
        <f t="shared" si="71"/>
        <v>Revisar</v>
      </c>
    </row>
    <row r="1145" spans="1:12" ht="18" customHeight="1" x14ac:dyDescent="0.3">
      <c r="A1145" s="18" t="s">
        <v>2337</v>
      </c>
      <c r="B1145" s="5" t="s">
        <v>2338</v>
      </c>
      <c r="C1145" s="18" t="s">
        <v>74</v>
      </c>
      <c r="D1145" s="18" t="s">
        <v>114</v>
      </c>
      <c r="E1145" s="6">
        <v>6800000</v>
      </c>
      <c r="F1145" s="19">
        <v>0.78</v>
      </c>
      <c r="G1145" s="18">
        <v>32</v>
      </c>
      <c r="H1145" s="20">
        <v>15.3</v>
      </c>
      <c r="I1145" s="21" t="str">
        <f t="shared" si="68"/>
        <v>No cumple</v>
      </c>
      <c r="J1145" s="22" t="str">
        <f t="shared" si="69"/>
        <v>Sin bono</v>
      </c>
      <c r="K1145" s="23" t="str">
        <f t="shared" si="70"/>
        <v>ALERTA</v>
      </c>
      <c r="L1145" s="24" t="str">
        <f t="shared" si="71"/>
        <v>Revisar</v>
      </c>
    </row>
    <row r="1146" spans="1:12" ht="18" customHeight="1" x14ac:dyDescent="0.3">
      <c r="A1146" s="25" t="s">
        <v>2339</v>
      </c>
      <c r="B1146" s="8" t="s">
        <v>2340</v>
      </c>
      <c r="C1146" s="25" t="s">
        <v>74</v>
      </c>
      <c r="D1146" s="25" t="s">
        <v>114</v>
      </c>
      <c r="E1146" s="9">
        <v>7300000</v>
      </c>
      <c r="F1146" s="26">
        <v>0.62</v>
      </c>
      <c r="G1146" s="25">
        <v>89</v>
      </c>
      <c r="H1146" s="27">
        <v>10.9</v>
      </c>
      <c r="I1146" s="21" t="str">
        <f t="shared" si="68"/>
        <v>No cumple</v>
      </c>
      <c r="J1146" s="22" t="str">
        <f t="shared" si="69"/>
        <v>Sin bono</v>
      </c>
      <c r="K1146" s="23" t="str">
        <f t="shared" si="70"/>
        <v>OK</v>
      </c>
      <c r="L1146" s="24" t="str">
        <f t="shared" si="71"/>
        <v>Revisar</v>
      </c>
    </row>
    <row r="1147" spans="1:12" ht="18" customHeight="1" x14ac:dyDescent="0.3">
      <c r="A1147" s="18" t="s">
        <v>2341</v>
      </c>
      <c r="B1147" s="5" t="s">
        <v>2342</v>
      </c>
      <c r="C1147" s="18" t="s">
        <v>63</v>
      </c>
      <c r="D1147" s="18" t="s">
        <v>88</v>
      </c>
      <c r="E1147" s="6">
        <v>3300000</v>
      </c>
      <c r="F1147" s="19">
        <v>0.98</v>
      </c>
      <c r="G1147" s="18">
        <v>59</v>
      </c>
      <c r="H1147" s="20">
        <v>15.3</v>
      </c>
      <c r="I1147" s="21" t="str">
        <f t="shared" si="68"/>
        <v>Cumple</v>
      </c>
      <c r="J1147" s="22" t="str">
        <f t="shared" si="69"/>
        <v>Sin bono</v>
      </c>
      <c r="K1147" s="23" t="str">
        <f t="shared" si="70"/>
        <v>OK</v>
      </c>
      <c r="L1147" s="24" t="str">
        <f t="shared" si="71"/>
        <v>Revisar</v>
      </c>
    </row>
    <row r="1148" spans="1:12" ht="18" customHeight="1" x14ac:dyDescent="0.3">
      <c r="A1148" s="25" t="s">
        <v>2343</v>
      </c>
      <c r="B1148" s="8" t="s">
        <v>2344</v>
      </c>
      <c r="C1148" s="25" t="s">
        <v>63</v>
      </c>
      <c r="D1148" s="25" t="s">
        <v>60</v>
      </c>
      <c r="E1148" s="9">
        <v>8800000</v>
      </c>
      <c r="F1148" s="26">
        <v>0.82</v>
      </c>
      <c r="G1148" s="25">
        <v>89</v>
      </c>
      <c r="H1148" s="27">
        <v>14.1</v>
      </c>
      <c r="I1148" s="21" t="str">
        <f t="shared" si="68"/>
        <v>Cumple</v>
      </c>
      <c r="J1148" s="22" t="str">
        <f t="shared" si="69"/>
        <v>BONO</v>
      </c>
      <c r="K1148" s="23" t="str">
        <f t="shared" si="70"/>
        <v>OK</v>
      </c>
      <c r="L1148" s="24" t="str">
        <f t="shared" si="71"/>
        <v>Bueno</v>
      </c>
    </row>
    <row r="1149" spans="1:12" ht="18" customHeight="1" x14ac:dyDescent="0.3">
      <c r="A1149" s="18" t="s">
        <v>2345</v>
      </c>
      <c r="B1149" s="5" t="s">
        <v>2346</v>
      </c>
      <c r="C1149" s="18" t="s">
        <v>74</v>
      </c>
      <c r="D1149" s="18" t="s">
        <v>92</v>
      </c>
      <c r="E1149" s="6">
        <v>9000000</v>
      </c>
      <c r="F1149" s="19">
        <v>0.82</v>
      </c>
      <c r="G1149" s="18">
        <v>33</v>
      </c>
      <c r="H1149" s="20">
        <v>4.4000000000000004</v>
      </c>
      <c r="I1149" s="21" t="str">
        <f t="shared" si="68"/>
        <v>Cumple</v>
      </c>
      <c r="J1149" s="22" t="str">
        <f t="shared" si="69"/>
        <v>Sin bono</v>
      </c>
      <c r="K1149" s="23" t="str">
        <f t="shared" si="70"/>
        <v>ALERTA</v>
      </c>
      <c r="L1149" s="24" t="str">
        <f t="shared" si="71"/>
        <v>Revisar</v>
      </c>
    </row>
    <row r="1150" spans="1:12" ht="18" customHeight="1" x14ac:dyDescent="0.3">
      <c r="A1150" s="25" t="s">
        <v>2347</v>
      </c>
      <c r="B1150" s="8" t="s">
        <v>2348</v>
      </c>
      <c r="C1150" s="25" t="s">
        <v>74</v>
      </c>
      <c r="D1150" s="25" t="s">
        <v>60</v>
      </c>
      <c r="E1150" s="9">
        <v>4500000</v>
      </c>
      <c r="F1150" s="26">
        <v>0.72</v>
      </c>
      <c r="G1150" s="25">
        <v>35</v>
      </c>
      <c r="H1150" s="27">
        <v>4.2</v>
      </c>
      <c r="I1150" s="21" t="str">
        <f t="shared" si="68"/>
        <v>No cumple</v>
      </c>
      <c r="J1150" s="22" t="str">
        <f t="shared" si="69"/>
        <v>Sin bono</v>
      </c>
      <c r="K1150" s="23" t="str">
        <f t="shared" si="70"/>
        <v>ALERTA</v>
      </c>
      <c r="L1150" s="24" t="str">
        <f t="shared" si="71"/>
        <v>Revisar</v>
      </c>
    </row>
    <row r="1151" spans="1:12" ht="18" customHeight="1" x14ac:dyDescent="0.3">
      <c r="A1151" s="18" t="s">
        <v>2349</v>
      </c>
      <c r="B1151" s="5" t="s">
        <v>2350</v>
      </c>
      <c r="C1151" s="18" t="s">
        <v>71</v>
      </c>
      <c r="D1151" s="18" t="s">
        <v>114</v>
      </c>
      <c r="E1151" s="6">
        <v>7800000</v>
      </c>
      <c r="F1151" s="19">
        <v>0.83</v>
      </c>
      <c r="G1151" s="18">
        <v>43</v>
      </c>
      <c r="H1151" s="20">
        <v>9.3000000000000007</v>
      </c>
      <c r="I1151" s="21" t="str">
        <f t="shared" si="68"/>
        <v>Cumple</v>
      </c>
      <c r="J1151" s="22" t="str">
        <f t="shared" si="69"/>
        <v>Sin bono</v>
      </c>
      <c r="K1151" s="23" t="str">
        <f t="shared" si="70"/>
        <v>ALERTA</v>
      </c>
      <c r="L1151" s="24" t="str">
        <f t="shared" si="71"/>
        <v>Revisar</v>
      </c>
    </row>
    <row r="1152" spans="1:12" ht="18" customHeight="1" x14ac:dyDescent="0.3">
      <c r="A1152" s="25" t="s">
        <v>2351</v>
      </c>
      <c r="B1152" s="8" t="s">
        <v>2352</v>
      </c>
      <c r="C1152" s="25" t="s">
        <v>81</v>
      </c>
      <c r="D1152" s="25" t="s">
        <v>105</v>
      </c>
      <c r="E1152" s="9">
        <v>11900000</v>
      </c>
      <c r="F1152" s="26">
        <v>0.63</v>
      </c>
      <c r="G1152" s="25">
        <v>98</v>
      </c>
      <c r="H1152" s="27">
        <v>19.399999999999999</v>
      </c>
      <c r="I1152" s="21" t="str">
        <f t="shared" si="68"/>
        <v>No cumple</v>
      </c>
      <c r="J1152" s="22" t="str">
        <f t="shared" si="69"/>
        <v>Sin bono</v>
      </c>
      <c r="K1152" s="23" t="str">
        <f t="shared" si="70"/>
        <v>OK</v>
      </c>
      <c r="L1152" s="24" t="str">
        <f t="shared" si="71"/>
        <v>Revisar</v>
      </c>
    </row>
    <row r="1153" spans="1:12" ht="18" customHeight="1" x14ac:dyDescent="0.3">
      <c r="A1153" s="18" t="s">
        <v>2353</v>
      </c>
      <c r="B1153" s="5" t="s">
        <v>2354</v>
      </c>
      <c r="C1153" s="18" t="s">
        <v>71</v>
      </c>
      <c r="D1153" s="18" t="s">
        <v>68</v>
      </c>
      <c r="E1153" s="6">
        <v>9600000</v>
      </c>
      <c r="F1153" s="19">
        <v>0.87</v>
      </c>
      <c r="G1153" s="18">
        <v>40</v>
      </c>
      <c r="H1153" s="20">
        <v>3</v>
      </c>
      <c r="I1153" s="21" t="str">
        <f t="shared" si="68"/>
        <v>Cumple</v>
      </c>
      <c r="J1153" s="22" t="str">
        <f t="shared" si="69"/>
        <v>Sin bono</v>
      </c>
      <c r="K1153" s="23" t="str">
        <f t="shared" si="70"/>
        <v>ALERTA</v>
      </c>
      <c r="L1153" s="24" t="str">
        <f t="shared" si="71"/>
        <v>Revisar</v>
      </c>
    </row>
    <row r="1154" spans="1:12" ht="18" customHeight="1" x14ac:dyDescent="0.3">
      <c r="A1154" s="25" t="s">
        <v>2355</v>
      </c>
      <c r="B1154" s="8" t="s">
        <v>2356</v>
      </c>
      <c r="C1154" s="25" t="s">
        <v>59</v>
      </c>
      <c r="D1154" s="25" t="s">
        <v>92</v>
      </c>
      <c r="E1154" s="9">
        <v>8100000</v>
      </c>
      <c r="F1154" s="26">
        <v>0.46</v>
      </c>
      <c r="G1154" s="25">
        <v>71</v>
      </c>
      <c r="H1154" s="27">
        <v>6</v>
      </c>
      <c r="I1154" s="21" t="str">
        <f t="shared" si="68"/>
        <v>No cumple</v>
      </c>
      <c r="J1154" s="22" t="str">
        <f t="shared" si="69"/>
        <v>Sin bono</v>
      </c>
      <c r="K1154" s="23" t="str">
        <f t="shared" si="70"/>
        <v>ALERTA</v>
      </c>
      <c r="L1154" s="24" t="str">
        <f t="shared" si="71"/>
        <v>Revisar</v>
      </c>
    </row>
    <row r="1155" spans="1:12" ht="18" customHeight="1" x14ac:dyDescent="0.3">
      <c r="A1155" s="18" t="s">
        <v>2357</v>
      </c>
      <c r="B1155" s="5" t="s">
        <v>2358</v>
      </c>
      <c r="C1155" s="18" t="s">
        <v>74</v>
      </c>
      <c r="D1155" s="18" t="s">
        <v>68</v>
      </c>
      <c r="E1155" s="6">
        <v>9300000</v>
      </c>
      <c r="F1155" s="19">
        <v>0.99</v>
      </c>
      <c r="G1155" s="18">
        <v>40</v>
      </c>
      <c r="H1155" s="20">
        <v>6.8</v>
      </c>
      <c r="I1155" s="21" t="str">
        <f t="shared" si="68"/>
        <v>Cumple</v>
      </c>
      <c r="J1155" s="22" t="str">
        <f t="shared" si="69"/>
        <v>Sin bono</v>
      </c>
      <c r="K1155" s="23" t="str">
        <f t="shared" si="70"/>
        <v>ALERTA</v>
      </c>
      <c r="L1155" s="24" t="str">
        <f t="shared" si="71"/>
        <v>Revisar</v>
      </c>
    </row>
    <row r="1156" spans="1:12" ht="18" customHeight="1" x14ac:dyDescent="0.3">
      <c r="A1156" s="25" t="s">
        <v>2359</v>
      </c>
      <c r="B1156" s="8" t="s">
        <v>2360</v>
      </c>
      <c r="C1156" s="25" t="s">
        <v>77</v>
      </c>
      <c r="D1156" s="25" t="s">
        <v>60</v>
      </c>
      <c r="E1156" s="9">
        <v>8300000</v>
      </c>
      <c r="F1156" s="26">
        <v>0.6</v>
      </c>
      <c r="G1156" s="25">
        <v>53</v>
      </c>
      <c r="H1156" s="27">
        <v>5.5</v>
      </c>
      <c r="I1156" s="21" t="str">
        <f t="shared" si="68"/>
        <v>No cumple</v>
      </c>
      <c r="J1156" s="22" t="str">
        <f t="shared" si="69"/>
        <v>Sin bono</v>
      </c>
      <c r="K1156" s="23" t="str">
        <f t="shared" si="70"/>
        <v>OK</v>
      </c>
      <c r="L1156" s="24" t="str">
        <f t="shared" si="71"/>
        <v>Revisar</v>
      </c>
    </row>
    <row r="1157" spans="1:12" ht="18" customHeight="1" x14ac:dyDescent="0.3">
      <c r="A1157" s="18" t="s">
        <v>2361</v>
      </c>
      <c r="B1157" s="5" t="s">
        <v>2362</v>
      </c>
      <c r="C1157" s="18" t="s">
        <v>74</v>
      </c>
      <c r="D1157" s="18" t="s">
        <v>88</v>
      </c>
      <c r="E1157" s="6">
        <v>11900000</v>
      </c>
      <c r="F1157" s="19">
        <v>0.79</v>
      </c>
      <c r="G1157" s="18">
        <v>88</v>
      </c>
      <c r="H1157" s="20">
        <v>11.8</v>
      </c>
      <c r="I1157" s="21" t="str">
        <f t="shared" si="68"/>
        <v>No cumple</v>
      </c>
      <c r="J1157" s="22" t="str">
        <f t="shared" si="69"/>
        <v>Sin bono</v>
      </c>
      <c r="K1157" s="23" t="str">
        <f t="shared" si="70"/>
        <v>OK</v>
      </c>
      <c r="L1157" s="24" t="str">
        <f t="shared" si="71"/>
        <v>Revisar</v>
      </c>
    </row>
    <row r="1158" spans="1:12" ht="18" customHeight="1" x14ac:dyDescent="0.3">
      <c r="A1158" s="25" t="s">
        <v>2363</v>
      </c>
      <c r="B1158" s="8" t="s">
        <v>2364</v>
      </c>
      <c r="C1158" s="25" t="s">
        <v>77</v>
      </c>
      <c r="D1158" s="25" t="s">
        <v>114</v>
      </c>
      <c r="E1158" s="9">
        <v>11500000</v>
      </c>
      <c r="F1158" s="26">
        <v>0.95</v>
      </c>
      <c r="G1158" s="25">
        <v>79</v>
      </c>
      <c r="H1158" s="27">
        <v>11.6</v>
      </c>
      <c r="I1158" s="21" t="str">
        <f t="shared" si="68"/>
        <v>Cumple</v>
      </c>
      <c r="J1158" s="22" t="str">
        <f t="shared" si="69"/>
        <v>BONO</v>
      </c>
      <c r="K1158" s="23" t="str">
        <f t="shared" si="70"/>
        <v>OK</v>
      </c>
      <c r="L1158" s="24" t="str">
        <f t="shared" si="71"/>
        <v>Bueno</v>
      </c>
    </row>
    <row r="1159" spans="1:12" ht="18" customHeight="1" x14ac:dyDescent="0.3">
      <c r="A1159" s="18" t="s">
        <v>2365</v>
      </c>
      <c r="B1159" s="5" t="s">
        <v>2366</v>
      </c>
      <c r="C1159" s="18" t="s">
        <v>67</v>
      </c>
      <c r="D1159" s="18" t="s">
        <v>114</v>
      </c>
      <c r="E1159" s="6">
        <v>8600000</v>
      </c>
      <c r="F1159" s="19">
        <v>0.65</v>
      </c>
      <c r="G1159" s="18">
        <v>60</v>
      </c>
      <c r="H1159" s="20">
        <v>3.5</v>
      </c>
      <c r="I1159" s="21" t="str">
        <f t="shared" si="68"/>
        <v>No cumple</v>
      </c>
      <c r="J1159" s="22" t="str">
        <f t="shared" si="69"/>
        <v>Sin bono</v>
      </c>
      <c r="K1159" s="23" t="str">
        <f t="shared" si="70"/>
        <v>OK</v>
      </c>
      <c r="L1159" s="24" t="str">
        <f t="shared" si="71"/>
        <v>Revisar</v>
      </c>
    </row>
    <row r="1160" spans="1:12" ht="18" customHeight="1" x14ac:dyDescent="0.3">
      <c r="A1160" s="25" t="s">
        <v>2367</v>
      </c>
      <c r="B1160" s="8" t="s">
        <v>2368</v>
      </c>
      <c r="C1160" s="25" t="s">
        <v>63</v>
      </c>
      <c r="D1160" s="25" t="s">
        <v>88</v>
      </c>
      <c r="E1160" s="9">
        <v>11900000</v>
      </c>
      <c r="F1160" s="26">
        <v>0.75</v>
      </c>
      <c r="G1160" s="25">
        <v>98</v>
      </c>
      <c r="H1160" s="27">
        <v>14.3</v>
      </c>
      <c r="I1160" s="21" t="str">
        <f t="shared" si="68"/>
        <v>No cumple</v>
      </c>
      <c r="J1160" s="22" t="str">
        <f t="shared" si="69"/>
        <v>Sin bono</v>
      </c>
      <c r="K1160" s="23" t="str">
        <f t="shared" si="70"/>
        <v>OK</v>
      </c>
      <c r="L1160" s="24" t="str">
        <f t="shared" si="71"/>
        <v>Revisar</v>
      </c>
    </row>
    <row r="1161" spans="1:12" ht="18" customHeight="1" x14ac:dyDescent="0.3">
      <c r="A1161" s="18" t="s">
        <v>2369</v>
      </c>
      <c r="B1161" s="5" t="s">
        <v>2370</v>
      </c>
      <c r="C1161" s="18" t="s">
        <v>77</v>
      </c>
      <c r="D1161" s="18" t="s">
        <v>114</v>
      </c>
      <c r="E1161" s="6">
        <v>8900000</v>
      </c>
      <c r="F1161" s="19">
        <v>0.94</v>
      </c>
      <c r="G1161" s="18">
        <v>31</v>
      </c>
      <c r="H1161" s="20">
        <v>13.4</v>
      </c>
      <c r="I1161" s="21" t="str">
        <f t="shared" si="68"/>
        <v>Cumple</v>
      </c>
      <c r="J1161" s="22" t="str">
        <f t="shared" si="69"/>
        <v>Sin bono</v>
      </c>
      <c r="K1161" s="23" t="str">
        <f t="shared" si="70"/>
        <v>ALERTA</v>
      </c>
      <c r="L1161" s="24" t="str">
        <f t="shared" si="71"/>
        <v>Revisar</v>
      </c>
    </row>
    <row r="1162" spans="1:12" ht="18" customHeight="1" x14ac:dyDescent="0.3">
      <c r="A1162" s="25" t="s">
        <v>2371</v>
      </c>
      <c r="B1162" s="8" t="s">
        <v>2372</v>
      </c>
      <c r="C1162" s="25" t="s">
        <v>67</v>
      </c>
      <c r="D1162" s="25" t="s">
        <v>60</v>
      </c>
      <c r="E1162" s="9">
        <v>11600000</v>
      </c>
      <c r="F1162" s="26">
        <v>0.84</v>
      </c>
      <c r="G1162" s="25">
        <v>52</v>
      </c>
      <c r="H1162" s="27">
        <v>0.8</v>
      </c>
      <c r="I1162" s="21" t="str">
        <f t="shared" si="68"/>
        <v>Cumple</v>
      </c>
      <c r="J1162" s="22" t="str">
        <f t="shared" si="69"/>
        <v>Sin bono</v>
      </c>
      <c r="K1162" s="23" t="str">
        <f t="shared" si="70"/>
        <v>OK</v>
      </c>
      <c r="L1162" s="24" t="str">
        <f t="shared" si="71"/>
        <v>Revisar</v>
      </c>
    </row>
    <row r="1163" spans="1:12" ht="18" customHeight="1" x14ac:dyDescent="0.3">
      <c r="A1163" s="18" t="s">
        <v>2373</v>
      </c>
      <c r="B1163" s="5" t="s">
        <v>2374</v>
      </c>
      <c r="C1163" s="18" t="s">
        <v>77</v>
      </c>
      <c r="D1163" s="18" t="s">
        <v>88</v>
      </c>
      <c r="E1163" s="6">
        <v>10000000</v>
      </c>
      <c r="F1163" s="19">
        <v>0.46</v>
      </c>
      <c r="G1163" s="18">
        <v>85</v>
      </c>
      <c r="H1163" s="20">
        <v>17.2</v>
      </c>
      <c r="I1163" s="21" t="str">
        <f t="shared" si="68"/>
        <v>No cumple</v>
      </c>
      <c r="J1163" s="22" t="str">
        <f t="shared" si="69"/>
        <v>Sin bono</v>
      </c>
      <c r="K1163" s="23" t="str">
        <f t="shared" si="70"/>
        <v>ALERTA</v>
      </c>
      <c r="L1163" s="24" t="str">
        <f t="shared" si="71"/>
        <v>Revisar</v>
      </c>
    </row>
    <row r="1164" spans="1:12" ht="18" customHeight="1" x14ac:dyDescent="0.3">
      <c r="A1164" s="25" t="s">
        <v>2375</v>
      </c>
      <c r="B1164" s="8" t="s">
        <v>2376</v>
      </c>
      <c r="C1164" s="25" t="s">
        <v>59</v>
      </c>
      <c r="D1164" s="25" t="s">
        <v>88</v>
      </c>
      <c r="E1164" s="9">
        <v>10500000</v>
      </c>
      <c r="F1164" s="26">
        <v>0.86</v>
      </c>
      <c r="G1164" s="25">
        <v>32</v>
      </c>
      <c r="H1164" s="27">
        <v>2.8</v>
      </c>
      <c r="I1164" s="21" t="str">
        <f t="shared" si="68"/>
        <v>Cumple</v>
      </c>
      <c r="J1164" s="22" t="str">
        <f t="shared" si="69"/>
        <v>Sin bono</v>
      </c>
      <c r="K1164" s="23" t="str">
        <f t="shared" si="70"/>
        <v>ALERTA</v>
      </c>
      <c r="L1164" s="24" t="str">
        <f t="shared" si="71"/>
        <v>Revisar</v>
      </c>
    </row>
    <row r="1165" spans="1:12" ht="18" customHeight="1" x14ac:dyDescent="0.3">
      <c r="A1165" s="18" t="s">
        <v>2377</v>
      </c>
      <c r="B1165" s="5" t="s">
        <v>2378</v>
      </c>
      <c r="C1165" s="18" t="s">
        <v>91</v>
      </c>
      <c r="D1165" s="18" t="s">
        <v>68</v>
      </c>
      <c r="E1165" s="6">
        <v>3200000</v>
      </c>
      <c r="F1165" s="19">
        <v>0.98</v>
      </c>
      <c r="G1165" s="18">
        <v>71</v>
      </c>
      <c r="H1165" s="20">
        <v>15.8</v>
      </c>
      <c r="I1165" s="21" t="str">
        <f t="shared" ref="I1165:I1228" si="72">IF(F1165&gt;=0.8,"Cumple","No cumple")</f>
        <v>Cumple</v>
      </c>
      <c r="J1165" s="22" t="str">
        <f t="shared" ref="J1165:J1228" si="73">IF(AND(F1165&gt;=0.8,G1165&gt;=70),"BONO","Sin bono")</f>
        <v>BONO</v>
      </c>
      <c r="K1165" s="23" t="str">
        <f t="shared" ref="K1165:K1228" si="74">IF(OR(F1165&lt;0.6,G1165&lt;50),"ALERTA","OK")</f>
        <v>OK</v>
      </c>
      <c r="L1165" s="24" t="str">
        <f t="shared" ref="L1165:L1228" si="75">IF(AND(F1165&gt;=0.9,G1165&gt;=85),"Excelente",IF(AND(F1165&gt;=0.8,G1165&gt;=70),"Bueno","Revisar"))</f>
        <v>Bueno</v>
      </c>
    </row>
    <row r="1166" spans="1:12" ht="18" customHeight="1" x14ac:dyDescent="0.3">
      <c r="A1166" s="25" t="s">
        <v>2379</v>
      </c>
      <c r="B1166" s="8" t="s">
        <v>2380</v>
      </c>
      <c r="C1166" s="25" t="s">
        <v>71</v>
      </c>
      <c r="D1166" s="25" t="s">
        <v>92</v>
      </c>
      <c r="E1166" s="9">
        <v>8600000</v>
      </c>
      <c r="F1166" s="26">
        <v>0.74</v>
      </c>
      <c r="G1166" s="25">
        <v>85</v>
      </c>
      <c r="H1166" s="27">
        <v>17.8</v>
      </c>
      <c r="I1166" s="21" t="str">
        <f t="shared" si="72"/>
        <v>No cumple</v>
      </c>
      <c r="J1166" s="22" t="str">
        <f t="shared" si="73"/>
        <v>Sin bono</v>
      </c>
      <c r="K1166" s="23" t="str">
        <f t="shared" si="74"/>
        <v>OK</v>
      </c>
      <c r="L1166" s="24" t="str">
        <f t="shared" si="75"/>
        <v>Revisar</v>
      </c>
    </row>
    <row r="1167" spans="1:12" ht="18" customHeight="1" x14ac:dyDescent="0.3">
      <c r="A1167" s="18" t="s">
        <v>2381</v>
      </c>
      <c r="B1167" s="5" t="s">
        <v>2382</v>
      </c>
      <c r="C1167" s="18" t="s">
        <v>67</v>
      </c>
      <c r="D1167" s="18" t="s">
        <v>60</v>
      </c>
      <c r="E1167" s="6">
        <v>5300000</v>
      </c>
      <c r="F1167" s="19">
        <v>0.62</v>
      </c>
      <c r="G1167" s="18">
        <v>84</v>
      </c>
      <c r="H1167" s="20">
        <v>19.8</v>
      </c>
      <c r="I1167" s="21" t="str">
        <f t="shared" si="72"/>
        <v>No cumple</v>
      </c>
      <c r="J1167" s="22" t="str">
        <f t="shared" si="73"/>
        <v>Sin bono</v>
      </c>
      <c r="K1167" s="23" t="str">
        <f t="shared" si="74"/>
        <v>OK</v>
      </c>
      <c r="L1167" s="24" t="str">
        <f t="shared" si="75"/>
        <v>Revisar</v>
      </c>
    </row>
    <row r="1168" spans="1:12" ht="18" customHeight="1" x14ac:dyDescent="0.3">
      <c r="A1168" s="25" t="s">
        <v>2383</v>
      </c>
      <c r="B1168" s="8" t="s">
        <v>2384</v>
      </c>
      <c r="C1168" s="25" t="s">
        <v>81</v>
      </c>
      <c r="D1168" s="25" t="s">
        <v>68</v>
      </c>
      <c r="E1168" s="9">
        <v>5200000</v>
      </c>
      <c r="F1168" s="26">
        <v>0.56999999999999995</v>
      </c>
      <c r="G1168" s="25">
        <v>41</v>
      </c>
      <c r="H1168" s="27">
        <v>16</v>
      </c>
      <c r="I1168" s="21" t="str">
        <f t="shared" si="72"/>
        <v>No cumple</v>
      </c>
      <c r="J1168" s="22" t="str">
        <f t="shared" si="73"/>
        <v>Sin bono</v>
      </c>
      <c r="K1168" s="23" t="str">
        <f t="shared" si="74"/>
        <v>ALERTA</v>
      </c>
      <c r="L1168" s="24" t="str">
        <f t="shared" si="75"/>
        <v>Revisar</v>
      </c>
    </row>
    <row r="1169" spans="1:12" ht="18" customHeight="1" x14ac:dyDescent="0.3">
      <c r="A1169" s="18" t="s">
        <v>2385</v>
      </c>
      <c r="B1169" s="5" t="s">
        <v>2386</v>
      </c>
      <c r="C1169" s="18" t="s">
        <v>63</v>
      </c>
      <c r="D1169" s="18" t="s">
        <v>68</v>
      </c>
      <c r="E1169" s="6">
        <v>4000000</v>
      </c>
      <c r="F1169" s="19">
        <v>0.65</v>
      </c>
      <c r="G1169" s="18">
        <v>69</v>
      </c>
      <c r="H1169" s="20">
        <v>16.7</v>
      </c>
      <c r="I1169" s="21" t="str">
        <f t="shared" si="72"/>
        <v>No cumple</v>
      </c>
      <c r="J1169" s="22" t="str">
        <f t="shared" si="73"/>
        <v>Sin bono</v>
      </c>
      <c r="K1169" s="23" t="str">
        <f t="shared" si="74"/>
        <v>OK</v>
      </c>
      <c r="L1169" s="24" t="str">
        <f t="shared" si="75"/>
        <v>Revisar</v>
      </c>
    </row>
    <row r="1170" spans="1:12" ht="18" customHeight="1" x14ac:dyDescent="0.3">
      <c r="A1170" s="25" t="s">
        <v>2387</v>
      </c>
      <c r="B1170" s="8" t="s">
        <v>2388</v>
      </c>
      <c r="C1170" s="25" t="s">
        <v>71</v>
      </c>
      <c r="D1170" s="25" t="s">
        <v>64</v>
      </c>
      <c r="E1170" s="9">
        <v>6700000</v>
      </c>
      <c r="F1170" s="26">
        <v>0.71</v>
      </c>
      <c r="G1170" s="25">
        <v>62</v>
      </c>
      <c r="H1170" s="27">
        <v>2.6</v>
      </c>
      <c r="I1170" s="21" t="str">
        <f t="shared" si="72"/>
        <v>No cumple</v>
      </c>
      <c r="J1170" s="22" t="str">
        <f t="shared" si="73"/>
        <v>Sin bono</v>
      </c>
      <c r="K1170" s="23" t="str">
        <f t="shared" si="74"/>
        <v>OK</v>
      </c>
      <c r="L1170" s="24" t="str">
        <f t="shared" si="75"/>
        <v>Revisar</v>
      </c>
    </row>
    <row r="1171" spans="1:12" ht="18" customHeight="1" x14ac:dyDescent="0.3">
      <c r="A1171" s="18" t="s">
        <v>2389</v>
      </c>
      <c r="B1171" s="5" t="s">
        <v>2390</v>
      </c>
      <c r="C1171" s="18" t="s">
        <v>77</v>
      </c>
      <c r="D1171" s="18" t="s">
        <v>88</v>
      </c>
      <c r="E1171" s="6">
        <v>9700000</v>
      </c>
      <c r="F1171" s="19">
        <v>0.69</v>
      </c>
      <c r="G1171" s="18">
        <v>65</v>
      </c>
      <c r="H1171" s="20">
        <v>13.1</v>
      </c>
      <c r="I1171" s="21" t="str">
        <f t="shared" si="72"/>
        <v>No cumple</v>
      </c>
      <c r="J1171" s="22" t="str">
        <f t="shared" si="73"/>
        <v>Sin bono</v>
      </c>
      <c r="K1171" s="23" t="str">
        <f t="shared" si="74"/>
        <v>OK</v>
      </c>
      <c r="L1171" s="24" t="str">
        <f t="shared" si="75"/>
        <v>Revisar</v>
      </c>
    </row>
    <row r="1172" spans="1:12" ht="18" customHeight="1" x14ac:dyDescent="0.3">
      <c r="A1172" s="25" t="s">
        <v>2391</v>
      </c>
      <c r="B1172" s="8" t="s">
        <v>2392</v>
      </c>
      <c r="C1172" s="25" t="s">
        <v>77</v>
      </c>
      <c r="D1172" s="25" t="s">
        <v>68</v>
      </c>
      <c r="E1172" s="9">
        <v>8100000</v>
      </c>
      <c r="F1172" s="26">
        <v>0.48</v>
      </c>
      <c r="G1172" s="25">
        <v>43</v>
      </c>
      <c r="H1172" s="27">
        <v>17.3</v>
      </c>
      <c r="I1172" s="21" t="str">
        <f t="shared" si="72"/>
        <v>No cumple</v>
      </c>
      <c r="J1172" s="22" t="str">
        <f t="shared" si="73"/>
        <v>Sin bono</v>
      </c>
      <c r="K1172" s="23" t="str">
        <f t="shared" si="74"/>
        <v>ALERTA</v>
      </c>
      <c r="L1172" s="24" t="str">
        <f t="shared" si="75"/>
        <v>Revisar</v>
      </c>
    </row>
    <row r="1173" spans="1:12" ht="18" customHeight="1" x14ac:dyDescent="0.3">
      <c r="A1173" s="18" t="s">
        <v>2393</v>
      </c>
      <c r="B1173" s="5" t="s">
        <v>2394</v>
      </c>
      <c r="C1173" s="18" t="s">
        <v>59</v>
      </c>
      <c r="D1173" s="18" t="s">
        <v>88</v>
      </c>
      <c r="E1173" s="6">
        <v>10900000</v>
      </c>
      <c r="F1173" s="19">
        <v>0.73</v>
      </c>
      <c r="G1173" s="18">
        <v>83</v>
      </c>
      <c r="H1173" s="20">
        <v>13.3</v>
      </c>
      <c r="I1173" s="21" t="str">
        <f t="shared" si="72"/>
        <v>No cumple</v>
      </c>
      <c r="J1173" s="22" t="str">
        <f t="shared" si="73"/>
        <v>Sin bono</v>
      </c>
      <c r="K1173" s="23" t="str">
        <f t="shared" si="74"/>
        <v>OK</v>
      </c>
      <c r="L1173" s="24" t="str">
        <f t="shared" si="75"/>
        <v>Revisar</v>
      </c>
    </row>
    <row r="1174" spans="1:12" ht="18" customHeight="1" x14ac:dyDescent="0.3">
      <c r="A1174" s="25" t="s">
        <v>2395</v>
      </c>
      <c r="B1174" s="8" t="s">
        <v>2396</v>
      </c>
      <c r="C1174" s="25" t="s">
        <v>74</v>
      </c>
      <c r="D1174" s="25" t="s">
        <v>105</v>
      </c>
      <c r="E1174" s="9">
        <v>5900000</v>
      </c>
      <c r="F1174" s="26">
        <v>0.77</v>
      </c>
      <c r="G1174" s="25">
        <v>58</v>
      </c>
      <c r="H1174" s="27">
        <v>11.8</v>
      </c>
      <c r="I1174" s="21" t="str">
        <f t="shared" si="72"/>
        <v>No cumple</v>
      </c>
      <c r="J1174" s="22" t="str">
        <f t="shared" si="73"/>
        <v>Sin bono</v>
      </c>
      <c r="K1174" s="23" t="str">
        <f t="shared" si="74"/>
        <v>OK</v>
      </c>
      <c r="L1174" s="24" t="str">
        <f t="shared" si="75"/>
        <v>Revisar</v>
      </c>
    </row>
    <row r="1175" spans="1:12" ht="18" customHeight="1" x14ac:dyDescent="0.3">
      <c r="A1175" s="18" t="s">
        <v>2397</v>
      </c>
      <c r="B1175" s="5" t="s">
        <v>2398</v>
      </c>
      <c r="C1175" s="18" t="s">
        <v>63</v>
      </c>
      <c r="D1175" s="18" t="s">
        <v>92</v>
      </c>
      <c r="E1175" s="6">
        <v>5000000</v>
      </c>
      <c r="F1175" s="19">
        <v>0.91</v>
      </c>
      <c r="G1175" s="18">
        <v>41</v>
      </c>
      <c r="H1175" s="20">
        <v>6.7</v>
      </c>
      <c r="I1175" s="21" t="str">
        <f t="shared" si="72"/>
        <v>Cumple</v>
      </c>
      <c r="J1175" s="22" t="str">
        <f t="shared" si="73"/>
        <v>Sin bono</v>
      </c>
      <c r="K1175" s="23" t="str">
        <f t="shared" si="74"/>
        <v>ALERTA</v>
      </c>
      <c r="L1175" s="24" t="str">
        <f t="shared" si="75"/>
        <v>Revisar</v>
      </c>
    </row>
    <row r="1176" spans="1:12" ht="18" customHeight="1" x14ac:dyDescent="0.3">
      <c r="A1176" s="25" t="s">
        <v>2399</v>
      </c>
      <c r="B1176" s="8" t="s">
        <v>2400</v>
      </c>
      <c r="C1176" s="25" t="s">
        <v>81</v>
      </c>
      <c r="D1176" s="25" t="s">
        <v>92</v>
      </c>
      <c r="E1176" s="9">
        <v>7800000</v>
      </c>
      <c r="F1176" s="26">
        <v>0.52</v>
      </c>
      <c r="G1176" s="25">
        <v>79</v>
      </c>
      <c r="H1176" s="27">
        <v>2.1</v>
      </c>
      <c r="I1176" s="21" t="str">
        <f t="shared" si="72"/>
        <v>No cumple</v>
      </c>
      <c r="J1176" s="22" t="str">
        <f t="shared" si="73"/>
        <v>Sin bono</v>
      </c>
      <c r="K1176" s="23" t="str">
        <f t="shared" si="74"/>
        <v>ALERTA</v>
      </c>
      <c r="L1176" s="24" t="str">
        <f t="shared" si="75"/>
        <v>Revisar</v>
      </c>
    </row>
    <row r="1177" spans="1:12" ht="18" customHeight="1" x14ac:dyDescent="0.3">
      <c r="A1177" s="18" t="s">
        <v>2401</v>
      </c>
      <c r="B1177" s="5" t="s">
        <v>2402</v>
      </c>
      <c r="C1177" s="18" t="s">
        <v>91</v>
      </c>
      <c r="D1177" s="18" t="s">
        <v>105</v>
      </c>
      <c r="E1177" s="6">
        <v>8300000</v>
      </c>
      <c r="F1177" s="19">
        <v>0.84</v>
      </c>
      <c r="G1177" s="18">
        <v>47</v>
      </c>
      <c r="H1177" s="20">
        <v>19.7</v>
      </c>
      <c r="I1177" s="21" t="str">
        <f t="shared" si="72"/>
        <v>Cumple</v>
      </c>
      <c r="J1177" s="22" t="str">
        <f t="shared" si="73"/>
        <v>Sin bono</v>
      </c>
      <c r="K1177" s="23" t="str">
        <f t="shared" si="74"/>
        <v>ALERTA</v>
      </c>
      <c r="L1177" s="24" t="str">
        <f t="shared" si="75"/>
        <v>Revisar</v>
      </c>
    </row>
    <row r="1178" spans="1:12" ht="18" customHeight="1" x14ac:dyDescent="0.3">
      <c r="A1178" s="25" t="s">
        <v>2403</v>
      </c>
      <c r="B1178" s="8" t="s">
        <v>2404</v>
      </c>
      <c r="C1178" s="25" t="s">
        <v>77</v>
      </c>
      <c r="D1178" s="25" t="s">
        <v>78</v>
      </c>
      <c r="E1178" s="9">
        <v>7000000</v>
      </c>
      <c r="F1178" s="26">
        <v>0.5</v>
      </c>
      <c r="G1178" s="25">
        <v>81</v>
      </c>
      <c r="H1178" s="27">
        <v>11.5</v>
      </c>
      <c r="I1178" s="21" t="str">
        <f t="shared" si="72"/>
        <v>No cumple</v>
      </c>
      <c r="J1178" s="22" t="str">
        <f t="shared" si="73"/>
        <v>Sin bono</v>
      </c>
      <c r="K1178" s="23" t="str">
        <f t="shared" si="74"/>
        <v>ALERTA</v>
      </c>
      <c r="L1178" s="24" t="str">
        <f t="shared" si="75"/>
        <v>Revisar</v>
      </c>
    </row>
    <row r="1179" spans="1:12" ht="18" customHeight="1" x14ac:dyDescent="0.3">
      <c r="A1179" s="18" t="s">
        <v>2405</v>
      </c>
      <c r="B1179" s="5" t="s">
        <v>2406</v>
      </c>
      <c r="C1179" s="18" t="s">
        <v>91</v>
      </c>
      <c r="D1179" s="18" t="s">
        <v>92</v>
      </c>
      <c r="E1179" s="6">
        <v>7700000</v>
      </c>
      <c r="F1179" s="19">
        <v>0.62</v>
      </c>
      <c r="G1179" s="18">
        <v>77</v>
      </c>
      <c r="H1179" s="20">
        <v>17.2</v>
      </c>
      <c r="I1179" s="21" t="str">
        <f t="shared" si="72"/>
        <v>No cumple</v>
      </c>
      <c r="J1179" s="22" t="str">
        <f t="shared" si="73"/>
        <v>Sin bono</v>
      </c>
      <c r="K1179" s="23" t="str">
        <f t="shared" si="74"/>
        <v>OK</v>
      </c>
      <c r="L1179" s="24" t="str">
        <f t="shared" si="75"/>
        <v>Revisar</v>
      </c>
    </row>
    <row r="1180" spans="1:12" ht="18" customHeight="1" x14ac:dyDescent="0.3">
      <c r="A1180" s="25" t="s">
        <v>2407</v>
      </c>
      <c r="B1180" s="8" t="s">
        <v>2408</v>
      </c>
      <c r="C1180" s="25" t="s">
        <v>71</v>
      </c>
      <c r="D1180" s="25" t="s">
        <v>78</v>
      </c>
      <c r="E1180" s="9">
        <v>9100000</v>
      </c>
      <c r="F1180" s="26">
        <v>0.56000000000000005</v>
      </c>
      <c r="G1180" s="25">
        <v>49</v>
      </c>
      <c r="H1180" s="27">
        <v>19.899999999999999</v>
      </c>
      <c r="I1180" s="21" t="str">
        <f t="shared" si="72"/>
        <v>No cumple</v>
      </c>
      <c r="J1180" s="22" t="str">
        <f t="shared" si="73"/>
        <v>Sin bono</v>
      </c>
      <c r="K1180" s="23" t="str">
        <f t="shared" si="74"/>
        <v>ALERTA</v>
      </c>
      <c r="L1180" s="24" t="str">
        <f t="shared" si="75"/>
        <v>Revisar</v>
      </c>
    </row>
    <row r="1181" spans="1:12" ht="18" customHeight="1" x14ac:dyDescent="0.3">
      <c r="A1181" s="18" t="s">
        <v>2409</v>
      </c>
      <c r="B1181" s="5" t="s">
        <v>2410</v>
      </c>
      <c r="C1181" s="18" t="s">
        <v>81</v>
      </c>
      <c r="D1181" s="18" t="s">
        <v>114</v>
      </c>
      <c r="E1181" s="6">
        <v>5800000</v>
      </c>
      <c r="F1181" s="19">
        <v>0.98</v>
      </c>
      <c r="G1181" s="18">
        <v>92</v>
      </c>
      <c r="H1181" s="20">
        <v>3.8</v>
      </c>
      <c r="I1181" s="21" t="str">
        <f t="shared" si="72"/>
        <v>Cumple</v>
      </c>
      <c r="J1181" s="22" t="str">
        <f t="shared" si="73"/>
        <v>BONO</v>
      </c>
      <c r="K1181" s="23" t="str">
        <f t="shared" si="74"/>
        <v>OK</v>
      </c>
      <c r="L1181" s="24" t="str">
        <f t="shared" si="75"/>
        <v>Excelente</v>
      </c>
    </row>
    <row r="1182" spans="1:12" ht="18" customHeight="1" x14ac:dyDescent="0.3">
      <c r="A1182" s="25" t="s">
        <v>2411</v>
      </c>
      <c r="B1182" s="8" t="s">
        <v>2412</v>
      </c>
      <c r="C1182" s="25" t="s">
        <v>63</v>
      </c>
      <c r="D1182" s="25" t="s">
        <v>60</v>
      </c>
      <c r="E1182" s="9">
        <v>6400000</v>
      </c>
      <c r="F1182" s="26">
        <v>0.63</v>
      </c>
      <c r="G1182" s="25">
        <v>87</v>
      </c>
      <c r="H1182" s="27">
        <v>15.3</v>
      </c>
      <c r="I1182" s="21" t="str">
        <f t="shared" si="72"/>
        <v>No cumple</v>
      </c>
      <c r="J1182" s="22" t="str">
        <f t="shared" si="73"/>
        <v>Sin bono</v>
      </c>
      <c r="K1182" s="23" t="str">
        <f t="shared" si="74"/>
        <v>OK</v>
      </c>
      <c r="L1182" s="24" t="str">
        <f t="shared" si="75"/>
        <v>Revisar</v>
      </c>
    </row>
    <row r="1183" spans="1:12" ht="18" customHeight="1" x14ac:dyDescent="0.3">
      <c r="A1183" s="18" t="s">
        <v>2413</v>
      </c>
      <c r="B1183" s="5" t="s">
        <v>2414</v>
      </c>
      <c r="C1183" s="18" t="s">
        <v>63</v>
      </c>
      <c r="D1183" s="18" t="s">
        <v>68</v>
      </c>
      <c r="E1183" s="6">
        <v>8300000</v>
      </c>
      <c r="F1183" s="19">
        <v>0.66</v>
      </c>
      <c r="G1183" s="18">
        <v>92</v>
      </c>
      <c r="H1183" s="20">
        <v>0.5</v>
      </c>
      <c r="I1183" s="21" t="str">
        <f t="shared" si="72"/>
        <v>No cumple</v>
      </c>
      <c r="J1183" s="22" t="str">
        <f t="shared" si="73"/>
        <v>Sin bono</v>
      </c>
      <c r="K1183" s="23" t="str">
        <f t="shared" si="74"/>
        <v>OK</v>
      </c>
      <c r="L1183" s="24" t="str">
        <f t="shared" si="75"/>
        <v>Revisar</v>
      </c>
    </row>
    <row r="1184" spans="1:12" ht="18" customHeight="1" x14ac:dyDescent="0.3">
      <c r="A1184" s="25" t="s">
        <v>2415</v>
      </c>
      <c r="B1184" s="8" t="s">
        <v>2416</v>
      </c>
      <c r="C1184" s="25" t="s">
        <v>67</v>
      </c>
      <c r="D1184" s="25" t="s">
        <v>105</v>
      </c>
      <c r="E1184" s="9">
        <v>5400000</v>
      </c>
      <c r="F1184" s="26">
        <v>0.76</v>
      </c>
      <c r="G1184" s="25">
        <v>31</v>
      </c>
      <c r="H1184" s="27">
        <v>0.9</v>
      </c>
      <c r="I1184" s="21" t="str">
        <f t="shared" si="72"/>
        <v>No cumple</v>
      </c>
      <c r="J1184" s="22" t="str">
        <f t="shared" si="73"/>
        <v>Sin bono</v>
      </c>
      <c r="K1184" s="23" t="str">
        <f t="shared" si="74"/>
        <v>ALERTA</v>
      </c>
      <c r="L1184" s="24" t="str">
        <f t="shared" si="75"/>
        <v>Revisar</v>
      </c>
    </row>
    <row r="1185" spans="1:12" ht="18" customHeight="1" x14ac:dyDescent="0.3">
      <c r="A1185" s="18" t="s">
        <v>2417</v>
      </c>
      <c r="B1185" s="5" t="s">
        <v>2418</v>
      </c>
      <c r="C1185" s="18" t="s">
        <v>71</v>
      </c>
      <c r="D1185" s="18" t="s">
        <v>105</v>
      </c>
      <c r="E1185" s="6">
        <v>10800000</v>
      </c>
      <c r="F1185" s="19">
        <v>0.93</v>
      </c>
      <c r="G1185" s="18">
        <v>43</v>
      </c>
      <c r="H1185" s="20">
        <v>12.3</v>
      </c>
      <c r="I1185" s="21" t="str">
        <f t="shared" si="72"/>
        <v>Cumple</v>
      </c>
      <c r="J1185" s="22" t="str">
        <f t="shared" si="73"/>
        <v>Sin bono</v>
      </c>
      <c r="K1185" s="23" t="str">
        <f t="shared" si="74"/>
        <v>ALERTA</v>
      </c>
      <c r="L1185" s="24" t="str">
        <f t="shared" si="75"/>
        <v>Revisar</v>
      </c>
    </row>
    <row r="1186" spans="1:12" ht="18" customHeight="1" x14ac:dyDescent="0.3">
      <c r="A1186" s="25" t="s">
        <v>2419</v>
      </c>
      <c r="B1186" s="8" t="s">
        <v>2420</v>
      </c>
      <c r="C1186" s="25" t="s">
        <v>67</v>
      </c>
      <c r="D1186" s="25" t="s">
        <v>60</v>
      </c>
      <c r="E1186" s="9">
        <v>10300000</v>
      </c>
      <c r="F1186" s="26">
        <v>0.54</v>
      </c>
      <c r="G1186" s="25">
        <v>75</v>
      </c>
      <c r="H1186" s="27">
        <v>8.1999999999999993</v>
      </c>
      <c r="I1186" s="21" t="str">
        <f t="shared" si="72"/>
        <v>No cumple</v>
      </c>
      <c r="J1186" s="22" t="str">
        <f t="shared" si="73"/>
        <v>Sin bono</v>
      </c>
      <c r="K1186" s="23" t="str">
        <f t="shared" si="74"/>
        <v>ALERTA</v>
      </c>
      <c r="L1186" s="24" t="str">
        <f t="shared" si="75"/>
        <v>Revisar</v>
      </c>
    </row>
    <row r="1187" spans="1:12" ht="18" customHeight="1" x14ac:dyDescent="0.3">
      <c r="A1187" s="18" t="s">
        <v>2421</v>
      </c>
      <c r="B1187" s="5" t="s">
        <v>2422</v>
      </c>
      <c r="C1187" s="18" t="s">
        <v>59</v>
      </c>
      <c r="D1187" s="18" t="s">
        <v>60</v>
      </c>
      <c r="E1187" s="6">
        <v>10300000</v>
      </c>
      <c r="F1187" s="19">
        <v>0.9</v>
      </c>
      <c r="G1187" s="18">
        <v>76</v>
      </c>
      <c r="H1187" s="20">
        <v>9.3000000000000007</v>
      </c>
      <c r="I1187" s="21" t="str">
        <f t="shared" si="72"/>
        <v>Cumple</v>
      </c>
      <c r="J1187" s="22" t="str">
        <f t="shared" si="73"/>
        <v>BONO</v>
      </c>
      <c r="K1187" s="23" t="str">
        <f t="shared" si="74"/>
        <v>OK</v>
      </c>
      <c r="L1187" s="24" t="str">
        <f t="shared" si="75"/>
        <v>Bueno</v>
      </c>
    </row>
    <row r="1188" spans="1:12" ht="18" customHeight="1" x14ac:dyDescent="0.3">
      <c r="A1188" s="25" t="s">
        <v>2423</v>
      </c>
      <c r="B1188" s="8" t="s">
        <v>2424</v>
      </c>
      <c r="C1188" s="25" t="s">
        <v>59</v>
      </c>
      <c r="D1188" s="25" t="s">
        <v>64</v>
      </c>
      <c r="E1188" s="9">
        <v>5500000</v>
      </c>
      <c r="F1188" s="26">
        <v>0.91</v>
      </c>
      <c r="G1188" s="25">
        <v>72</v>
      </c>
      <c r="H1188" s="27">
        <v>4.0999999999999996</v>
      </c>
      <c r="I1188" s="21" t="str">
        <f t="shared" si="72"/>
        <v>Cumple</v>
      </c>
      <c r="J1188" s="22" t="str">
        <f t="shared" si="73"/>
        <v>BONO</v>
      </c>
      <c r="K1188" s="23" t="str">
        <f t="shared" si="74"/>
        <v>OK</v>
      </c>
      <c r="L1188" s="24" t="str">
        <f t="shared" si="75"/>
        <v>Bueno</v>
      </c>
    </row>
    <row r="1189" spans="1:12" ht="18" customHeight="1" x14ac:dyDescent="0.3">
      <c r="A1189" s="18" t="s">
        <v>2425</v>
      </c>
      <c r="B1189" s="5" t="s">
        <v>2426</v>
      </c>
      <c r="C1189" s="18" t="s">
        <v>91</v>
      </c>
      <c r="D1189" s="18" t="s">
        <v>64</v>
      </c>
      <c r="E1189" s="6">
        <v>2900000</v>
      </c>
      <c r="F1189" s="19">
        <v>0.97</v>
      </c>
      <c r="G1189" s="18">
        <v>30</v>
      </c>
      <c r="H1189" s="20">
        <v>6.1</v>
      </c>
      <c r="I1189" s="21" t="str">
        <f t="shared" si="72"/>
        <v>Cumple</v>
      </c>
      <c r="J1189" s="22" t="str">
        <f t="shared" si="73"/>
        <v>Sin bono</v>
      </c>
      <c r="K1189" s="23" t="str">
        <f t="shared" si="74"/>
        <v>ALERTA</v>
      </c>
      <c r="L1189" s="24" t="str">
        <f t="shared" si="75"/>
        <v>Revisar</v>
      </c>
    </row>
    <row r="1190" spans="1:12" ht="18" customHeight="1" x14ac:dyDescent="0.3">
      <c r="A1190" s="25" t="s">
        <v>2427</v>
      </c>
      <c r="B1190" s="8" t="s">
        <v>2428</v>
      </c>
      <c r="C1190" s="25" t="s">
        <v>59</v>
      </c>
      <c r="D1190" s="25" t="s">
        <v>114</v>
      </c>
      <c r="E1190" s="9">
        <v>11400000</v>
      </c>
      <c r="F1190" s="26">
        <v>0.86</v>
      </c>
      <c r="G1190" s="25">
        <v>93</v>
      </c>
      <c r="H1190" s="27">
        <v>13.5</v>
      </c>
      <c r="I1190" s="21" t="str">
        <f t="shared" si="72"/>
        <v>Cumple</v>
      </c>
      <c r="J1190" s="22" t="str">
        <f t="shared" si="73"/>
        <v>BONO</v>
      </c>
      <c r="K1190" s="23" t="str">
        <f t="shared" si="74"/>
        <v>OK</v>
      </c>
      <c r="L1190" s="24" t="str">
        <f t="shared" si="75"/>
        <v>Bueno</v>
      </c>
    </row>
    <row r="1191" spans="1:12" ht="18" customHeight="1" x14ac:dyDescent="0.3">
      <c r="A1191" s="18" t="s">
        <v>2429</v>
      </c>
      <c r="B1191" s="5" t="s">
        <v>2430</v>
      </c>
      <c r="C1191" s="18" t="s">
        <v>74</v>
      </c>
      <c r="D1191" s="18" t="s">
        <v>68</v>
      </c>
      <c r="E1191" s="6">
        <v>7300000</v>
      </c>
      <c r="F1191" s="19">
        <v>0.81</v>
      </c>
      <c r="G1191" s="18">
        <v>31</v>
      </c>
      <c r="H1191" s="20">
        <v>14</v>
      </c>
      <c r="I1191" s="21" t="str">
        <f t="shared" si="72"/>
        <v>Cumple</v>
      </c>
      <c r="J1191" s="22" t="str">
        <f t="shared" si="73"/>
        <v>Sin bono</v>
      </c>
      <c r="K1191" s="23" t="str">
        <f t="shared" si="74"/>
        <v>ALERTA</v>
      </c>
      <c r="L1191" s="24" t="str">
        <f t="shared" si="75"/>
        <v>Revisar</v>
      </c>
    </row>
    <row r="1192" spans="1:12" ht="18" customHeight="1" x14ac:dyDescent="0.3">
      <c r="A1192" s="25" t="s">
        <v>2431</v>
      </c>
      <c r="B1192" s="8" t="s">
        <v>2432</v>
      </c>
      <c r="C1192" s="25" t="s">
        <v>74</v>
      </c>
      <c r="D1192" s="25" t="s">
        <v>105</v>
      </c>
      <c r="E1192" s="9">
        <v>7600000</v>
      </c>
      <c r="F1192" s="26">
        <v>0.86</v>
      </c>
      <c r="G1192" s="25">
        <v>60</v>
      </c>
      <c r="H1192" s="27">
        <v>12.1</v>
      </c>
      <c r="I1192" s="21" t="str">
        <f t="shared" si="72"/>
        <v>Cumple</v>
      </c>
      <c r="J1192" s="22" t="str">
        <f t="shared" si="73"/>
        <v>Sin bono</v>
      </c>
      <c r="K1192" s="23" t="str">
        <f t="shared" si="74"/>
        <v>OK</v>
      </c>
      <c r="L1192" s="24" t="str">
        <f t="shared" si="75"/>
        <v>Revisar</v>
      </c>
    </row>
    <row r="1193" spans="1:12" ht="18" customHeight="1" x14ac:dyDescent="0.3">
      <c r="A1193" s="18" t="s">
        <v>2433</v>
      </c>
      <c r="B1193" s="5" t="s">
        <v>2434</v>
      </c>
      <c r="C1193" s="18" t="s">
        <v>63</v>
      </c>
      <c r="D1193" s="18" t="s">
        <v>92</v>
      </c>
      <c r="E1193" s="6">
        <v>5600000</v>
      </c>
      <c r="F1193" s="19">
        <v>0.91</v>
      </c>
      <c r="G1193" s="18">
        <v>82</v>
      </c>
      <c r="H1193" s="20">
        <v>1.2</v>
      </c>
      <c r="I1193" s="21" t="str">
        <f t="shared" si="72"/>
        <v>Cumple</v>
      </c>
      <c r="J1193" s="22" t="str">
        <f t="shared" si="73"/>
        <v>BONO</v>
      </c>
      <c r="K1193" s="23" t="str">
        <f t="shared" si="74"/>
        <v>OK</v>
      </c>
      <c r="L1193" s="24" t="str">
        <f t="shared" si="75"/>
        <v>Bueno</v>
      </c>
    </row>
    <row r="1194" spans="1:12" ht="18" customHeight="1" x14ac:dyDescent="0.3">
      <c r="A1194" s="25" t="s">
        <v>2435</v>
      </c>
      <c r="B1194" s="8" t="s">
        <v>2436</v>
      </c>
      <c r="C1194" s="25" t="s">
        <v>63</v>
      </c>
      <c r="D1194" s="25" t="s">
        <v>88</v>
      </c>
      <c r="E1194" s="9">
        <v>6100000</v>
      </c>
      <c r="F1194" s="26">
        <v>0.78</v>
      </c>
      <c r="G1194" s="25">
        <v>54</v>
      </c>
      <c r="H1194" s="27">
        <v>15.4</v>
      </c>
      <c r="I1194" s="21" t="str">
        <f t="shared" si="72"/>
        <v>No cumple</v>
      </c>
      <c r="J1194" s="22" t="str">
        <f t="shared" si="73"/>
        <v>Sin bono</v>
      </c>
      <c r="K1194" s="23" t="str">
        <f t="shared" si="74"/>
        <v>OK</v>
      </c>
      <c r="L1194" s="24" t="str">
        <f t="shared" si="75"/>
        <v>Revisar</v>
      </c>
    </row>
    <row r="1195" spans="1:12" ht="18" customHeight="1" x14ac:dyDescent="0.3">
      <c r="A1195" s="18" t="s">
        <v>2437</v>
      </c>
      <c r="B1195" s="5" t="s">
        <v>2438</v>
      </c>
      <c r="C1195" s="18" t="s">
        <v>81</v>
      </c>
      <c r="D1195" s="18" t="s">
        <v>78</v>
      </c>
      <c r="E1195" s="6">
        <v>4500000</v>
      </c>
      <c r="F1195" s="19">
        <v>0.55000000000000004</v>
      </c>
      <c r="G1195" s="18">
        <v>76</v>
      </c>
      <c r="H1195" s="20">
        <v>15.2</v>
      </c>
      <c r="I1195" s="21" t="str">
        <f t="shared" si="72"/>
        <v>No cumple</v>
      </c>
      <c r="J1195" s="22" t="str">
        <f t="shared" si="73"/>
        <v>Sin bono</v>
      </c>
      <c r="K1195" s="23" t="str">
        <f t="shared" si="74"/>
        <v>ALERTA</v>
      </c>
      <c r="L1195" s="24" t="str">
        <f t="shared" si="75"/>
        <v>Revisar</v>
      </c>
    </row>
    <row r="1196" spans="1:12" ht="18" customHeight="1" x14ac:dyDescent="0.3">
      <c r="A1196" s="25" t="s">
        <v>2439</v>
      </c>
      <c r="B1196" s="8" t="s">
        <v>2440</v>
      </c>
      <c r="C1196" s="25" t="s">
        <v>67</v>
      </c>
      <c r="D1196" s="25" t="s">
        <v>68</v>
      </c>
      <c r="E1196" s="9">
        <v>10400000</v>
      </c>
      <c r="F1196" s="26">
        <v>0.93</v>
      </c>
      <c r="G1196" s="25">
        <v>33</v>
      </c>
      <c r="H1196" s="27">
        <v>13.7</v>
      </c>
      <c r="I1196" s="21" t="str">
        <f t="shared" si="72"/>
        <v>Cumple</v>
      </c>
      <c r="J1196" s="22" t="str">
        <f t="shared" si="73"/>
        <v>Sin bono</v>
      </c>
      <c r="K1196" s="23" t="str">
        <f t="shared" si="74"/>
        <v>ALERTA</v>
      </c>
      <c r="L1196" s="24" t="str">
        <f t="shared" si="75"/>
        <v>Revisar</v>
      </c>
    </row>
    <row r="1197" spans="1:12" ht="18" customHeight="1" x14ac:dyDescent="0.3">
      <c r="A1197" s="18" t="s">
        <v>2441</v>
      </c>
      <c r="B1197" s="5" t="s">
        <v>2442</v>
      </c>
      <c r="C1197" s="18" t="s">
        <v>77</v>
      </c>
      <c r="D1197" s="18" t="s">
        <v>68</v>
      </c>
      <c r="E1197" s="6">
        <v>9800000</v>
      </c>
      <c r="F1197" s="19">
        <v>0.75</v>
      </c>
      <c r="G1197" s="18">
        <v>81</v>
      </c>
      <c r="H1197" s="20">
        <v>17.8</v>
      </c>
      <c r="I1197" s="21" t="str">
        <f t="shared" si="72"/>
        <v>No cumple</v>
      </c>
      <c r="J1197" s="22" t="str">
        <f t="shared" si="73"/>
        <v>Sin bono</v>
      </c>
      <c r="K1197" s="23" t="str">
        <f t="shared" si="74"/>
        <v>OK</v>
      </c>
      <c r="L1197" s="24" t="str">
        <f t="shared" si="75"/>
        <v>Revisar</v>
      </c>
    </row>
    <row r="1198" spans="1:12" ht="18" customHeight="1" x14ac:dyDescent="0.3">
      <c r="A1198" s="25" t="s">
        <v>2443</v>
      </c>
      <c r="B1198" s="8" t="s">
        <v>2444</v>
      </c>
      <c r="C1198" s="25" t="s">
        <v>71</v>
      </c>
      <c r="D1198" s="25" t="s">
        <v>64</v>
      </c>
      <c r="E1198" s="9">
        <v>4500000</v>
      </c>
      <c r="F1198" s="26">
        <v>0.61</v>
      </c>
      <c r="G1198" s="25">
        <v>76</v>
      </c>
      <c r="H1198" s="27">
        <v>13.6</v>
      </c>
      <c r="I1198" s="21" t="str">
        <f t="shared" si="72"/>
        <v>No cumple</v>
      </c>
      <c r="J1198" s="22" t="str">
        <f t="shared" si="73"/>
        <v>Sin bono</v>
      </c>
      <c r="K1198" s="23" t="str">
        <f t="shared" si="74"/>
        <v>OK</v>
      </c>
      <c r="L1198" s="24" t="str">
        <f t="shared" si="75"/>
        <v>Revisar</v>
      </c>
    </row>
    <row r="1199" spans="1:12" ht="18" customHeight="1" x14ac:dyDescent="0.3">
      <c r="A1199" s="18" t="s">
        <v>2445</v>
      </c>
      <c r="B1199" s="5" t="s">
        <v>2446</v>
      </c>
      <c r="C1199" s="18" t="s">
        <v>71</v>
      </c>
      <c r="D1199" s="18" t="s">
        <v>105</v>
      </c>
      <c r="E1199" s="6">
        <v>8500000</v>
      </c>
      <c r="F1199" s="19">
        <v>0.65</v>
      </c>
      <c r="G1199" s="18">
        <v>95</v>
      </c>
      <c r="H1199" s="20">
        <v>6.1</v>
      </c>
      <c r="I1199" s="21" t="str">
        <f t="shared" si="72"/>
        <v>No cumple</v>
      </c>
      <c r="J1199" s="22" t="str">
        <f t="shared" si="73"/>
        <v>Sin bono</v>
      </c>
      <c r="K1199" s="23" t="str">
        <f t="shared" si="74"/>
        <v>OK</v>
      </c>
      <c r="L1199" s="24" t="str">
        <f t="shared" si="75"/>
        <v>Revisar</v>
      </c>
    </row>
    <row r="1200" spans="1:12" ht="18" customHeight="1" x14ac:dyDescent="0.3">
      <c r="A1200" s="25" t="s">
        <v>2447</v>
      </c>
      <c r="B1200" s="8" t="s">
        <v>2448</v>
      </c>
      <c r="C1200" s="25" t="s">
        <v>91</v>
      </c>
      <c r="D1200" s="25" t="s">
        <v>105</v>
      </c>
      <c r="E1200" s="9">
        <v>10200000</v>
      </c>
      <c r="F1200" s="26">
        <v>0.56999999999999995</v>
      </c>
      <c r="G1200" s="25">
        <v>100</v>
      </c>
      <c r="H1200" s="27">
        <v>5.8</v>
      </c>
      <c r="I1200" s="21" t="str">
        <f t="shared" si="72"/>
        <v>No cumple</v>
      </c>
      <c r="J1200" s="22" t="str">
        <f t="shared" si="73"/>
        <v>Sin bono</v>
      </c>
      <c r="K1200" s="23" t="str">
        <f t="shared" si="74"/>
        <v>ALERTA</v>
      </c>
      <c r="L1200" s="24" t="str">
        <f t="shared" si="75"/>
        <v>Revisar</v>
      </c>
    </row>
    <row r="1201" spans="1:12" ht="18" customHeight="1" x14ac:dyDescent="0.3">
      <c r="A1201" s="18" t="s">
        <v>2449</v>
      </c>
      <c r="B1201" s="5" t="s">
        <v>2450</v>
      </c>
      <c r="C1201" s="18" t="s">
        <v>74</v>
      </c>
      <c r="D1201" s="18" t="s">
        <v>68</v>
      </c>
      <c r="E1201" s="6">
        <v>6000000</v>
      </c>
      <c r="F1201" s="19">
        <v>0.81</v>
      </c>
      <c r="G1201" s="18">
        <v>93</v>
      </c>
      <c r="H1201" s="20">
        <v>0</v>
      </c>
      <c r="I1201" s="21" t="str">
        <f t="shared" si="72"/>
        <v>Cumple</v>
      </c>
      <c r="J1201" s="22" t="str">
        <f t="shared" si="73"/>
        <v>BONO</v>
      </c>
      <c r="K1201" s="23" t="str">
        <f t="shared" si="74"/>
        <v>OK</v>
      </c>
      <c r="L1201" s="24" t="str">
        <f t="shared" si="75"/>
        <v>Bueno</v>
      </c>
    </row>
    <row r="1202" spans="1:12" ht="18" customHeight="1" x14ac:dyDescent="0.3">
      <c r="A1202" s="25" t="s">
        <v>2451</v>
      </c>
      <c r="B1202" s="8" t="s">
        <v>2452</v>
      </c>
      <c r="C1202" s="25" t="s">
        <v>81</v>
      </c>
      <c r="D1202" s="25" t="s">
        <v>88</v>
      </c>
      <c r="E1202" s="9">
        <v>11000000</v>
      </c>
      <c r="F1202" s="26">
        <v>0.56999999999999995</v>
      </c>
      <c r="G1202" s="25">
        <v>55</v>
      </c>
      <c r="H1202" s="27">
        <v>13.8</v>
      </c>
      <c r="I1202" s="21" t="str">
        <f t="shared" si="72"/>
        <v>No cumple</v>
      </c>
      <c r="J1202" s="22" t="str">
        <f t="shared" si="73"/>
        <v>Sin bono</v>
      </c>
      <c r="K1202" s="23" t="str">
        <f t="shared" si="74"/>
        <v>ALERTA</v>
      </c>
      <c r="L1202" s="24" t="str">
        <f t="shared" si="75"/>
        <v>Revisar</v>
      </c>
    </row>
    <row r="1203" spans="1:12" ht="18" customHeight="1" x14ac:dyDescent="0.3">
      <c r="A1203" s="18" t="s">
        <v>2453</v>
      </c>
      <c r="B1203" s="5" t="s">
        <v>2454</v>
      </c>
      <c r="C1203" s="18" t="s">
        <v>71</v>
      </c>
      <c r="D1203" s="18" t="s">
        <v>60</v>
      </c>
      <c r="E1203" s="6">
        <v>3400000</v>
      </c>
      <c r="F1203" s="19">
        <v>0.73</v>
      </c>
      <c r="G1203" s="18">
        <v>99</v>
      </c>
      <c r="H1203" s="20">
        <v>17.7</v>
      </c>
      <c r="I1203" s="21" t="str">
        <f t="shared" si="72"/>
        <v>No cumple</v>
      </c>
      <c r="J1203" s="22" t="str">
        <f t="shared" si="73"/>
        <v>Sin bono</v>
      </c>
      <c r="K1203" s="23" t="str">
        <f t="shared" si="74"/>
        <v>OK</v>
      </c>
      <c r="L1203" s="24" t="str">
        <f t="shared" si="75"/>
        <v>Revisar</v>
      </c>
    </row>
    <row r="1204" spans="1:12" ht="18" customHeight="1" x14ac:dyDescent="0.3">
      <c r="A1204" s="25" t="s">
        <v>2455</v>
      </c>
      <c r="B1204" s="8" t="s">
        <v>2456</v>
      </c>
      <c r="C1204" s="25" t="s">
        <v>63</v>
      </c>
      <c r="D1204" s="25" t="s">
        <v>105</v>
      </c>
      <c r="E1204" s="9">
        <v>5400000</v>
      </c>
      <c r="F1204" s="26">
        <v>0.53</v>
      </c>
      <c r="G1204" s="25">
        <v>58</v>
      </c>
      <c r="H1204" s="27">
        <v>14</v>
      </c>
      <c r="I1204" s="21" t="str">
        <f t="shared" si="72"/>
        <v>No cumple</v>
      </c>
      <c r="J1204" s="22" t="str">
        <f t="shared" si="73"/>
        <v>Sin bono</v>
      </c>
      <c r="K1204" s="23" t="str">
        <f t="shared" si="74"/>
        <v>ALERTA</v>
      </c>
      <c r="L1204" s="24" t="str">
        <f t="shared" si="75"/>
        <v>Revisar</v>
      </c>
    </row>
    <row r="1205" spans="1:12" ht="18" customHeight="1" x14ac:dyDescent="0.3">
      <c r="A1205" s="18" t="s">
        <v>2457</v>
      </c>
      <c r="B1205" s="5" t="s">
        <v>2458</v>
      </c>
      <c r="C1205" s="18" t="s">
        <v>67</v>
      </c>
      <c r="D1205" s="18" t="s">
        <v>78</v>
      </c>
      <c r="E1205" s="6">
        <v>7900000</v>
      </c>
      <c r="F1205" s="19">
        <v>0.6</v>
      </c>
      <c r="G1205" s="18">
        <v>49</v>
      </c>
      <c r="H1205" s="20">
        <v>13.5</v>
      </c>
      <c r="I1205" s="21" t="str">
        <f t="shared" si="72"/>
        <v>No cumple</v>
      </c>
      <c r="J1205" s="22" t="str">
        <f t="shared" si="73"/>
        <v>Sin bono</v>
      </c>
      <c r="K1205" s="23" t="str">
        <f t="shared" si="74"/>
        <v>ALERTA</v>
      </c>
      <c r="L1205" s="24" t="str">
        <f t="shared" si="75"/>
        <v>Revisar</v>
      </c>
    </row>
    <row r="1206" spans="1:12" ht="18" customHeight="1" x14ac:dyDescent="0.3">
      <c r="A1206" s="25" t="s">
        <v>2459</v>
      </c>
      <c r="B1206" s="8" t="s">
        <v>2460</v>
      </c>
      <c r="C1206" s="25" t="s">
        <v>71</v>
      </c>
      <c r="D1206" s="25" t="s">
        <v>60</v>
      </c>
      <c r="E1206" s="9">
        <v>3100000</v>
      </c>
      <c r="F1206" s="26">
        <v>1</v>
      </c>
      <c r="G1206" s="25">
        <v>33</v>
      </c>
      <c r="H1206" s="27">
        <v>11.7</v>
      </c>
      <c r="I1206" s="21" t="str">
        <f t="shared" si="72"/>
        <v>Cumple</v>
      </c>
      <c r="J1206" s="22" t="str">
        <f t="shared" si="73"/>
        <v>Sin bono</v>
      </c>
      <c r="K1206" s="23" t="str">
        <f t="shared" si="74"/>
        <v>ALERTA</v>
      </c>
      <c r="L1206" s="24" t="str">
        <f t="shared" si="75"/>
        <v>Revisar</v>
      </c>
    </row>
    <row r="1207" spans="1:12" ht="18" customHeight="1" x14ac:dyDescent="0.3">
      <c r="A1207" s="18" t="s">
        <v>2461</v>
      </c>
      <c r="B1207" s="5" t="s">
        <v>2462</v>
      </c>
      <c r="C1207" s="18" t="s">
        <v>71</v>
      </c>
      <c r="D1207" s="18" t="s">
        <v>64</v>
      </c>
      <c r="E1207" s="6">
        <v>6400000</v>
      </c>
      <c r="F1207" s="19">
        <v>0.91</v>
      </c>
      <c r="G1207" s="18">
        <v>74</v>
      </c>
      <c r="H1207" s="20">
        <v>19.2</v>
      </c>
      <c r="I1207" s="21" t="str">
        <f t="shared" si="72"/>
        <v>Cumple</v>
      </c>
      <c r="J1207" s="22" t="str">
        <f t="shared" si="73"/>
        <v>BONO</v>
      </c>
      <c r="K1207" s="23" t="str">
        <f t="shared" si="74"/>
        <v>OK</v>
      </c>
      <c r="L1207" s="24" t="str">
        <f t="shared" si="75"/>
        <v>Bueno</v>
      </c>
    </row>
    <row r="1208" spans="1:12" ht="18" customHeight="1" x14ac:dyDescent="0.3">
      <c r="A1208" s="25" t="s">
        <v>2463</v>
      </c>
      <c r="B1208" s="8" t="s">
        <v>2464</v>
      </c>
      <c r="C1208" s="25" t="s">
        <v>63</v>
      </c>
      <c r="D1208" s="25" t="s">
        <v>78</v>
      </c>
      <c r="E1208" s="9">
        <v>3500000</v>
      </c>
      <c r="F1208" s="26">
        <v>0.51</v>
      </c>
      <c r="G1208" s="25">
        <v>79</v>
      </c>
      <c r="H1208" s="27">
        <v>10.1</v>
      </c>
      <c r="I1208" s="21" t="str">
        <f t="shared" si="72"/>
        <v>No cumple</v>
      </c>
      <c r="J1208" s="22" t="str">
        <f t="shared" si="73"/>
        <v>Sin bono</v>
      </c>
      <c r="K1208" s="23" t="str">
        <f t="shared" si="74"/>
        <v>ALERTA</v>
      </c>
      <c r="L1208" s="24" t="str">
        <f t="shared" si="75"/>
        <v>Revisar</v>
      </c>
    </row>
    <row r="1209" spans="1:12" ht="18" customHeight="1" x14ac:dyDescent="0.3">
      <c r="A1209" s="18" t="s">
        <v>2465</v>
      </c>
      <c r="B1209" s="5" t="s">
        <v>2466</v>
      </c>
      <c r="C1209" s="18" t="s">
        <v>91</v>
      </c>
      <c r="D1209" s="18" t="s">
        <v>105</v>
      </c>
      <c r="E1209" s="6">
        <v>8400000</v>
      </c>
      <c r="F1209" s="19">
        <v>0.69</v>
      </c>
      <c r="G1209" s="18">
        <v>66</v>
      </c>
      <c r="H1209" s="20">
        <v>7.8</v>
      </c>
      <c r="I1209" s="21" t="str">
        <f t="shared" si="72"/>
        <v>No cumple</v>
      </c>
      <c r="J1209" s="22" t="str">
        <f t="shared" si="73"/>
        <v>Sin bono</v>
      </c>
      <c r="K1209" s="23" t="str">
        <f t="shared" si="74"/>
        <v>OK</v>
      </c>
      <c r="L1209" s="24" t="str">
        <f t="shared" si="75"/>
        <v>Revisar</v>
      </c>
    </row>
    <row r="1210" spans="1:12" ht="18" customHeight="1" x14ac:dyDescent="0.3">
      <c r="A1210" s="25" t="s">
        <v>2467</v>
      </c>
      <c r="B1210" s="8" t="s">
        <v>2468</v>
      </c>
      <c r="C1210" s="25" t="s">
        <v>59</v>
      </c>
      <c r="D1210" s="25" t="s">
        <v>78</v>
      </c>
      <c r="E1210" s="9">
        <v>3800000</v>
      </c>
      <c r="F1210" s="26">
        <v>0.9</v>
      </c>
      <c r="G1210" s="25">
        <v>84</v>
      </c>
      <c r="H1210" s="27">
        <v>19.7</v>
      </c>
      <c r="I1210" s="21" t="str">
        <f t="shared" si="72"/>
        <v>Cumple</v>
      </c>
      <c r="J1210" s="22" t="str">
        <f t="shared" si="73"/>
        <v>BONO</v>
      </c>
      <c r="K1210" s="23" t="str">
        <f t="shared" si="74"/>
        <v>OK</v>
      </c>
      <c r="L1210" s="24" t="str">
        <f t="shared" si="75"/>
        <v>Bueno</v>
      </c>
    </row>
    <row r="1211" spans="1:12" ht="18" customHeight="1" x14ac:dyDescent="0.3">
      <c r="A1211" s="18" t="s">
        <v>2469</v>
      </c>
      <c r="B1211" s="5" t="s">
        <v>2470</v>
      </c>
      <c r="C1211" s="18" t="s">
        <v>59</v>
      </c>
      <c r="D1211" s="18" t="s">
        <v>60</v>
      </c>
      <c r="E1211" s="6">
        <v>8300000</v>
      </c>
      <c r="F1211" s="19">
        <v>0.66</v>
      </c>
      <c r="G1211" s="18">
        <v>56</v>
      </c>
      <c r="H1211" s="20">
        <v>10.7</v>
      </c>
      <c r="I1211" s="21" t="str">
        <f t="shared" si="72"/>
        <v>No cumple</v>
      </c>
      <c r="J1211" s="22" t="str">
        <f t="shared" si="73"/>
        <v>Sin bono</v>
      </c>
      <c r="K1211" s="23" t="str">
        <f t="shared" si="74"/>
        <v>OK</v>
      </c>
      <c r="L1211" s="24" t="str">
        <f t="shared" si="75"/>
        <v>Revisar</v>
      </c>
    </row>
    <row r="1212" spans="1:12" ht="18" customHeight="1" x14ac:dyDescent="0.3">
      <c r="A1212" s="25" t="s">
        <v>2471</v>
      </c>
      <c r="B1212" s="8" t="s">
        <v>2472</v>
      </c>
      <c r="C1212" s="25" t="s">
        <v>77</v>
      </c>
      <c r="D1212" s="25" t="s">
        <v>78</v>
      </c>
      <c r="E1212" s="9">
        <v>8200000</v>
      </c>
      <c r="F1212" s="26">
        <v>0.46</v>
      </c>
      <c r="G1212" s="25">
        <v>38</v>
      </c>
      <c r="H1212" s="27">
        <v>1.8</v>
      </c>
      <c r="I1212" s="21" t="str">
        <f t="shared" si="72"/>
        <v>No cumple</v>
      </c>
      <c r="J1212" s="22" t="str">
        <f t="shared" si="73"/>
        <v>Sin bono</v>
      </c>
      <c r="K1212" s="23" t="str">
        <f t="shared" si="74"/>
        <v>ALERTA</v>
      </c>
      <c r="L1212" s="24" t="str">
        <f t="shared" si="75"/>
        <v>Revisar</v>
      </c>
    </row>
    <row r="1213" spans="1:12" ht="18" customHeight="1" x14ac:dyDescent="0.3">
      <c r="A1213" s="18" t="s">
        <v>2473</v>
      </c>
      <c r="B1213" s="5" t="s">
        <v>2474</v>
      </c>
      <c r="C1213" s="18" t="s">
        <v>91</v>
      </c>
      <c r="D1213" s="18" t="s">
        <v>64</v>
      </c>
      <c r="E1213" s="6">
        <v>3600000</v>
      </c>
      <c r="F1213" s="19">
        <v>0.83</v>
      </c>
      <c r="G1213" s="18">
        <v>79</v>
      </c>
      <c r="H1213" s="20">
        <v>9.1999999999999993</v>
      </c>
      <c r="I1213" s="21" t="str">
        <f t="shared" si="72"/>
        <v>Cumple</v>
      </c>
      <c r="J1213" s="22" t="str">
        <f t="shared" si="73"/>
        <v>BONO</v>
      </c>
      <c r="K1213" s="23" t="str">
        <f t="shared" si="74"/>
        <v>OK</v>
      </c>
      <c r="L1213" s="24" t="str">
        <f t="shared" si="75"/>
        <v>Bueno</v>
      </c>
    </row>
    <row r="1214" spans="1:12" ht="18" customHeight="1" x14ac:dyDescent="0.3">
      <c r="A1214" s="25" t="s">
        <v>2475</v>
      </c>
      <c r="B1214" s="8" t="s">
        <v>2476</v>
      </c>
      <c r="C1214" s="25" t="s">
        <v>59</v>
      </c>
      <c r="D1214" s="25" t="s">
        <v>64</v>
      </c>
      <c r="E1214" s="9">
        <v>5400000</v>
      </c>
      <c r="F1214" s="26">
        <v>0.83</v>
      </c>
      <c r="G1214" s="25">
        <v>45</v>
      </c>
      <c r="H1214" s="27">
        <v>0.1</v>
      </c>
      <c r="I1214" s="21" t="str">
        <f t="shared" si="72"/>
        <v>Cumple</v>
      </c>
      <c r="J1214" s="22" t="str">
        <f t="shared" si="73"/>
        <v>Sin bono</v>
      </c>
      <c r="K1214" s="23" t="str">
        <f t="shared" si="74"/>
        <v>ALERTA</v>
      </c>
      <c r="L1214" s="24" t="str">
        <f t="shared" si="75"/>
        <v>Revisar</v>
      </c>
    </row>
    <row r="1215" spans="1:12" ht="18" customHeight="1" x14ac:dyDescent="0.3">
      <c r="A1215" s="18" t="s">
        <v>2477</v>
      </c>
      <c r="B1215" s="5" t="s">
        <v>2478</v>
      </c>
      <c r="C1215" s="18" t="s">
        <v>71</v>
      </c>
      <c r="D1215" s="18" t="s">
        <v>78</v>
      </c>
      <c r="E1215" s="6">
        <v>5000000</v>
      </c>
      <c r="F1215" s="19">
        <v>0.64</v>
      </c>
      <c r="G1215" s="18">
        <v>77</v>
      </c>
      <c r="H1215" s="20">
        <v>0.4</v>
      </c>
      <c r="I1215" s="21" t="str">
        <f t="shared" si="72"/>
        <v>No cumple</v>
      </c>
      <c r="J1215" s="22" t="str">
        <f t="shared" si="73"/>
        <v>Sin bono</v>
      </c>
      <c r="K1215" s="23" t="str">
        <f t="shared" si="74"/>
        <v>OK</v>
      </c>
      <c r="L1215" s="24" t="str">
        <f t="shared" si="75"/>
        <v>Revisar</v>
      </c>
    </row>
    <row r="1216" spans="1:12" ht="18" customHeight="1" x14ac:dyDescent="0.3">
      <c r="A1216" s="25" t="s">
        <v>2479</v>
      </c>
      <c r="B1216" s="8" t="s">
        <v>2480</v>
      </c>
      <c r="C1216" s="25" t="s">
        <v>67</v>
      </c>
      <c r="D1216" s="25" t="s">
        <v>64</v>
      </c>
      <c r="E1216" s="9">
        <v>11600000</v>
      </c>
      <c r="F1216" s="26">
        <v>0.65</v>
      </c>
      <c r="G1216" s="25">
        <v>89</v>
      </c>
      <c r="H1216" s="27">
        <v>14.4</v>
      </c>
      <c r="I1216" s="21" t="str">
        <f t="shared" si="72"/>
        <v>No cumple</v>
      </c>
      <c r="J1216" s="22" t="str">
        <f t="shared" si="73"/>
        <v>Sin bono</v>
      </c>
      <c r="K1216" s="23" t="str">
        <f t="shared" si="74"/>
        <v>OK</v>
      </c>
      <c r="L1216" s="24" t="str">
        <f t="shared" si="75"/>
        <v>Revisar</v>
      </c>
    </row>
    <row r="1217" spans="1:12" ht="18" customHeight="1" x14ac:dyDescent="0.3">
      <c r="A1217" s="18" t="s">
        <v>2481</v>
      </c>
      <c r="B1217" s="5" t="s">
        <v>2482</v>
      </c>
      <c r="C1217" s="18" t="s">
        <v>77</v>
      </c>
      <c r="D1217" s="18" t="s">
        <v>114</v>
      </c>
      <c r="E1217" s="6">
        <v>11000000</v>
      </c>
      <c r="F1217" s="19">
        <v>0.67</v>
      </c>
      <c r="G1217" s="18">
        <v>67</v>
      </c>
      <c r="H1217" s="20">
        <v>13.3</v>
      </c>
      <c r="I1217" s="21" t="str">
        <f t="shared" si="72"/>
        <v>No cumple</v>
      </c>
      <c r="J1217" s="22" t="str">
        <f t="shared" si="73"/>
        <v>Sin bono</v>
      </c>
      <c r="K1217" s="23" t="str">
        <f t="shared" si="74"/>
        <v>OK</v>
      </c>
      <c r="L1217" s="24" t="str">
        <f t="shared" si="75"/>
        <v>Revisar</v>
      </c>
    </row>
    <row r="1218" spans="1:12" ht="18" customHeight="1" x14ac:dyDescent="0.3">
      <c r="A1218" s="25" t="s">
        <v>2483</v>
      </c>
      <c r="B1218" s="8" t="s">
        <v>2484</v>
      </c>
      <c r="C1218" s="25" t="s">
        <v>67</v>
      </c>
      <c r="D1218" s="25" t="s">
        <v>60</v>
      </c>
      <c r="E1218" s="9">
        <v>10900000</v>
      </c>
      <c r="F1218" s="26">
        <v>0.81</v>
      </c>
      <c r="G1218" s="25">
        <v>67</v>
      </c>
      <c r="H1218" s="27">
        <v>8.8000000000000007</v>
      </c>
      <c r="I1218" s="21" t="str">
        <f t="shared" si="72"/>
        <v>Cumple</v>
      </c>
      <c r="J1218" s="22" t="str">
        <f t="shared" si="73"/>
        <v>Sin bono</v>
      </c>
      <c r="K1218" s="23" t="str">
        <f t="shared" si="74"/>
        <v>OK</v>
      </c>
      <c r="L1218" s="24" t="str">
        <f t="shared" si="75"/>
        <v>Revisar</v>
      </c>
    </row>
    <row r="1219" spans="1:12" ht="18" customHeight="1" x14ac:dyDescent="0.3">
      <c r="A1219" s="18" t="s">
        <v>2485</v>
      </c>
      <c r="B1219" s="5" t="s">
        <v>2486</v>
      </c>
      <c r="C1219" s="18" t="s">
        <v>63</v>
      </c>
      <c r="D1219" s="18" t="s">
        <v>105</v>
      </c>
      <c r="E1219" s="6">
        <v>7900000</v>
      </c>
      <c r="F1219" s="19">
        <v>0.59</v>
      </c>
      <c r="G1219" s="18">
        <v>30</v>
      </c>
      <c r="H1219" s="20">
        <v>11.4</v>
      </c>
      <c r="I1219" s="21" t="str">
        <f t="shared" si="72"/>
        <v>No cumple</v>
      </c>
      <c r="J1219" s="22" t="str">
        <f t="shared" si="73"/>
        <v>Sin bono</v>
      </c>
      <c r="K1219" s="23" t="str">
        <f t="shared" si="74"/>
        <v>ALERTA</v>
      </c>
      <c r="L1219" s="24" t="str">
        <f t="shared" si="75"/>
        <v>Revisar</v>
      </c>
    </row>
    <row r="1220" spans="1:12" ht="18" customHeight="1" x14ac:dyDescent="0.3">
      <c r="A1220" s="25" t="s">
        <v>2487</v>
      </c>
      <c r="B1220" s="8" t="s">
        <v>2488</v>
      </c>
      <c r="C1220" s="25" t="s">
        <v>67</v>
      </c>
      <c r="D1220" s="25" t="s">
        <v>60</v>
      </c>
      <c r="E1220" s="9">
        <v>8300000</v>
      </c>
      <c r="F1220" s="26">
        <v>0.52</v>
      </c>
      <c r="G1220" s="25">
        <v>42</v>
      </c>
      <c r="H1220" s="27">
        <v>14.5</v>
      </c>
      <c r="I1220" s="21" t="str">
        <f t="shared" si="72"/>
        <v>No cumple</v>
      </c>
      <c r="J1220" s="22" t="str">
        <f t="shared" si="73"/>
        <v>Sin bono</v>
      </c>
      <c r="K1220" s="23" t="str">
        <f t="shared" si="74"/>
        <v>ALERTA</v>
      </c>
      <c r="L1220" s="24" t="str">
        <f t="shared" si="75"/>
        <v>Revisar</v>
      </c>
    </row>
    <row r="1221" spans="1:12" ht="18" customHeight="1" x14ac:dyDescent="0.3">
      <c r="A1221" s="18" t="s">
        <v>2489</v>
      </c>
      <c r="B1221" s="5" t="s">
        <v>2490</v>
      </c>
      <c r="C1221" s="18" t="s">
        <v>71</v>
      </c>
      <c r="D1221" s="18" t="s">
        <v>64</v>
      </c>
      <c r="E1221" s="6">
        <v>7900000</v>
      </c>
      <c r="F1221" s="19">
        <v>0.81</v>
      </c>
      <c r="G1221" s="18">
        <v>65</v>
      </c>
      <c r="H1221" s="20">
        <v>16</v>
      </c>
      <c r="I1221" s="21" t="str">
        <f t="shared" si="72"/>
        <v>Cumple</v>
      </c>
      <c r="J1221" s="22" t="str">
        <f t="shared" si="73"/>
        <v>Sin bono</v>
      </c>
      <c r="K1221" s="23" t="str">
        <f t="shared" si="74"/>
        <v>OK</v>
      </c>
      <c r="L1221" s="24" t="str">
        <f t="shared" si="75"/>
        <v>Revisar</v>
      </c>
    </row>
    <row r="1222" spans="1:12" ht="18" customHeight="1" x14ac:dyDescent="0.3">
      <c r="A1222" s="25" t="s">
        <v>2491</v>
      </c>
      <c r="B1222" s="8" t="s">
        <v>2492</v>
      </c>
      <c r="C1222" s="25" t="s">
        <v>71</v>
      </c>
      <c r="D1222" s="25" t="s">
        <v>114</v>
      </c>
      <c r="E1222" s="9">
        <v>8900000</v>
      </c>
      <c r="F1222" s="26">
        <v>0.51</v>
      </c>
      <c r="G1222" s="25">
        <v>39</v>
      </c>
      <c r="H1222" s="27">
        <v>16.7</v>
      </c>
      <c r="I1222" s="21" t="str">
        <f t="shared" si="72"/>
        <v>No cumple</v>
      </c>
      <c r="J1222" s="22" t="str">
        <f t="shared" si="73"/>
        <v>Sin bono</v>
      </c>
      <c r="K1222" s="23" t="str">
        <f t="shared" si="74"/>
        <v>ALERTA</v>
      </c>
      <c r="L1222" s="24" t="str">
        <f t="shared" si="75"/>
        <v>Revisar</v>
      </c>
    </row>
    <row r="1223" spans="1:12" ht="18" customHeight="1" x14ac:dyDescent="0.3">
      <c r="A1223" s="18" t="s">
        <v>2493</v>
      </c>
      <c r="B1223" s="5" t="s">
        <v>2494</v>
      </c>
      <c r="C1223" s="18" t="s">
        <v>74</v>
      </c>
      <c r="D1223" s="18" t="s">
        <v>78</v>
      </c>
      <c r="E1223" s="6">
        <v>10300000</v>
      </c>
      <c r="F1223" s="19">
        <v>0.56999999999999995</v>
      </c>
      <c r="G1223" s="18">
        <v>30</v>
      </c>
      <c r="H1223" s="20">
        <v>13.9</v>
      </c>
      <c r="I1223" s="21" t="str">
        <f t="shared" si="72"/>
        <v>No cumple</v>
      </c>
      <c r="J1223" s="22" t="str">
        <f t="shared" si="73"/>
        <v>Sin bono</v>
      </c>
      <c r="K1223" s="23" t="str">
        <f t="shared" si="74"/>
        <v>ALERTA</v>
      </c>
      <c r="L1223" s="24" t="str">
        <f t="shared" si="75"/>
        <v>Revisar</v>
      </c>
    </row>
    <row r="1224" spans="1:12" ht="18" customHeight="1" x14ac:dyDescent="0.3">
      <c r="A1224" s="25" t="s">
        <v>2495</v>
      </c>
      <c r="B1224" s="8" t="s">
        <v>2496</v>
      </c>
      <c r="C1224" s="25" t="s">
        <v>63</v>
      </c>
      <c r="D1224" s="25" t="s">
        <v>60</v>
      </c>
      <c r="E1224" s="9">
        <v>11400000</v>
      </c>
      <c r="F1224" s="26">
        <v>0.95</v>
      </c>
      <c r="G1224" s="25">
        <v>63</v>
      </c>
      <c r="H1224" s="27">
        <v>5.6</v>
      </c>
      <c r="I1224" s="21" t="str">
        <f t="shared" si="72"/>
        <v>Cumple</v>
      </c>
      <c r="J1224" s="22" t="str">
        <f t="shared" si="73"/>
        <v>Sin bono</v>
      </c>
      <c r="K1224" s="23" t="str">
        <f t="shared" si="74"/>
        <v>OK</v>
      </c>
      <c r="L1224" s="24" t="str">
        <f t="shared" si="75"/>
        <v>Revisar</v>
      </c>
    </row>
    <row r="1225" spans="1:12" ht="18" customHeight="1" x14ac:dyDescent="0.3">
      <c r="A1225" s="18" t="s">
        <v>2497</v>
      </c>
      <c r="B1225" s="5" t="s">
        <v>2498</v>
      </c>
      <c r="C1225" s="18" t="s">
        <v>59</v>
      </c>
      <c r="D1225" s="18" t="s">
        <v>88</v>
      </c>
      <c r="E1225" s="6">
        <v>8900000</v>
      </c>
      <c r="F1225" s="19">
        <v>0.85</v>
      </c>
      <c r="G1225" s="18">
        <v>37</v>
      </c>
      <c r="H1225" s="20">
        <v>17.3</v>
      </c>
      <c r="I1225" s="21" t="str">
        <f t="shared" si="72"/>
        <v>Cumple</v>
      </c>
      <c r="J1225" s="22" t="str">
        <f t="shared" si="73"/>
        <v>Sin bono</v>
      </c>
      <c r="K1225" s="23" t="str">
        <f t="shared" si="74"/>
        <v>ALERTA</v>
      </c>
      <c r="L1225" s="24" t="str">
        <f t="shared" si="75"/>
        <v>Revisar</v>
      </c>
    </row>
    <row r="1226" spans="1:12" ht="18" customHeight="1" x14ac:dyDescent="0.3">
      <c r="A1226" s="25" t="s">
        <v>2499</v>
      </c>
      <c r="B1226" s="8" t="s">
        <v>2500</v>
      </c>
      <c r="C1226" s="25" t="s">
        <v>74</v>
      </c>
      <c r="D1226" s="25" t="s">
        <v>114</v>
      </c>
      <c r="E1226" s="9">
        <v>11500000</v>
      </c>
      <c r="F1226" s="26">
        <v>0.7</v>
      </c>
      <c r="G1226" s="25">
        <v>50</v>
      </c>
      <c r="H1226" s="27">
        <v>2.7</v>
      </c>
      <c r="I1226" s="21" t="str">
        <f t="shared" si="72"/>
        <v>No cumple</v>
      </c>
      <c r="J1226" s="22" t="str">
        <f t="shared" si="73"/>
        <v>Sin bono</v>
      </c>
      <c r="K1226" s="23" t="str">
        <f t="shared" si="74"/>
        <v>OK</v>
      </c>
      <c r="L1226" s="24" t="str">
        <f t="shared" si="75"/>
        <v>Revisar</v>
      </c>
    </row>
    <row r="1227" spans="1:12" ht="18" customHeight="1" x14ac:dyDescent="0.3">
      <c r="A1227" s="18" t="s">
        <v>2501</v>
      </c>
      <c r="B1227" s="5" t="s">
        <v>2502</v>
      </c>
      <c r="C1227" s="18" t="s">
        <v>77</v>
      </c>
      <c r="D1227" s="18" t="s">
        <v>64</v>
      </c>
      <c r="E1227" s="6">
        <v>7300000</v>
      </c>
      <c r="F1227" s="19">
        <v>0.52</v>
      </c>
      <c r="G1227" s="18">
        <v>41</v>
      </c>
      <c r="H1227" s="20">
        <v>10.5</v>
      </c>
      <c r="I1227" s="21" t="str">
        <f t="shared" si="72"/>
        <v>No cumple</v>
      </c>
      <c r="J1227" s="22" t="str">
        <f t="shared" si="73"/>
        <v>Sin bono</v>
      </c>
      <c r="K1227" s="23" t="str">
        <f t="shared" si="74"/>
        <v>ALERTA</v>
      </c>
      <c r="L1227" s="24" t="str">
        <f t="shared" si="75"/>
        <v>Revisar</v>
      </c>
    </row>
    <row r="1228" spans="1:12" ht="18" customHeight="1" x14ac:dyDescent="0.3">
      <c r="A1228" s="25" t="s">
        <v>2503</v>
      </c>
      <c r="B1228" s="8" t="s">
        <v>2504</v>
      </c>
      <c r="C1228" s="25" t="s">
        <v>63</v>
      </c>
      <c r="D1228" s="25" t="s">
        <v>68</v>
      </c>
      <c r="E1228" s="9">
        <v>5200000</v>
      </c>
      <c r="F1228" s="26">
        <v>0.6</v>
      </c>
      <c r="G1228" s="25">
        <v>36</v>
      </c>
      <c r="H1228" s="27">
        <v>14.6</v>
      </c>
      <c r="I1228" s="21" t="str">
        <f t="shared" si="72"/>
        <v>No cumple</v>
      </c>
      <c r="J1228" s="22" t="str">
        <f t="shared" si="73"/>
        <v>Sin bono</v>
      </c>
      <c r="K1228" s="23" t="str">
        <f t="shared" si="74"/>
        <v>ALERTA</v>
      </c>
      <c r="L1228" s="24" t="str">
        <f t="shared" si="75"/>
        <v>Revisar</v>
      </c>
    </row>
    <row r="1229" spans="1:12" ht="18" customHeight="1" x14ac:dyDescent="0.3">
      <c r="A1229" s="18" t="s">
        <v>2505</v>
      </c>
      <c r="B1229" s="5" t="s">
        <v>2506</v>
      </c>
      <c r="C1229" s="18" t="s">
        <v>74</v>
      </c>
      <c r="D1229" s="18" t="s">
        <v>60</v>
      </c>
      <c r="E1229" s="6">
        <v>7500000</v>
      </c>
      <c r="F1229" s="19">
        <v>0.94</v>
      </c>
      <c r="G1229" s="18">
        <v>43</v>
      </c>
      <c r="H1229" s="20">
        <v>14.1</v>
      </c>
      <c r="I1229" s="21" t="str">
        <f t="shared" ref="I1229:I1292" si="76">IF(F1229&gt;=0.8,"Cumple","No cumple")</f>
        <v>Cumple</v>
      </c>
      <c r="J1229" s="22" t="str">
        <f t="shared" ref="J1229:J1292" si="77">IF(AND(F1229&gt;=0.8,G1229&gt;=70),"BONO","Sin bono")</f>
        <v>Sin bono</v>
      </c>
      <c r="K1229" s="23" t="str">
        <f t="shared" ref="K1229:K1292" si="78">IF(OR(F1229&lt;0.6,G1229&lt;50),"ALERTA","OK")</f>
        <v>ALERTA</v>
      </c>
      <c r="L1229" s="24" t="str">
        <f t="shared" ref="L1229:L1292" si="79">IF(AND(F1229&gt;=0.9,G1229&gt;=85),"Excelente",IF(AND(F1229&gt;=0.8,G1229&gt;=70),"Bueno","Revisar"))</f>
        <v>Revisar</v>
      </c>
    </row>
    <row r="1230" spans="1:12" ht="18" customHeight="1" x14ac:dyDescent="0.3">
      <c r="A1230" s="25" t="s">
        <v>2507</v>
      </c>
      <c r="B1230" s="8" t="s">
        <v>2508</v>
      </c>
      <c r="C1230" s="25" t="s">
        <v>77</v>
      </c>
      <c r="D1230" s="25" t="s">
        <v>88</v>
      </c>
      <c r="E1230" s="9">
        <v>10300000</v>
      </c>
      <c r="F1230" s="26">
        <v>0.68</v>
      </c>
      <c r="G1230" s="25">
        <v>51</v>
      </c>
      <c r="H1230" s="27">
        <v>5.6</v>
      </c>
      <c r="I1230" s="21" t="str">
        <f t="shared" si="76"/>
        <v>No cumple</v>
      </c>
      <c r="J1230" s="22" t="str">
        <f t="shared" si="77"/>
        <v>Sin bono</v>
      </c>
      <c r="K1230" s="23" t="str">
        <f t="shared" si="78"/>
        <v>OK</v>
      </c>
      <c r="L1230" s="24" t="str">
        <f t="shared" si="79"/>
        <v>Revisar</v>
      </c>
    </row>
    <row r="1231" spans="1:12" ht="18" customHeight="1" x14ac:dyDescent="0.3">
      <c r="A1231" s="18" t="s">
        <v>2509</v>
      </c>
      <c r="B1231" s="5" t="s">
        <v>2510</v>
      </c>
      <c r="C1231" s="18" t="s">
        <v>77</v>
      </c>
      <c r="D1231" s="18" t="s">
        <v>78</v>
      </c>
      <c r="E1231" s="6">
        <v>6000000</v>
      </c>
      <c r="F1231" s="19">
        <v>0.66</v>
      </c>
      <c r="G1231" s="18">
        <v>94</v>
      </c>
      <c r="H1231" s="20">
        <v>18.5</v>
      </c>
      <c r="I1231" s="21" t="str">
        <f t="shared" si="76"/>
        <v>No cumple</v>
      </c>
      <c r="J1231" s="22" t="str">
        <f t="shared" si="77"/>
        <v>Sin bono</v>
      </c>
      <c r="K1231" s="23" t="str">
        <f t="shared" si="78"/>
        <v>OK</v>
      </c>
      <c r="L1231" s="24" t="str">
        <f t="shared" si="79"/>
        <v>Revisar</v>
      </c>
    </row>
    <row r="1232" spans="1:12" ht="18" customHeight="1" x14ac:dyDescent="0.3">
      <c r="A1232" s="25" t="s">
        <v>2511</v>
      </c>
      <c r="B1232" s="8" t="s">
        <v>2512</v>
      </c>
      <c r="C1232" s="25" t="s">
        <v>81</v>
      </c>
      <c r="D1232" s="25" t="s">
        <v>78</v>
      </c>
      <c r="E1232" s="9">
        <v>11600000</v>
      </c>
      <c r="F1232" s="26">
        <v>0.48</v>
      </c>
      <c r="G1232" s="25">
        <v>76</v>
      </c>
      <c r="H1232" s="27">
        <v>9.9</v>
      </c>
      <c r="I1232" s="21" t="str">
        <f t="shared" si="76"/>
        <v>No cumple</v>
      </c>
      <c r="J1232" s="22" t="str">
        <f t="shared" si="77"/>
        <v>Sin bono</v>
      </c>
      <c r="K1232" s="23" t="str">
        <f t="shared" si="78"/>
        <v>ALERTA</v>
      </c>
      <c r="L1232" s="24" t="str">
        <f t="shared" si="79"/>
        <v>Revisar</v>
      </c>
    </row>
    <row r="1233" spans="1:12" ht="18" customHeight="1" x14ac:dyDescent="0.3">
      <c r="A1233" s="18" t="s">
        <v>2513</v>
      </c>
      <c r="B1233" s="5" t="s">
        <v>2514</v>
      </c>
      <c r="C1233" s="18" t="s">
        <v>71</v>
      </c>
      <c r="D1233" s="18" t="s">
        <v>78</v>
      </c>
      <c r="E1233" s="6">
        <v>3800000</v>
      </c>
      <c r="F1233" s="19">
        <v>0.75</v>
      </c>
      <c r="G1233" s="18">
        <v>51</v>
      </c>
      <c r="H1233" s="20">
        <v>2.6</v>
      </c>
      <c r="I1233" s="21" t="str">
        <f t="shared" si="76"/>
        <v>No cumple</v>
      </c>
      <c r="J1233" s="22" t="str">
        <f t="shared" si="77"/>
        <v>Sin bono</v>
      </c>
      <c r="K1233" s="23" t="str">
        <f t="shared" si="78"/>
        <v>OK</v>
      </c>
      <c r="L1233" s="24" t="str">
        <f t="shared" si="79"/>
        <v>Revisar</v>
      </c>
    </row>
    <row r="1234" spans="1:12" ht="18" customHeight="1" x14ac:dyDescent="0.3">
      <c r="A1234" s="25" t="s">
        <v>2515</v>
      </c>
      <c r="B1234" s="8" t="s">
        <v>2516</v>
      </c>
      <c r="C1234" s="25" t="s">
        <v>59</v>
      </c>
      <c r="D1234" s="25" t="s">
        <v>88</v>
      </c>
      <c r="E1234" s="9">
        <v>10000000</v>
      </c>
      <c r="F1234" s="26">
        <v>0.94</v>
      </c>
      <c r="G1234" s="25">
        <v>53</v>
      </c>
      <c r="H1234" s="27">
        <v>4.0999999999999996</v>
      </c>
      <c r="I1234" s="21" t="str">
        <f t="shared" si="76"/>
        <v>Cumple</v>
      </c>
      <c r="J1234" s="22" t="str">
        <f t="shared" si="77"/>
        <v>Sin bono</v>
      </c>
      <c r="K1234" s="23" t="str">
        <f t="shared" si="78"/>
        <v>OK</v>
      </c>
      <c r="L1234" s="24" t="str">
        <f t="shared" si="79"/>
        <v>Revisar</v>
      </c>
    </row>
    <row r="1235" spans="1:12" ht="18" customHeight="1" x14ac:dyDescent="0.3">
      <c r="A1235" s="18" t="s">
        <v>2517</v>
      </c>
      <c r="B1235" s="5" t="s">
        <v>2518</v>
      </c>
      <c r="C1235" s="18" t="s">
        <v>74</v>
      </c>
      <c r="D1235" s="18" t="s">
        <v>64</v>
      </c>
      <c r="E1235" s="6">
        <v>10600000</v>
      </c>
      <c r="F1235" s="19">
        <v>1</v>
      </c>
      <c r="G1235" s="18">
        <v>82</v>
      </c>
      <c r="H1235" s="20">
        <v>7.2</v>
      </c>
      <c r="I1235" s="21" t="str">
        <f t="shared" si="76"/>
        <v>Cumple</v>
      </c>
      <c r="J1235" s="22" t="str">
        <f t="shared" si="77"/>
        <v>BONO</v>
      </c>
      <c r="K1235" s="23" t="str">
        <f t="shared" si="78"/>
        <v>OK</v>
      </c>
      <c r="L1235" s="24" t="str">
        <f t="shared" si="79"/>
        <v>Bueno</v>
      </c>
    </row>
    <row r="1236" spans="1:12" ht="18" customHeight="1" x14ac:dyDescent="0.3">
      <c r="A1236" s="25" t="s">
        <v>2519</v>
      </c>
      <c r="B1236" s="8" t="s">
        <v>2520</v>
      </c>
      <c r="C1236" s="25" t="s">
        <v>81</v>
      </c>
      <c r="D1236" s="25" t="s">
        <v>60</v>
      </c>
      <c r="E1236" s="9">
        <v>11400000</v>
      </c>
      <c r="F1236" s="26">
        <v>0.51</v>
      </c>
      <c r="G1236" s="25">
        <v>65</v>
      </c>
      <c r="H1236" s="27">
        <v>12.4</v>
      </c>
      <c r="I1236" s="21" t="str">
        <f t="shared" si="76"/>
        <v>No cumple</v>
      </c>
      <c r="J1236" s="22" t="str">
        <f t="shared" si="77"/>
        <v>Sin bono</v>
      </c>
      <c r="K1236" s="23" t="str">
        <f t="shared" si="78"/>
        <v>ALERTA</v>
      </c>
      <c r="L1236" s="24" t="str">
        <f t="shared" si="79"/>
        <v>Revisar</v>
      </c>
    </row>
    <row r="1237" spans="1:12" ht="18" customHeight="1" x14ac:dyDescent="0.3">
      <c r="A1237" s="18" t="s">
        <v>2521</v>
      </c>
      <c r="B1237" s="5" t="s">
        <v>2522</v>
      </c>
      <c r="C1237" s="18" t="s">
        <v>67</v>
      </c>
      <c r="D1237" s="18" t="s">
        <v>78</v>
      </c>
      <c r="E1237" s="6">
        <v>2800000</v>
      </c>
      <c r="F1237" s="19">
        <v>0.67</v>
      </c>
      <c r="G1237" s="18">
        <v>87</v>
      </c>
      <c r="H1237" s="20">
        <v>4.8</v>
      </c>
      <c r="I1237" s="21" t="str">
        <f t="shared" si="76"/>
        <v>No cumple</v>
      </c>
      <c r="J1237" s="22" t="str">
        <f t="shared" si="77"/>
        <v>Sin bono</v>
      </c>
      <c r="K1237" s="23" t="str">
        <f t="shared" si="78"/>
        <v>OK</v>
      </c>
      <c r="L1237" s="24" t="str">
        <f t="shared" si="79"/>
        <v>Revisar</v>
      </c>
    </row>
    <row r="1238" spans="1:12" ht="18" customHeight="1" x14ac:dyDescent="0.3">
      <c r="A1238" s="25" t="s">
        <v>2523</v>
      </c>
      <c r="B1238" s="8" t="s">
        <v>2524</v>
      </c>
      <c r="C1238" s="25" t="s">
        <v>74</v>
      </c>
      <c r="D1238" s="25" t="s">
        <v>88</v>
      </c>
      <c r="E1238" s="9">
        <v>10400000</v>
      </c>
      <c r="F1238" s="26">
        <v>0.54</v>
      </c>
      <c r="G1238" s="25">
        <v>32</v>
      </c>
      <c r="H1238" s="27">
        <v>18.100000000000001</v>
      </c>
      <c r="I1238" s="21" t="str">
        <f t="shared" si="76"/>
        <v>No cumple</v>
      </c>
      <c r="J1238" s="22" t="str">
        <f t="shared" si="77"/>
        <v>Sin bono</v>
      </c>
      <c r="K1238" s="23" t="str">
        <f t="shared" si="78"/>
        <v>ALERTA</v>
      </c>
      <c r="L1238" s="24" t="str">
        <f t="shared" si="79"/>
        <v>Revisar</v>
      </c>
    </row>
    <row r="1239" spans="1:12" ht="18" customHeight="1" x14ac:dyDescent="0.3">
      <c r="A1239" s="18" t="s">
        <v>2525</v>
      </c>
      <c r="B1239" s="5" t="s">
        <v>2526</v>
      </c>
      <c r="C1239" s="18" t="s">
        <v>59</v>
      </c>
      <c r="D1239" s="18" t="s">
        <v>92</v>
      </c>
      <c r="E1239" s="6">
        <v>8300000</v>
      </c>
      <c r="F1239" s="19">
        <v>0.47</v>
      </c>
      <c r="G1239" s="18">
        <v>76</v>
      </c>
      <c r="H1239" s="20">
        <v>16.399999999999999</v>
      </c>
      <c r="I1239" s="21" t="str">
        <f t="shared" si="76"/>
        <v>No cumple</v>
      </c>
      <c r="J1239" s="22" t="str">
        <f t="shared" si="77"/>
        <v>Sin bono</v>
      </c>
      <c r="K1239" s="23" t="str">
        <f t="shared" si="78"/>
        <v>ALERTA</v>
      </c>
      <c r="L1239" s="24" t="str">
        <f t="shared" si="79"/>
        <v>Revisar</v>
      </c>
    </row>
    <row r="1240" spans="1:12" ht="18" customHeight="1" x14ac:dyDescent="0.3">
      <c r="A1240" s="25" t="s">
        <v>2527</v>
      </c>
      <c r="B1240" s="8" t="s">
        <v>2528</v>
      </c>
      <c r="C1240" s="25" t="s">
        <v>67</v>
      </c>
      <c r="D1240" s="25" t="s">
        <v>88</v>
      </c>
      <c r="E1240" s="9">
        <v>10100000</v>
      </c>
      <c r="F1240" s="26">
        <v>0.56000000000000005</v>
      </c>
      <c r="G1240" s="25">
        <v>45</v>
      </c>
      <c r="H1240" s="27">
        <v>17.899999999999999</v>
      </c>
      <c r="I1240" s="21" t="str">
        <f t="shared" si="76"/>
        <v>No cumple</v>
      </c>
      <c r="J1240" s="22" t="str">
        <f t="shared" si="77"/>
        <v>Sin bono</v>
      </c>
      <c r="K1240" s="23" t="str">
        <f t="shared" si="78"/>
        <v>ALERTA</v>
      </c>
      <c r="L1240" s="24" t="str">
        <f t="shared" si="79"/>
        <v>Revisar</v>
      </c>
    </row>
    <row r="1241" spans="1:12" ht="18" customHeight="1" x14ac:dyDescent="0.3">
      <c r="A1241" s="18" t="s">
        <v>2529</v>
      </c>
      <c r="B1241" s="5" t="s">
        <v>2530</v>
      </c>
      <c r="C1241" s="18" t="s">
        <v>81</v>
      </c>
      <c r="D1241" s="18" t="s">
        <v>60</v>
      </c>
      <c r="E1241" s="6">
        <v>8600000</v>
      </c>
      <c r="F1241" s="19">
        <v>0.81</v>
      </c>
      <c r="G1241" s="18">
        <v>68</v>
      </c>
      <c r="H1241" s="20">
        <v>4.7</v>
      </c>
      <c r="I1241" s="21" t="str">
        <f t="shared" si="76"/>
        <v>Cumple</v>
      </c>
      <c r="J1241" s="22" t="str">
        <f t="shared" si="77"/>
        <v>Sin bono</v>
      </c>
      <c r="K1241" s="23" t="str">
        <f t="shared" si="78"/>
        <v>OK</v>
      </c>
      <c r="L1241" s="24" t="str">
        <f t="shared" si="79"/>
        <v>Revisar</v>
      </c>
    </row>
    <row r="1242" spans="1:12" ht="18" customHeight="1" x14ac:dyDescent="0.3">
      <c r="A1242" s="25" t="s">
        <v>2531</v>
      </c>
      <c r="B1242" s="8" t="s">
        <v>2532</v>
      </c>
      <c r="C1242" s="25" t="s">
        <v>71</v>
      </c>
      <c r="D1242" s="25" t="s">
        <v>64</v>
      </c>
      <c r="E1242" s="9">
        <v>7900000</v>
      </c>
      <c r="F1242" s="26">
        <v>0.56000000000000005</v>
      </c>
      <c r="G1242" s="25">
        <v>50</v>
      </c>
      <c r="H1242" s="27">
        <v>13.9</v>
      </c>
      <c r="I1242" s="21" t="str">
        <f t="shared" si="76"/>
        <v>No cumple</v>
      </c>
      <c r="J1242" s="22" t="str">
        <f t="shared" si="77"/>
        <v>Sin bono</v>
      </c>
      <c r="K1242" s="23" t="str">
        <f t="shared" si="78"/>
        <v>ALERTA</v>
      </c>
      <c r="L1242" s="24" t="str">
        <f t="shared" si="79"/>
        <v>Revisar</v>
      </c>
    </row>
    <row r="1243" spans="1:12" ht="18" customHeight="1" x14ac:dyDescent="0.3">
      <c r="A1243" s="18" t="s">
        <v>2533</v>
      </c>
      <c r="B1243" s="5" t="s">
        <v>2534</v>
      </c>
      <c r="C1243" s="18" t="s">
        <v>91</v>
      </c>
      <c r="D1243" s="18" t="s">
        <v>105</v>
      </c>
      <c r="E1243" s="6">
        <v>9700000</v>
      </c>
      <c r="F1243" s="19">
        <v>0.92</v>
      </c>
      <c r="G1243" s="18">
        <v>92</v>
      </c>
      <c r="H1243" s="20">
        <v>10.8</v>
      </c>
      <c r="I1243" s="21" t="str">
        <f t="shared" si="76"/>
        <v>Cumple</v>
      </c>
      <c r="J1243" s="22" t="str">
        <f t="shared" si="77"/>
        <v>BONO</v>
      </c>
      <c r="K1243" s="23" t="str">
        <f t="shared" si="78"/>
        <v>OK</v>
      </c>
      <c r="L1243" s="24" t="str">
        <f t="shared" si="79"/>
        <v>Excelente</v>
      </c>
    </row>
    <row r="1244" spans="1:12" ht="18" customHeight="1" x14ac:dyDescent="0.3">
      <c r="A1244" s="25" t="s">
        <v>2535</v>
      </c>
      <c r="B1244" s="8" t="s">
        <v>2536</v>
      </c>
      <c r="C1244" s="25" t="s">
        <v>77</v>
      </c>
      <c r="D1244" s="25" t="s">
        <v>105</v>
      </c>
      <c r="E1244" s="9">
        <v>7200000</v>
      </c>
      <c r="F1244" s="26">
        <v>0.86</v>
      </c>
      <c r="G1244" s="25">
        <v>49</v>
      </c>
      <c r="H1244" s="27">
        <v>7.2</v>
      </c>
      <c r="I1244" s="21" t="str">
        <f t="shared" si="76"/>
        <v>Cumple</v>
      </c>
      <c r="J1244" s="22" t="str">
        <f t="shared" si="77"/>
        <v>Sin bono</v>
      </c>
      <c r="K1244" s="23" t="str">
        <f t="shared" si="78"/>
        <v>ALERTA</v>
      </c>
      <c r="L1244" s="24" t="str">
        <f t="shared" si="79"/>
        <v>Revisar</v>
      </c>
    </row>
    <row r="1245" spans="1:12" ht="18" customHeight="1" x14ac:dyDescent="0.3">
      <c r="A1245" s="18" t="s">
        <v>2537</v>
      </c>
      <c r="B1245" s="5" t="s">
        <v>2538</v>
      </c>
      <c r="C1245" s="18" t="s">
        <v>77</v>
      </c>
      <c r="D1245" s="18" t="s">
        <v>78</v>
      </c>
      <c r="E1245" s="6">
        <v>8000000</v>
      </c>
      <c r="F1245" s="19">
        <v>0.62</v>
      </c>
      <c r="G1245" s="18">
        <v>97</v>
      </c>
      <c r="H1245" s="20">
        <v>2.7</v>
      </c>
      <c r="I1245" s="21" t="str">
        <f t="shared" si="76"/>
        <v>No cumple</v>
      </c>
      <c r="J1245" s="22" t="str">
        <f t="shared" si="77"/>
        <v>Sin bono</v>
      </c>
      <c r="K1245" s="23" t="str">
        <f t="shared" si="78"/>
        <v>OK</v>
      </c>
      <c r="L1245" s="24" t="str">
        <f t="shared" si="79"/>
        <v>Revisar</v>
      </c>
    </row>
    <row r="1246" spans="1:12" ht="18" customHeight="1" x14ac:dyDescent="0.3">
      <c r="A1246" s="25" t="s">
        <v>2539</v>
      </c>
      <c r="B1246" s="8" t="s">
        <v>2540</v>
      </c>
      <c r="C1246" s="25" t="s">
        <v>91</v>
      </c>
      <c r="D1246" s="25" t="s">
        <v>60</v>
      </c>
      <c r="E1246" s="9">
        <v>7000000</v>
      </c>
      <c r="F1246" s="26">
        <v>0.93</v>
      </c>
      <c r="G1246" s="25">
        <v>83</v>
      </c>
      <c r="H1246" s="27">
        <v>12.4</v>
      </c>
      <c r="I1246" s="21" t="str">
        <f t="shared" si="76"/>
        <v>Cumple</v>
      </c>
      <c r="J1246" s="22" t="str">
        <f t="shared" si="77"/>
        <v>BONO</v>
      </c>
      <c r="K1246" s="23" t="str">
        <f t="shared" si="78"/>
        <v>OK</v>
      </c>
      <c r="L1246" s="24" t="str">
        <f t="shared" si="79"/>
        <v>Bueno</v>
      </c>
    </row>
    <row r="1247" spans="1:12" ht="18" customHeight="1" x14ac:dyDescent="0.3">
      <c r="A1247" s="18" t="s">
        <v>2541</v>
      </c>
      <c r="B1247" s="5" t="s">
        <v>2542</v>
      </c>
      <c r="C1247" s="18" t="s">
        <v>67</v>
      </c>
      <c r="D1247" s="18" t="s">
        <v>105</v>
      </c>
      <c r="E1247" s="6">
        <v>10800000</v>
      </c>
      <c r="F1247" s="19">
        <v>0.53</v>
      </c>
      <c r="G1247" s="18">
        <v>69</v>
      </c>
      <c r="H1247" s="20">
        <v>5.9</v>
      </c>
      <c r="I1247" s="21" t="str">
        <f t="shared" si="76"/>
        <v>No cumple</v>
      </c>
      <c r="J1247" s="22" t="str">
        <f t="shared" si="77"/>
        <v>Sin bono</v>
      </c>
      <c r="K1247" s="23" t="str">
        <f t="shared" si="78"/>
        <v>ALERTA</v>
      </c>
      <c r="L1247" s="24" t="str">
        <f t="shared" si="79"/>
        <v>Revisar</v>
      </c>
    </row>
    <row r="1248" spans="1:12" ht="18" customHeight="1" x14ac:dyDescent="0.3">
      <c r="A1248" s="25" t="s">
        <v>2543</v>
      </c>
      <c r="B1248" s="8" t="s">
        <v>2544</v>
      </c>
      <c r="C1248" s="25" t="s">
        <v>81</v>
      </c>
      <c r="D1248" s="25" t="s">
        <v>60</v>
      </c>
      <c r="E1248" s="9">
        <v>8400000</v>
      </c>
      <c r="F1248" s="26">
        <v>0.72</v>
      </c>
      <c r="G1248" s="25">
        <v>30</v>
      </c>
      <c r="H1248" s="27">
        <v>11.2</v>
      </c>
      <c r="I1248" s="21" t="str">
        <f t="shared" si="76"/>
        <v>No cumple</v>
      </c>
      <c r="J1248" s="22" t="str">
        <f t="shared" si="77"/>
        <v>Sin bono</v>
      </c>
      <c r="K1248" s="23" t="str">
        <f t="shared" si="78"/>
        <v>ALERTA</v>
      </c>
      <c r="L1248" s="24" t="str">
        <f t="shared" si="79"/>
        <v>Revisar</v>
      </c>
    </row>
    <row r="1249" spans="1:12" ht="18" customHeight="1" x14ac:dyDescent="0.3">
      <c r="A1249" s="18" t="s">
        <v>2545</v>
      </c>
      <c r="B1249" s="5" t="s">
        <v>2546</v>
      </c>
      <c r="C1249" s="18" t="s">
        <v>63</v>
      </c>
      <c r="D1249" s="18" t="s">
        <v>105</v>
      </c>
      <c r="E1249" s="6">
        <v>6100000</v>
      </c>
      <c r="F1249" s="19">
        <v>0.79</v>
      </c>
      <c r="G1249" s="18">
        <v>32</v>
      </c>
      <c r="H1249" s="20">
        <v>7.5</v>
      </c>
      <c r="I1249" s="21" t="str">
        <f t="shared" si="76"/>
        <v>No cumple</v>
      </c>
      <c r="J1249" s="22" t="str">
        <f t="shared" si="77"/>
        <v>Sin bono</v>
      </c>
      <c r="K1249" s="23" t="str">
        <f t="shared" si="78"/>
        <v>ALERTA</v>
      </c>
      <c r="L1249" s="24" t="str">
        <f t="shared" si="79"/>
        <v>Revisar</v>
      </c>
    </row>
    <row r="1250" spans="1:12" ht="18" customHeight="1" x14ac:dyDescent="0.3">
      <c r="A1250" s="25" t="s">
        <v>2547</v>
      </c>
      <c r="B1250" s="8" t="s">
        <v>2548</v>
      </c>
      <c r="C1250" s="25" t="s">
        <v>74</v>
      </c>
      <c r="D1250" s="25" t="s">
        <v>68</v>
      </c>
      <c r="E1250" s="9">
        <v>7000000</v>
      </c>
      <c r="F1250" s="26">
        <v>0.71</v>
      </c>
      <c r="G1250" s="25">
        <v>37</v>
      </c>
      <c r="H1250" s="27">
        <v>17.899999999999999</v>
      </c>
      <c r="I1250" s="21" t="str">
        <f t="shared" si="76"/>
        <v>No cumple</v>
      </c>
      <c r="J1250" s="22" t="str">
        <f t="shared" si="77"/>
        <v>Sin bono</v>
      </c>
      <c r="K1250" s="23" t="str">
        <f t="shared" si="78"/>
        <v>ALERTA</v>
      </c>
      <c r="L1250" s="24" t="str">
        <f t="shared" si="79"/>
        <v>Revisar</v>
      </c>
    </row>
    <row r="1251" spans="1:12" ht="18" customHeight="1" x14ac:dyDescent="0.3">
      <c r="A1251" s="18" t="s">
        <v>2549</v>
      </c>
      <c r="B1251" s="5" t="s">
        <v>2550</v>
      </c>
      <c r="C1251" s="18" t="s">
        <v>71</v>
      </c>
      <c r="D1251" s="18" t="s">
        <v>78</v>
      </c>
      <c r="E1251" s="6">
        <v>5700000</v>
      </c>
      <c r="F1251" s="19">
        <v>0.64</v>
      </c>
      <c r="G1251" s="18">
        <v>62</v>
      </c>
      <c r="H1251" s="20">
        <v>15.9</v>
      </c>
      <c r="I1251" s="21" t="str">
        <f t="shared" si="76"/>
        <v>No cumple</v>
      </c>
      <c r="J1251" s="22" t="str">
        <f t="shared" si="77"/>
        <v>Sin bono</v>
      </c>
      <c r="K1251" s="23" t="str">
        <f t="shared" si="78"/>
        <v>OK</v>
      </c>
      <c r="L1251" s="24" t="str">
        <f t="shared" si="79"/>
        <v>Revisar</v>
      </c>
    </row>
    <row r="1252" spans="1:12" ht="18" customHeight="1" x14ac:dyDescent="0.3">
      <c r="A1252" s="25" t="s">
        <v>2551</v>
      </c>
      <c r="B1252" s="8" t="s">
        <v>2552</v>
      </c>
      <c r="C1252" s="25" t="s">
        <v>59</v>
      </c>
      <c r="D1252" s="25" t="s">
        <v>68</v>
      </c>
      <c r="E1252" s="9">
        <v>3600000</v>
      </c>
      <c r="F1252" s="26">
        <v>0.68</v>
      </c>
      <c r="G1252" s="25">
        <v>100</v>
      </c>
      <c r="H1252" s="27">
        <v>9.4</v>
      </c>
      <c r="I1252" s="21" t="str">
        <f t="shared" si="76"/>
        <v>No cumple</v>
      </c>
      <c r="J1252" s="22" t="str">
        <f t="shared" si="77"/>
        <v>Sin bono</v>
      </c>
      <c r="K1252" s="23" t="str">
        <f t="shared" si="78"/>
        <v>OK</v>
      </c>
      <c r="L1252" s="24" t="str">
        <f t="shared" si="79"/>
        <v>Revisar</v>
      </c>
    </row>
    <row r="1253" spans="1:12" ht="18" customHeight="1" x14ac:dyDescent="0.3">
      <c r="A1253" s="18" t="s">
        <v>2553</v>
      </c>
      <c r="B1253" s="5" t="s">
        <v>2554</v>
      </c>
      <c r="C1253" s="18" t="s">
        <v>91</v>
      </c>
      <c r="D1253" s="18" t="s">
        <v>78</v>
      </c>
      <c r="E1253" s="6">
        <v>4500000</v>
      </c>
      <c r="F1253" s="19">
        <v>0.52</v>
      </c>
      <c r="G1253" s="18">
        <v>62</v>
      </c>
      <c r="H1253" s="20">
        <v>0.5</v>
      </c>
      <c r="I1253" s="21" t="str">
        <f t="shared" si="76"/>
        <v>No cumple</v>
      </c>
      <c r="J1253" s="22" t="str">
        <f t="shared" si="77"/>
        <v>Sin bono</v>
      </c>
      <c r="K1253" s="23" t="str">
        <f t="shared" si="78"/>
        <v>ALERTA</v>
      </c>
      <c r="L1253" s="24" t="str">
        <f t="shared" si="79"/>
        <v>Revisar</v>
      </c>
    </row>
    <row r="1254" spans="1:12" ht="18" customHeight="1" x14ac:dyDescent="0.3">
      <c r="A1254" s="25" t="s">
        <v>2555</v>
      </c>
      <c r="B1254" s="8" t="s">
        <v>2556</v>
      </c>
      <c r="C1254" s="25" t="s">
        <v>59</v>
      </c>
      <c r="D1254" s="25" t="s">
        <v>78</v>
      </c>
      <c r="E1254" s="9">
        <v>11200000</v>
      </c>
      <c r="F1254" s="26">
        <v>0.72</v>
      </c>
      <c r="G1254" s="25">
        <v>69</v>
      </c>
      <c r="H1254" s="27">
        <v>17.8</v>
      </c>
      <c r="I1254" s="21" t="str">
        <f t="shared" si="76"/>
        <v>No cumple</v>
      </c>
      <c r="J1254" s="22" t="str">
        <f t="shared" si="77"/>
        <v>Sin bono</v>
      </c>
      <c r="K1254" s="23" t="str">
        <f t="shared" si="78"/>
        <v>OK</v>
      </c>
      <c r="L1254" s="24" t="str">
        <f t="shared" si="79"/>
        <v>Revisar</v>
      </c>
    </row>
    <row r="1255" spans="1:12" ht="18" customHeight="1" x14ac:dyDescent="0.3">
      <c r="A1255" s="18" t="s">
        <v>2557</v>
      </c>
      <c r="B1255" s="5" t="s">
        <v>2558</v>
      </c>
      <c r="C1255" s="18" t="s">
        <v>91</v>
      </c>
      <c r="D1255" s="18" t="s">
        <v>64</v>
      </c>
      <c r="E1255" s="6">
        <v>11900000</v>
      </c>
      <c r="F1255" s="19">
        <v>0.6</v>
      </c>
      <c r="G1255" s="18">
        <v>62</v>
      </c>
      <c r="H1255" s="20">
        <v>3.8</v>
      </c>
      <c r="I1255" s="21" t="str">
        <f t="shared" si="76"/>
        <v>No cumple</v>
      </c>
      <c r="J1255" s="22" t="str">
        <f t="shared" si="77"/>
        <v>Sin bono</v>
      </c>
      <c r="K1255" s="23" t="str">
        <f t="shared" si="78"/>
        <v>OK</v>
      </c>
      <c r="L1255" s="24" t="str">
        <f t="shared" si="79"/>
        <v>Revisar</v>
      </c>
    </row>
    <row r="1256" spans="1:12" ht="18" customHeight="1" x14ac:dyDescent="0.3">
      <c r="A1256" s="25" t="s">
        <v>2559</v>
      </c>
      <c r="B1256" s="8" t="s">
        <v>2560</v>
      </c>
      <c r="C1256" s="25" t="s">
        <v>74</v>
      </c>
      <c r="D1256" s="25" t="s">
        <v>92</v>
      </c>
      <c r="E1256" s="9">
        <v>5200000</v>
      </c>
      <c r="F1256" s="26">
        <v>0.73</v>
      </c>
      <c r="G1256" s="25">
        <v>62</v>
      </c>
      <c r="H1256" s="27">
        <v>15.1</v>
      </c>
      <c r="I1256" s="21" t="str">
        <f t="shared" si="76"/>
        <v>No cumple</v>
      </c>
      <c r="J1256" s="22" t="str">
        <f t="shared" si="77"/>
        <v>Sin bono</v>
      </c>
      <c r="K1256" s="23" t="str">
        <f t="shared" si="78"/>
        <v>OK</v>
      </c>
      <c r="L1256" s="24" t="str">
        <f t="shared" si="79"/>
        <v>Revisar</v>
      </c>
    </row>
    <row r="1257" spans="1:12" ht="18" customHeight="1" x14ac:dyDescent="0.3">
      <c r="A1257" s="18" t="s">
        <v>2561</v>
      </c>
      <c r="B1257" s="5" t="s">
        <v>2562</v>
      </c>
      <c r="C1257" s="18" t="s">
        <v>63</v>
      </c>
      <c r="D1257" s="18" t="s">
        <v>60</v>
      </c>
      <c r="E1257" s="6">
        <v>9000000</v>
      </c>
      <c r="F1257" s="19">
        <v>0.84</v>
      </c>
      <c r="G1257" s="18">
        <v>94</v>
      </c>
      <c r="H1257" s="20">
        <v>3.4</v>
      </c>
      <c r="I1257" s="21" t="str">
        <f t="shared" si="76"/>
        <v>Cumple</v>
      </c>
      <c r="J1257" s="22" t="str">
        <f t="shared" si="77"/>
        <v>BONO</v>
      </c>
      <c r="K1257" s="23" t="str">
        <f t="shared" si="78"/>
        <v>OK</v>
      </c>
      <c r="L1257" s="24" t="str">
        <f t="shared" si="79"/>
        <v>Bueno</v>
      </c>
    </row>
    <row r="1258" spans="1:12" ht="18" customHeight="1" x14ac:dyDescent="0.3">
      <c r="A1258" s="25" t="s">
        <v>2563</v>
      </c>
      <c r="B1258" s="8" t="s">
        <v>2564</v>
      </c>
      <c r="C1258" s="25" t="s">
        <v>67</v>
      </c>
      <c r="D1258" s="25" t="s">
        <v>68</v>
      </c>
      <c r="E1258" s="9">
        <v>6000000</v>
      </c>
      <c r="F1258" s="26">
        <v>0.67</v>
      </c>
      <c r="G1258" s="25">
        <v>31</v>
      </c>
      <c r="H1258" s="27">
        <v>6.8</v>
      </c>
      <c r="I1258" s="21" t="str">
        <f t="shared" si="76"/>
        <v>No cumple</v>
      </c>
      <c r="J1258" s="22" t="str">
        <f t="shared" si="77"/>
        <v>Sin bono</v>
      </c>
      <c r="K1258" s="23" t="str">
        <f t="shared" si="78"/>
        <v>ALERTA</v>
      </c>
      <c r="L1258" s="24" t="str">
        <f t="shared" si="79"/>
        <v>Revisar</v>
      </c>
    </row>
    <row r="1259" spans="1:12" ht="18" customHeight="1" x14ac:dyDescent="0.3">
      <c r="A1259" s="18" t="s">
        <v>2565</v>
      </c>
      <c r="B1259" s="5" t="s">
        <v>2566</v>
      </c>
      <c r="C1259" s="18" t="s">
        <v>67</v>
      </c>
      <c r="D1259" s="18" t="s">
        <v>92</v>
      </c>
      <c r="E1259" s="6">
        <v>10400000</v>
      </c>
      <c r="F1259" s="19">
        <v>0.62</v>
      </c>
      <c r="G1259" s="18">
        <v>31</v>
      </c>
      <c r="H1259" s="20">
        <v>11.6</v>
      </c>
      <c r="I1259" s="21" t="str">
        <f t="shared" si="76"/>
        <v>No cumple</v>
      </c>
      <c r="J1259" s="22" t="str">
        <f t="shared" si="77"/>
        <v>Sin bono</v>
      </c>
      <c r="K1259" s="23" t="str">
        <f t="shared" si="78"/>
        <v>ALERTA</v>
      </c>
      <c r="L1259" s="24" t="str">
        <f t="shared" si="79"/>
        <v>Revisar</v>
      </c>
    </row>
    <row r="1260" spans="1:12" ht="18" customHeight="1" x14ac:dyDescent="0.3">
      <c r="A1260" s="25" t="s">
        <v>2567</v>
      </c>
      <c r="B1260" s="8" t="s">
        <v>2568</v>
      </c>
      <c r="C1260" s="25" t="s">
        <v>91</v>
      </c>
      <c r="D1260" s="25" t="s">
        <v>105</v>
      </c>
      <c r="E1260" s="9">
        <v>4900000</v>
      </c>
      <c r="F1260" s="26">
        <v>0.79</v>
      </c>
      <c r="G1260" s="25">
        <v>77</v>
      </c>
      <c r="H1260" s="27">
        <v>0.5</v>
      </c>
      <c r="I1260" s="21" t="str">
        <f t="shared" si="76"/>
        <v>No cumple</v>
      </c>
      <c r="J1260" s="22" t="str">
        <f t="shared" si="77"/>
        <v>Sin bono</v>
      </c>
      <c r="K1260" s="23" t="str">
        <f t="shared" si="78"/>
        <v>OK</v>
      </c>
      <c r="L1260" s="24" t="str">
        <f t="shared" si="79"/>
        <v>Revisar</v>
      </c>
    </row>
    <row r="1261" spans="1:12" ht="18" customHeight="1" x14ac:dyDescent="0.3">
      <c r="A1261" s="18" t="s">
        <v>2569</v>
      </c>
      <c r="B1261" s="5" t="s">
        <v>2570</v>
      </c>
      <c r="C1261" s="18" t="s">
        <v>81</v>
      </c>
      <c r="D1261" s="18" t="s">
        <v>60</v>
      </c>
      <c r="E1261" s="6">
        <v>11900000</v>
      </c>
      <c r="F1261" s="19">
        <v>0.67</v>
      </c>
      <c r="G1261" s="18">
        <v>43</v>
      </c>
      <c r="H1261" s="20">
        <v>9.5</v>
      </c>
      <c r="I1261" s="21" t="str">
        <f t="shared" si="76"/>
        <v>No cumple</v>
      </c>
      <c r="J1261" s="22" t="str">
        <f t="shared" si="77"/>
        <v>Sin bono</v>
      </c>
      <c r="K1261" s="23" t="str">
        <f t="shared" si="78"/>
        <v>ALERTA</v>
      </c>
      <c r="L1261" s="24" t="str">
        <f t="shared" si="79"/>
        <v>Revisar</v>
      </c>
    </row>
    <row r="1262" spans="1:12" ht="18" customHeight="1" x14ac:dyDescent="0.3">
      <c r="A1262" s="25" t="s">
        <v>2571</v>
      </c>
      <c r="B1262" s="8" t="s">
        <v>2572</v>
      </c>
      <c r="C1262" s="25" t="s">
        <v>71</v>
      </c>
      <c r="D1262" s="25" t="s">
        <v>68</v>
      </c>
      <c r="E1262" s="9">
        <v>11200000</v>
      </c>
      <c r="F1262" s="26">
        <v>0.87</v>
      </c>
      <c r="G1262" s="25">
        <v>66</v>
      </c>
      <c r="H1262" s="27">
        <v>5.3</v>
      </c>
      <c r="I1262" s="21" t="str">
        <f t="shared" si="76"/>
        <v>Cumple</v>
      </c>
      <c r="J1262" s="22" t="str">
        <f t="shared" si="77"/>
        <v>Sin bono</v>
      </c>
      <c r="K1262" s="23" t="str">
        <f t="shared" si="78"/>
        <v>OK</v>
      </c>
      <c r="L1262" s="24" t="str">
        <f t="shared" si="79"/>
        <v>Revisar</v>
      </c>
    </row>
    <row r="1263" spans="1:12" ht="18" customHeight="1" x14ac:dyDescent="0.3">
      <c r="A1263" s="18" t="s">
        <v>2573</v>
      </c>
      <c r="B1263" s="5" t="s">
        <v>2574</v>
      </c>
      <c r="C1263" s="18" t="s">
        <v>81</v>
      </c>
      <c r="D1263" s="18" t="s">
        <v>105</v>
      </c>
      <c r="E1263" s="6">
        <v>11300000</v>
      </c>
      <c r="F1263" s="19">
        <v>0.46</v>
      </c>
      <c r="G1263" s="18">
        <v>85</v>
      </c>
      <c r="H1263" s="20">
        <v>3.9</v>
      </c>
      <c r="I1263" s="21" t="str">
        <f t="shared" si="76"/>
        <v>No cumple</v>
      </c>
      <c r="J1263" s="22" t="str">
        <f t="shared" si="77"/>
        <v>Sin bono</v>
      </c>
      <c r="K1263" s="23" t="str">
        <f t="shared" si="78"/>
        <v>ALERTA</v>
      </c>
      <c r="L1263" s="24" t="str">
        <f t="shared" si="79"/>
        <v>Revisar</v>
      </c>
    </row>
    <row r="1264" spans="1:12" ht="18" customHeight="1" x14ac:dyDescent="0.3">
      <c r="A1264" s="25" t="s">
        <v>2575</v>
      </c>
      <c r="B1264" s="8" t="s">
        <v>2576</v>
      </c>
      <c r="C1264" s="25" t="s">
        <v>59</v>
      </c>
      <c r="D1264" s="25" t="s">
        <v>92</v>
      </c>
      <c r="E1264" s="9">
        <v>8800000</v>
      </c>
      <c r="F1264" s="26">
        <v>0.8</v>
      </c>
      <c r="G1264" s="25">
        <v>35</v>
      </c>
      <c r="H1264" s="27">
        <v>10.5</v>
      </c>
      <c r="I1264" s="21" t="str">
        <f t="shared" si="76"/>
        <v>Cumple</v>
      </c>
      <c r="J1264" s="22" t="str">
        <f t="shared" si="77"/>
        <v>Sin bono</v>
      </c>
      <c r="K1264" s="23" t="str">
        <f t="shared" si="78"/>
        <v>ALERTA</v>
      </c>
      <c r="L1264" s="24" t="str">
        <f t="shared" si="79"/>
        <v>Revisar</v>
      </c>
    </row>
    <row r="1265" spans="1:12" ht="18" customHeight="1" x14ac:dyDescent="0.3">
      <c r="A1265" s="18" t="s">
        <v>2577</v>
      </c>
      <c r="B1265" s="5" t="s">
        <v>2578</v>
      </c>
      <c r="C1265" s="18" t="s">
        <v>63</v>
      </c>
      <c r="D1265" s="18" t="s">
        <v>92</v>
      </c>
      <c r="E1265" s="6">
        <v>3400000</v>
      </c>
      <c r="F1265" s="19">
        <v>0.99</v>
      </c>
      <c r="G1265" s="18">
        <v>57</v>
      </c>
      <c r="H1265" s="20">
        <v>8.4</v>
      </c>
      <c r="I1265" s="21" t="str">
        <f t="shared" si="76"/>
        <v>Cumple</v>
      </c>
      <c r="J1265" s="22" t="str">
        <f t="shared" si="77"/>
        <v>Sin bono</v>
      </c>
      <c r="K1265" s="23" t="str">
        <f t="shared" si="78"/>
        <v>OK</v>
      </c>
      <c r="L1265" s="24" t="str">
        <f t="shared" si="79"/>
        <v>Revisar</v>
      </c>
    </row>
    <row r="1266" spans="1:12" ht="18" customHeight="1" x14ac:dyDescent="0.3">
      <c r="A1266" s="25" t="s">
        <v>2579</v>
      </c>
      <c r="B1266" s="8" t="s">
        <v>2580</v>
      </c>
      <c r="C1266" s="25" t="s">
        <v>71</v>
      </c>
      <c r="D1266" s="25" t="s">
        <v>64</v>
      </c>
      <c r="E1266" s="9">
        <v>6900000</v>
      </c>
      <c r="F1266" s="26">
        <v>0.85</v>
      </c>
      <c r="G1266" s="25">
        <v>75</v>
      </c>
      <c r="H1266" s="27">
        <v>0.7</v>
      </c>
      <c r="I1266" s="21" t="str">
        <f t="shared" si="76"/>
        <v>Cumple</v>
      </c>
      <c r="J1266" s="22" t="str">
        <f t="shared" si="77"/>
        <v>BONO</v>
      </c>
      <c r="K1266" s="23" t="str">
        <f t="shared" si="78"/>
        <v>OK</v>
      </c>
      <c r="L1266" s="24" t="str">
        <f t="shared" si="79"/>
        <v>Bueno</v>
      </c>
    </row>
    <row r="1267" spans="1:12" ht="18" customHeight="1" x14ac:dyDescent="0.3">
      <c r="A1267" s="18" t="s">
        <v>2581</v>
      </c>
      <c r="B1267" s="5" t="s">
        <v>2582</v>
      </c>
      <c r="C1267" s="18" t="s">
        <v>81</v>
      </c>
      <c r="D1267" s="18" t="s">
        <v>92</v>
      </c>
      <c r="E1267" s="6">
        <v>10500000</v>
      </c>
      <c r="F1267" s="19">
        <v>0.46</v>
      </c>
      <c r="G1267" s="18">
        <v>60</v>
      </c>
      <c r="H1267" s="20">
        <v>2.2000000000000002</v>
      </c>
      <c r="I1267" s="21" t="str">
        <f t="shared" si="76"/>
        <v>No cumple</v>
      </c>
      <c r="J1267" s="22" t="str">
        <f t="shared" si="77"/>
        <v>Sin bono</v>
      </c>
      <c r="K1267" s="23" t="str">
        <f t="shared" si="78"/>
        <v>ALERTA</v>
      </c>
      <c r="L1267" s="24" t="str">
        <f t="shared" si="79"/>
        <v>Revisar</v>
      </c>
    </row>
    <row r="1268" spans="1:12" ht="18" customHeight="1" x14ac:dyDescent="0.3">
      <c r="A1268" s="25" t="s">
        <v>2583</v>
      </c>
      <c r="B1268" s="8" t="s">
        <v>2584</v>
      </c>
      <c r="C1268" s="25" t="s">
        <v>71</v>
      </c>
      <c r="D1268" s="25" t="s">
        <v>68</v>
      </c>
      <c r="E1268" s="9">
        <v>7400000</v>
      </c>
      <c r="F1268" s="26">
        <v>0.69</v>
      </c>
      <c r="G1268" s="25">
        <v>42</v>
      </c>
      <c r="H1268" s="27">
        <v>5.8</v>
      </c>
      <c r="I1268" s="21" t="str">
        <f t="shared" si="76"/>
        <v>No cumple</v>
      </c>
      <c r="J1268" s="22" t="str">
        <f t="shared" si="77"/>
        <v>Sin bono</v>
      </c>
      <c r="K1268" s="23" t="str">
        <f t="shared" si="78"/>
        <v>ALERTA</v>
      </c>
      <c r="L1268" s="24" t="str">
        <f t="shared" si="79"/>
        <v>Revisar</v>
      </c>
    </row>
    <row r="1269" spans="1:12" ht="18" customHeight="1" x14ac:dyDescent="0.3">
      <c r="A1269" s="18" t="s">
        <v>2585</v>
      </c>
      <c r="B1269" s="5" t="s">
        <v>2586</v>
      </c>
      <c r="C1269" s="18" t="s">
        <v>71</v>
      </c>
      <c r="D1269" s="18" t="s">
        <v>92</v>
      </c>
      <c r="E1269" s="6">
        <v>2800000</v>
      </c>
      <c r="F1269" s="19">
        <v>0.69</v>
      </c>
      <c r="G1269" s="18">
        <v>74</v>
      </c>
      <c r="H1269" s="20">
        <v>6.3</v>
      </c>
      <c r="I1269" s="21" t="str">
        <f t="shared" si="76"/>
        <v>No cumple</v>
      </c>
      <c r="J1269" s="22" t="str">
        <f t="shared" si="77"/>
        <v>Sin bono</v>
      </c>
      <c r="K1269" s="23" t="str">
        <f t="shared" si="78"/>
        <v>OK</v>
      </c>
      <c r="L1269" s="24" t="str">
        <f t="shared" si="79"/>
        <v>Revisar</v>
      </c>
    </row>
    <row r="1270" spans="1:12" ht="18" customHeight="1" x14ac:dyDescent="0.3">
      <c r="A1270" s="25" t="s">
        <v>2587</v>
      </c>
      <c r="B1270" s="8" t="s">
        <v>2588</v>
      </c>
      <c r="C1270" s="25" t="s">
        <v>59</v>
      </c>
      <c r="D1270" s="25" t="s">
        <v>92</v>
      </c>
      <c r="E1270" s="9">
        <v>6700000</v>
      </c>
      <c r="F1270" s="26">
        <v>0.96</v>
      </c>
      <c r="G1270" s="25">
        <v>61</v>
      </c>
      <c r="H1270" s="27">
        <v>0.8</v>
      </c>
      <c r="I1270" s="21" t="str">
        <f t="shared" si="76"/>
        <v>Cumple</v>
      </c>
      <c r="J1270" s="22" t="str">
        <f t="shared" si="77"/>
        <v>Sin bono</v>
      </c>
      <c r="K1270" s="23" t="str">
        <f t="shared" si="78"/>
        <v>OK</v>
      </c>
      <c r="L1270" s="24" t="str">
        <f t="shared" si="79"/>
        <v>Revisar</v>
      </c>
    </row>
    <row r="1271" spans="1:12" ht="18" customHeight="1" x14ac:dyDescent="0.3">
      <c r="A1271" s="18" t="s">
        <v>2589</v>
      </c>
      <c r="B1271" s="5" t="s">
        <v>2590</v>
      </c>
      <c r="C1271" s="18" t="s">
        <v>91</v>
      </c>
      <c r="D1271" s="18" t="s">
        <v>78</v>
      </c>
      <c r="E1271" s="6">
        <v>12000000</v>
      </c>
      <c r="F1271" s="19">
        <v>0.63</v>
      </c>
      <c r="G1271" s="18">
        <v>64</v>
      </c>
      <c r="H1271" s="20">
        <v>4.7</v>
      </c>
      <c r="I1271" s="21" t="str">
        <f t="shared" si="76"/>
        <v>No cumple</v>
      </c>
      <c r="J1271" s="22" t="str">
        <f t="shared" si="77"/>
        <v>Sin bono</v>
      </c>
      <c r="K1271" s="23" t="str">
        <f t="shared" si="78"/>
        <v>OK</v>
      </c>
      <c r="L1271" s="24" t="str">
        <f t="shared" si="79"/>
        <v>Revisar</v>
      </c>
    </row>
    <row r="1272" spans="1:12" ht="18" customHeight="1" x14ac:dyDescent="0.3">
      <c r="A1272" s="25" t="s">
        <v>2591</v>
      </c>
      <c r="B1272" s="8" t="s">
        <v>2592</v>
      </c>
      <c r="C1272" s="25" t="s">
        <v>77</v>
      </c>
      <c r="D1272" s="25" t="s">
        <v>105</v>
      </c>
      <c r="E1272" s="9">
        <v>2900000</v>
      </c>
      <c r="F1272" s="26">
        <v>0.74</v>
      </c>
      <c r="G1272" s="25">
        <v>72</v>
      </c>
      <c r="H1272" s="27">
        <v>5</v>
      </c>
      <c r="I1272" s="21" t="str">
        <f t="shared" si="76"/>
        <v>No cumple</v>
      </c>
      <c r="J1272" s="22" t="str">
        <f t="shared" si="77"/>
        <v>Sin bono</v>
      </c>
      <c r="K1272" s="23" t="str">
        <f t="shared" si="78"/>
        <v>OK</v>
      </c>
      <c r="L1272" s="24" t="str">
        <f t="shared" si="79"/>
        <v>Revisar</v>
      </c>
    </row>
    <row r="1273" spans="1:12" ht="18" customHeight="1" x14ac:dyDescent="0.3">
      <c r="A1273" s="18" t="s">
        <v>2593</v>
      </c>
      <c r="B1273" s="5" t="s">
        <v>2594</v>
      </c>
      <c r="C1273" s="18" t="s">
        <v>71</v>
      </c>
      <c r="D1273" s="18" t="s">
        <v>88</v>
      </c>
      <c r="E1273" s="6">
        <v>6900000</v>
      </c>
      <c r="F1273" s="19">
        <v>0.48</v>
      </c>
      <c r="G1273" s="18">
        <v>96</v>
      </c>
      <c r="H1273" s="20">
        <v>2.2999999999999998</v>
      </c>
      <c r="I1273" s="21" t="str">
        <f t="shared" si="76"/>
        <v>No cumple</v>
      </c>
      <c r="J1273" s="22" t="str">
        <f t="shared" si="77"/>
        <v>Sin bono</v>
      </c>
      <c r="K1273" s="23" t="str">
        <f t="shared" si="78"/>
        <v>ALERTA</v>
      </c>
      <c r="L1273" s="24" t="str">
        <f t="shared" si="79"/>
        <v>Revisar</v>
      </c>
    </row>
    <row r="1274" spans="1:12" ht="18" customHeight="1" x14ac:dyDescent="0.3">
      <c r="A1274" s="25" t="s">
        <v>2595</v>
      </c>
      <c r="B1274" s="8" t="s">
        <v>2596</v>
      </c>
      <c r="C1274" s="25" t="s">
        <v>67</v>
      </c>
      <c r="D1274" s="25" t="s">
        <v>64</v>
      </c>
      <c r="E1274" s="9">
        <v>11600000</v>
      </c>
      <c r="F1274" s="26">
        <v>0.66</v>
      </c>
      <c r="G1274" s="25">
        <v>100</v>
      </c>
      <c r="H1274" s="27">
        <v>0.6</v>
      </c>
      <c r="I1274" s="21" t="str">
        <f t="shared" si="76"/>
        <v>No cumple</v>
      </c>
      <c r="J1274" s="22" t="str">
        <f t="shared" si="77"/>
        <v>Sin bono</v>
      </c>
      <c r="K1274" s="23" t="str">
        <f t="shared" si="78"/>
        <v>OK</v>
      </c>
      <c r="L1274" s="24" t="str">
        <f t="shared" si="79"/>
        <v>Revisar</v>
      </c>
    </row>
    <row r="1275" spans="1:12" ht="18" customHeight="1" x14ac:dyDescent="0.3">
      <c r="A1275" s="18" t="s">
        <v>2597</v>
      </c>
      <c r="B1275" s="5" t="s">
        <v>2598</v>
      </c>
      <c r="C1275" s="18" t="s">
        <v>63</v>
      </c>
      <c r="D1275" s="18" t="s">
        <v>68</v>
      </c>
      <c r="E1275" s="6">
        <v>8400000</v>
      </c>
      <c r="F1275" s="19">
        <v>0.85</v>
      </c>
      <c r="G1275" s="18">
        <v>97</v>
      </c>
      <c r="H1275" s="20">
        <v>8.1999999999999993</v>
      </c>
      <c r="I1275" s="21" t="str">
        <f t="shared" si="76"/>
        <v>Cumple</v>
      </c>
      <c r="J1275" s="22" t="str">
        <f t="shared" si="77"/>
        <v>BONO</v>
      </c>
      <c r="K1275" s="23" t="str">
        <f t="shared" si="78"/>
        <v>OK</v>
      </c>
      <c r="L1275" s="24" t="str">
        <f t="shared" si="79"/>
        <v>Bueno</v>
      </c>
    </row>
    <row r="1276" spans="1:12" ht="18" customHeight="1" x14ac:dyDescent="0.3">
      <c r="A1276" s="25" t="s">
        <v>2599</v>
      </c>
      <c r="B1276" s="8" t="s">
        <v>2600</v>
      </c>
      <c r="C1276" s="25" t="s">
        <v>77</v>
      </c>
      <c r="D1276" s="25" t="s">
        <v>105</v>
      </c>
      <c r="E1276" s="9">
        <v>9500000</v>
      </c>
      <c r="F1276" s="26">
        <v>0.74</v>
      </c>
      <c r="G1276" s="25">
        <v>51</v>
      </c>
      <c r="H1276" s="27">
        <v>1.4</v>
      </c>
      <c r="I1276" s="21" t="str">
        <f t="shared" si="76"/>
        <v>No cumple</v>
      </c>
      <c r="J1276" s="22" t="str">
        <f t="shared" si="77"/>
        <v>Sin bono</v>
      </c>
      <c r="K1276" s="23" t="str">
        <f t="shared" si="78"/>
        <v>OK</v>
      </c>
      <c r="L1276" s="24" t="str">
        <f t="shared" si="79"/>
        <v>Revisar</v>
      </c>
    </row>
    <row r="1277" spans="1:12" ht="18" customHeight="1" x14ac:dyDescent="0.3">
      <c r="A1277" s="18" t="s">
        <v>2601</v>
      </c>
      <c r="B1277" s="5" t="s">
        <v>2602</v>
      </c>
      <c r="C1277" s="18" t="s">
        <v>71</v>
      </c>
      <c r="D1277" s="18" t="s">
        <v>64</v>
      </c>
      <c r="E1277" s="6">
        <v>7900000</v>
      </c>
      <c r="F1277" s="19">
        <v>0.59</v>
      </c>
      <c r="G1277" s="18">
        <v>42</v>
      </c>
      <c r="H1277" s="20">
        <v>12.1</v>
      </c>
      <c r="I1277" s="21" t="str">
        <f t="shared" si="76"/>
        <v>No cumple</v>
      </c>
      <c r="J1277" s="22" t="str">
        <f t="shared" si="77"/>
        <v>Sin bono</v>
      </c>
      <c r="K1277" s="23" t="str">
        <f t="shared" si="78"/>
        <v>ALERTA</v>
      </c>
      <c r="L1277" s="24" t="str">
        <f t="shared" si="79"/>
        <v>Revisar</v>
      </c>
    </row>
    <row r="1278" spans="1:12" ht="18" customHeight="1" x14ac:dyDescent="0.3">
      <c r="A1278" s="25" t="s">
        <v>2603</v>
      </c>
      <c r="B1278" s="8" t="s">
        <v>2604</v>
      </c>
      <c r="C1278" s="25" t="s">
        <v>63</v>
      </c>
      <c r="D1278" s="25" t="s">
        <v>78</v>
      </c>
      <c r="E1278" s="9">
        <v>5700000</v>
      </c>
      <c r="F1278" s="26">
        <v>0.47</v>
      </c>
      <c r="G1278" s="25">
        <v>96</v>
      </c>
      <c r="H1278" s="27">
        <v>4.8</v>
      </c>
      <c r="I1278" s="21" t="str">
        <f t="shared" si="76"/>
        <v>No cumple</v>
      </c>
      <c r="J1278" s="22" t="str">
        <f t="shared" si="77"/>
        <v>Sin bono</v>
      </c>
      <c r="K1278" s="23" t="str">
        <f t="shared" si="78"/>
        <v>ALERTA</v>
      </c>
      <c r="L1278" s="24" t="str">
        <f t="shared" si="79"/>
        <v>Revisar</v>
      </c>
    </row>
    <row r="1279" spans="1:12" ht="18" customHeight="1" x14ac:dyDescent="0.3">
      <c r="A1279" s="18" t="s">
        <v>2605</v>
      </c>
      <c r="B1279" s="5" t="s">
        <v>2606</v>
      </c>
      <c r="C1279" s="18" t="s">
        <v>81</v>
      </c>
      <c r="D1279" s="18" t="s">
        <v>88</v>
      </c>
      <c r="E1279" s="6">
        <v>10800000</v>
      </c>
      <c r="F1279" s="19">
        <v>0.51</v>
      </c>
      <c r="G1279" s="18">
        <v>44</v>
      </c>
      <c r="H1279" s="20">
        <v>14.9</v>
      </c>
      <c r="I1279" s="21" t="str">
        <f t="shared" si="76"/>
        <v>No cumple</v>
      </c>
      <c r="J1279" s="22" t="str">
        <f t="shared" si="77"/>
        <v>Sin bono</v>
      </c>
      <c r="K1279" s="23" t="str">
        <f t="shared" si="78"/>
        <v>ALERTA</v>
      </c>
      <c r="L1279" s="24" t="str">
        <f t="shared" si="79"/>
        <v>Revisar</v>
      </c>
    </row>
    <row r="1280" spans="1:12" ht="18" customHeight="1" x14ac:dyDescent="0.3">
      <c r="A1280" s="25" t="s">
        <v>2607</v>
      </c>
      <c r="B1280" s="8" t="s">
        <v>2608</v>
      </c>
      <c r="C1280" s="25" t="s">
        <v>63</v>
      </c>
      <c r="D1280" s="25" t="s">
        <v>105</v>
      </c>
      <c r="E1280" s="9">
        <v>7400000</v>
      </c>
      <c r="F1280" s="26">
        <v>0.94</v>
      </c>
      <c r="G1280" s="25">
        <v>90</v>
      </c>
      <c r="H1280" s="27">
        <v>19</v>
      </c>
      <c r="I1280" s="21" t="str">
        <f t="shared" si="76"/>
        <v>Cumple</v>
      </c>
      <c r="J1280" s="22" t="str">
        <f t="shared" si="77"/>
        <v>BONO</v>
      </c>
      <c r="K1280" s="23" t="str">
        <f t="shared" si="78"/>
        <v>OK</v>
      </c>
      <c r="L1280" s="24" t="str">
        <f t="shared" si="79"/>
        <v>Excelente</v>
      </c>
    </row>
    <row r="1281" spans="1:12" ht="18" customHeight="1" x14ac:dyDescent="0.3">
      <c r="A1281" s="18" t="s">
        <v>2609</v>
      </c>
      <c r="B1281" s="5" t="s">
        <v>2610</v>
      </c>
      <c r="C1281" s="18" t="s">
        <v>63</v>
      </c>
      <c r="D1281" s="18" t="s">
        <v>60</v>
      </c>
      <c r="E1281" s="6">
        <v>6000000</v>
      </c>
      <c r="F1281" s="19">
        <v>0.97</v>
      </c>
      <c r="G1281" s="18">
        <v>52</v>
      </c>
      <c r="H1281" s="20">
        <v>9.8000000000000007</v>
      </c>
      <c r="I1281" s="21" t="str">
        <f t="shared" si="76"/>
        <v>Cumple</v>
      </c>
      <c r="J1281" s="22" t="str">
        <f t="shared" si="77"/>
        <v>Sin bono</v>
      </c>
      <c r="K1281" s="23" t="str">
        <f t="shared" si="78"/>
        <v>OK</v>
      </c>
      <c r="L1281" s="24" t="str">
        <f t="shared" si="79"/>
        <v>Revisar</v>
      </c>
    </row>
    <row r="1282" spans="1:12" ht="18" customHeight="1" x14ac:dyDescent="0.3">
      <c r="A1282" s="25" t="s">
        <v>2611</v>
      </c>
      <c r="B1282" s="8" t="s">
        <v>2612</v>
      </c>
      <c r="C1282" s="25" t="s">
        <v>71</v>
      </c>
      <c r="D1282" s="25" t="s">
        <v>60</v>
      </c>
      <c r="E1282" s="9">
        <v>11300000</v>
      </c>
      <c r="F1282" s="26">
        <v>0.59</v>
      </c>
      <c r="G1282" s="25">
        <v>43</v>
      </c>
      <c r="H1282" s="27">
        <v>0.2</v>
      </c>
      <c r="I1282" s="21" t="str">
        <f t="shared" si="76"/>
        <v>No cumple</v>
      </c>
      <c r="J1282" s="22" t="str">
        <f t="shared" si="77"/>
        <v>Sin bono</v>
      </c>
      <c r="K1282" s="23" t="str">
        <f t="shared" si="78"/>
        <v>ALERTA</v>
      </c>
      <c r="L1282" s="24" t="str">
        <f t="shared" si="79"/>
        <v>Revisar</v>
      </c>
    </row>
    <row r="1283" spans="1:12" ht="18" customHeight="1" x14ac:dyDescent="0.3">
      <c r="A1283" s="18" t="s">
        <v>2613</v>
      </c>
      <c r="B1283" s="5" t="s">
        <v>2614</v>
      </c>
      <c r="C1283" s="18" t="s">
        <v>91</v>
      </c>
      <c r="D1283" s="18" t="s">
        <v>105</v>
      </c>
      <c r="E1283" s="6">
        <v>4800000</v>
      </c>
      <c r="F1283" s="19">
        <v>0.66</v>
      </c>
      <c r="G1283" s="18">
        <v>50</v>
      </c>
      <c r="H1283" s="20">
        <v>14.3</v>
      </c>
      <c r="I1283" s="21" t="str">
        <f t="shared" si="76"/>
        <v>No cumple</v>
      </c>
      <c r="J1283" s="22" t="str">
        <f t="shared" si="77"/>
        <v>Sin bono</v>
      </c>
      <c r="K1283" s="23" t="str">
        <f t="shared" si="78"/>
        <v>OK</v>
      </c>
      <c r="L1283" s="24" t="str">
        <f t="shared" si="79"/>
        <v>Revisar</v>
      </c>
    </row>
    <row r="1284" spans="1:12" ht="18" customHeight="1" x14ac:dyDescent="0.3">
      <c r="A1284" s="25" t="s">
        <v>2615</v>
      </c>
      <c r="B1284" s="8" t="s">
        <v>2616</v>
      </c>
      <c r="C1284" s="25" t="s">
        <v>63</v>
      </c>
      <c r="D1284" s="25" t="s">
        <v>105</v>
      </c>
      <c r="E1284" s="9">
        <v>8100000</v>
      </c>
      <c r="F1284" s="26">
        <v>0.81</v>
      </c>
      <c r="G1284" s="25">
        <v>76</v>
      </c>
      <c r="H1284" s="27">
        <v>7.1</v>
      </c>
      <c r="I1284" s="21" t="str">
        <f t="shared" si="76"/>
        <v>Cumple</v>
      </c>
      <c r="J1284" s="22" t="str">
        <f t="shared" si="77"/>
        <v>BONO</v>
      </c>
      <c r="K1284" s="23" t="str">
        <f t="shared" si="78"/>
        <v>OK</v>
      </c>
      <c r="L1284" s="24" t="str">
        <f t="shared" si="79"/>
        <v>Bueno</v>
      </c>
    </row>
    <row r="1285" spans="1:12" ht="18" customHeight="1" x14ac:dyDescent="0.3">
      <c r="A1285" s="18" t="s">
        <v>2617</v>
      </c>
      <c r="B1285" s="5" t="s">
        <v>2618</v>
      </c>
      <c r="C1285" s="18" t="s">
        <v>59</v>
      </c>
      <c r="D1285" s="18" t="s">
        <v>64</v>
      </c>
      <c r="E1285" s="6">
        <v>5300000</v>
      </c>
      <c r="F1285" s="19">
        <v>0.65</v>
      </c>
      <c r="G1285" s="18">
        <v>61</v>
      </c>
      <c r="H1285" s="20">
        <v>17.5</v>
      </c>
      <c r="I1285" s="21" t="str">
        <f t="shared" si="76"/>
        <v>No cumple</v>
      </c>
      <c r="J1285" s="22" t="str">
        <f t="shared" si="77"/>
        <v>Sin bono</v>
      </c>
      <c r="K1285" s="23" t="str">
        <f t="shared" si="78"/>
        <v>OK</v>
      </c>
      <c r="L1285" s="24" t="str">
        <f t="shared" si="79"/>
        <v>Revisar</v>
      </c>
    </row>
    <row r="1286" spans="1:12" ht="18" customHeight="1" x14ac:dyDescent="0.3">
      <c r="A1286" s="25" t="s">
        <v>2619</v>
      </c>
      <c r="B1286" s="8" t="s">
        <v>2620</v>
      </c>
      <c r="C1286" s="25" t="s">
        <v>63</v>
      </c>
      <c r="D1286" s="25" t="s">
        <v>64</v>
      </c>
      <c r="E1286" s="9">
        <v>11500000</v>
      </c>
      <c r="F1286" s="26">
        <v>0.67</v>
      </c>
      <c r="G1286" s="25">
        <v>84</v>
      </c>
      <c r="H1286" s="27">
        <v>11.7</v>
      </c>
      <c r="I1286" s="21" t="str">
        <f t="shared" si="76"/>
        <v>No cumple</v>
      </c>
      <c r="J1286" s="22" t="str">
        <f t="shared" si="77"/>
        <v>Sin bono</v>
      </c>
      <c r="K1286" s="23" t="str">
        <f t="shared" si="78"/>
        <v>OK</v>
      </c>
      <c r="L1286" s="24" t="str">
        <f t="shared" si="79"/>
        <v>Revisar</v>
      </c>
    </row>
    <row r="1287" spans="1:12" ht="18" customHeight="1" x14ac:dyDescent="0.3">
      <c r="A1287" s="18" t="s">
        <v>2621</v>
      </c>
      <c r="B1287" s="5" t="s">
        <v>2622</v>
      </c>
      <c r="C1287" s="18" t="s">
        <v>71</v>
      </c>
      <c r="D1287" s="18" t="s">
        <v>88</v>
      </c>
      <c r="E1287" s="6">
        <v>4200000</v>
      </c>
      <c r="F1287" s="19">
        <v>0.76</v>
      </c>
      <c r="G1287" s="18">
        <v>94</v>
      </c>
      <c r="H1287" s="20">
        <v>16.7</v>
      </c>
      <c r="I1287" s="21" t="str">
        <f t="shared" si="76"/>
        <v>No cumple</v>
      </c>
      <c r="J1287" s="22" t="str">
        <f t="shared" si="77"/>
        <v>Sin bono</v>
      </c>
      <c r="K1287" s="23" t="str">
        <f t="shared" si="78"/>
        <v>OK</v>
      </c>
      <c r="L1287" s="24" t="str">
        <f t="shared" si="79"/>
        <v>Revisar</v>
      </c>
    </row>
    <row r="1288" spans="1:12" ht="18" customHeight="1" x14ac:dyDescent="0.3">
      <c r="A1288" s="25" t="s">
        <v>2623</v>
      </c>
      <c r="B1288" s="8" t="s">
        <v>2624</v>
      </c>
      <c r="C1288" s="25" t="s">
        <v>71</v>
      </c>
      <c r="D1288" s="25" t="s">
        <v>88</v>
      </c>
      <c r="E1288" s="9">
        <v>4800000</v>
      </c>
      <c r="F1288" s="26">
        <v>0.95</v>
      </c>
      <c r="G1288" s="25">
        <v>40</v>
      </c>
      <c r="H1288" s="27">
        <v>16.899999999999999</v>
      </c>
      <c r="I1288" s="21" t="str">
        <f t="shared" si="76"/>
        <v>Cumple</v>
      </c>
      <c r="J1288" s="22" t="str">
        <f t="shared" si="77"/>
        <v>Sin bono</v>
      </c>
      <c r="K1288" s="23" t="str">
        <f t="shared" si="78"/>
        <v>ALERTA</v>
      </c>
      <c r="L1288" s="24" t="str">
        <f t="shared" si="79"/>
        <v>Revisar</v>
      </c>
    </row>
    <row r="1289" spans="1:12" ht="18" customHeight="1" x14ac:dyDescent="0.3">
      <c r="A1289" s="18" t="s">
        <v>2625</v>
      </c>
      <c r="B1289" s="5" t="s">
        <v>2626</v>
      </c>
      <c r="C1289" s="18" t="s">
        <v>71</v>
      </c>
      <c r="D1289" s="18" t="s">
        <v>92</v>
      </c>
      <c r="E1289" s="6">
        <v>7800000</v>
      </c>
      <c r="F1289" s="19">
        <v>0.73</v>
      </c>
      <c r="G1289" s="18">
        <v>65</v>
      </c>
      <c r="H1289" s="20">
        <v>5.8</v>
      </c>
      <c r="I1289" s="21" t="str">
        <f t="shared" si="76"/>
        <v>No cumple</v>
      </c>
      <c r="J1289" s="22" t="str">
        <f t="shared" si="77"/>
        <v>Sin bono</v>
      </c>
      <c r="K1289" s="23" t="str">
        <f t="shared" si="78"/>
        <v>OK</v>
      </c>
      <c r="L1289" s="24" t="str">
        <f t="shared" si="79"/>
        <v>Revisar</v>
      </c>
    </row>
    <row r="1290" spans="1:12" ht="18" customHeight="1" x14ac:dyDescent="0.3">
      <c r="A1290" s="25" t="s">
        <v>2627</v>
      </c>
      <c r="B1290" s="8" t="s">
        <v>2628</v>
      </c>
      <c r="C1290" s="25" t="s">
        <v>59</v>
      </c>
      <c r="D1290" s="25" t="s">
        <v>114</v>
      </c>
      <c r="E1290" s="9">
        <v>11900000</v>
      </c>
      <c r="F1290" s="26">
        <v>0.77</v>
      </c>
      <c r="G1290" s="25">
        <v>36</v>
      </c>
      <c r="H1290" s="27">
        <v>6</v>
      </c>
      <c r="I1290" s="21" t="str">
        <f t="shared" si="76"/>
        <v>No cumple</v>
      </c>
      <c r="J1290" s="22" t="str">
        <f t="shared" si="77"/>
        <v>Sin bono</v>
      </c>
      <c r="K1290" s="23" t="str">
        <f t="shared" si="78"/>
        <v>ALERTA</v>
      </c>
      <c r="L1290" s="24" t="str">
        <f t="shared" si="79"/>
        <v>Revisar</v>
      </c>
    </row>
    <row r="1291" spans="1:12" ht="18" customHeight="1" x14ac:dyDescent="0.3">
      <c r="A1291" s="18" t="s">
        <v>2629</v>
      </c>
      <c r="B1291" s="5" t="s">
        <v>2630</v>
      </c>
      <c r="C1291" s="18" t="s">
        <v>77</v>
      </c>
      <c r="D1291" s="18" t="s">
        <v>114</v>
      </c>
      <c r="E1291" s="6">
        <v>4700000</v>
      </c>
      <c r="F1291" s="19">
        <v>0.54</v>
      </c>
      <c r="G1291" s="18">
        <v>84</v>
      </c>
      <c r="H1291" s="20">
        <v>6.1</v>
      </c>
      <c r="I1291" s="21" t="str">
        <f t="shared" si="76"/>
        <v>No cumple</v>
      </c>
      <c r="J1291" s="22" t="str">
        <f t="shared" si="77"/>
        <v>Sin bono</v>
      </c>
      <c r="K1291" s="23" t="str">
        <f t="shared" si="78"/>
        <v>ALERTA</v>
      </c>
      <c r="L1291" s="24" t="str">
        <f t="shared" si="79"/>
        <v>Revisar</v>
      </c>
    </row>
    <row r="1292" spans="1:12" ht="18" customHeight="1" x14ac:dyDescent="0.3">
      <c r="A1292" s="25" t="s">
        <v>2631</v>
      </c>
      <c r="B1292" s="8" t="s">
        <v>2632</v>
      </c>
      <c r="C1292" s="25" t="s">
        <v>67</v>
      </c>
      <c r="D1292" s="25" t="s">
        <v>105</v>
      </c>
      <c r="E1292" s="9">
        <v>4700000</v>
      </c>
      <c r="F1292" s="26">
        <v>0.77</v>
      </c>
      <c r="G1292" s="25">
        <v>83</v>
      </c>
      <c r="H1292" s="27">
        <v>2.1</v>
      </c>
      <c r="I1292" s="21" t="str">
        <f t="shared" si="76"/>
        <v>No cumple</v>
      </c>
      <c r="J1292" s="22" t="str">
        <f t="shared" si="77"/>
        <v>Sin bono</v>
      </c>
      <c r="K1292" s="23" t="str">
        <f t="shared" si="78"/>
        <v>OK</v>
      </c>
      <c r="L1292" s="24" t="str">
        <f t="shared" si="79"/>
        <v>Revisar</v>
      </c>
    </row>
    <row r="1293" spans="1:12" ht="18" customHeight="1" x14ac:dyDescent="0.3">
      <c r="A1293" s="18" t="s">
        <v>2633</v>
      </c>
      <c r="B1293" s="5" t="s">
        <v>2634</v>
      </c>
      <c r="C1293" s="18" t="s">
        <v>63</v>
      </c>
      <c r="D1293" s="18" t="s">
        <v>78</v>
      </c>
      <c r="E1293" s="6">
        <v>10400000</v>
      </c>
      <c r="F1293" s="19">
        <v>0.85</v>
      </c>
      <c r="G1293" s="18">
        <v>31</v>
      </c>
      <c r="H1293" s="20">
        <v>9.6</v>
      </c>
      <c r="I1293" s="21" t="str">
        <f t="shared" ref="I1293:I1356" si="80">IF(F1293&gt;=0.8,"Cumple","No cumple")</f>
        <v>Cumple</v>
      </c>
      <c r="J1293" s="22" t="str">
        <f t="shared" ref="J1293:J1356" si="81">IF(AND(F1293&gt;=0.8,G1293&gt;=70),"BONO","Sin bono")</f>
        <v>Sin bono</v>
      </c>
      <c r="K1293" s="23" t="str">
        <f t="shared" ref="K1293:K1356" si="82">IF(OR(F1293&lt;0.6,G1293&lt;50),"ALERTA","OK")</f>
        <v>ALERTA</v>
      </c>
      <c r="L1293" s="24" t="str">
        <f t="shared" ref="L1293:L1356" si="83">IF(AND(F1293&gt;=0.9,G1293&gt;=85),"Excelente",IF(AND(F1293&gt;=0.8,G1293&gt;=70),"Bueno","Revisar"))</f>
        <v>Revisar</v>
      </c>
    </row>
    <row r="1294" spans="1:12" ht="18" customHeight="1" x14ac:dyDescent="0.3">
      <c r="A1294" s="25" t="s">
        <v>2635</v>
      </c>
      <c r="B1294" s="8" t="s">
        <v>2636</v>
      </c>
      <c r="C1294" s="25" t="s">
        <v>91</v>
      </c>
      <c r="D1294" s="25" t="s">
        <v>92</v>
      </c>
      <c r="E1294" s="9">
        <v>3300000</v>
      </c>
      <c r="F1294" s="26">
        <v>0.68</v>
      </c>
      <c r="G1294" s="25">
        <v>31</v>
      </c>
      <c r="H1294" s="27">
        <v>3.8</v>
      </c>
      <c r="I1294" s="21" t="str">
        <f t="shared" si="80"/>
        <v>No cumple</v>
      </c>
      <c r="J1294" s="22" t="str">
        <f t="shared" si="81"/>
        <v>Sin bono</v>
      </c>
      <c r="K1294" s="23" t="str">
        <f t="shared" si="82"/>
        <v>ALERTA</v>
      </c>
      <c r="L1294" s="24" t="str">
        <f t="shared" si="83"/>
        <v>Revisar</v>
      </c>
    </row>
    <row r="1295" spans="1:12" ht="18" customHeight="1" x14ac:dyDescent="0.3">
      <c r="A1295" s="18" t="s">
        <v>2637</v>
      </c>
      <c r="B1295" s="5" t="s">
        <v>2638</v>
      </c>
      <c r="C1295" s="18" t="s">
        <v>63</v>
      </c>
      <c r="D1295" s="18" t="s">
        <v>78</v>
      </c>
      <c r="E1295" s="6">
        <v>9200000</v>
      </c>
      <c r="F1295" s="19">
        <v>0.69</v>
      </c>
      <c r="G1295" s="18">
        <v>96</v>
      </c>
      <c r="H1295" s="20">
        <v>14.8</v>
      </c>
      <c r="I1295" s="21" t="str">
        <f t="shared" si="80"/>
        <v>No cumple</v>
      </c>
      <c r="J1295" s="22" t="str">
        <f t="shared" si="81"/>
        <v>Sin bono</v>
      </c>
      <c r="K1295" s="23" t="str">
        <f t="shared" si="82"/>
        <v>OK</v>
      </c>
      <c r="L1295" s="24" t="str">
        <f t="shared" si="83"/>
        <v>Revisar</v>
      </c>
    </row>
    <row r="1296" spans="1:12" ht="18" customHeight="1" x14ac:dyDescent="0.3">
      <c r="A1296" s="25" t="s">
        <v>2639</v>
      </c>
      <c r="B1296" s="8" t="s">
        <v>2640</v>
      </c>
      <c r="C1296" s="25" t="s">
        <v>81</v>
      </c>
      <c r="D1296" s="25" t="s">
        <v>78</v>
      </c>
      <c r="E1296" s="9">
        <v>7600000</v>
      </c>
      <c r="F1296" s="26">
        <v>0.75</v>
      </c>
      <c r="G1296" s="25">
        <v>47</v>
      </c>
      <c r="H1296" s="27">
        <v>0.1</v>
      </c>
      <c r="I1296" s="21" t="str">
        <f t="shared" si="80"/>
        <v>No cumple</v>
      </c>
      <c r="J1296" s="22" t="str">
        <f t="shared" si="81"/>
        <v>Sin bono</v>
      </c>
      <c r="K1296" s="23" t="str">
        <f t="shared" si="82"/>
        <v>ALERTA</v>
      </c>
      <c r="L1296" s="24" t="str">
        <f t="shared" si="83"/>
        <v>Revisar</v>
      </c>
    </row>
    <row r="1297" spans="1:12" ht="18" customHeight="1" x14ac:dyDescent="0.3">
      <c r="A1297" s="18" t="s">
        <v>2641</v>
      </c>
      <c r="B1297" s="5" t="s">
        <v>2642</v>
      </c>
      <c r="C1297" s="18" t="s">
        <v>81</v>
      </c>
      <c r="D1297" s="18" t="s">
        <v>105</v>
      </c>
      <c r="E1297" s="6">
        <v>9600000</v>
      </c>
      <c r="F1297" s="19">
        <v>1</v>
      </c>
      <c r="G1297" s="18">
        <v>85</v>
      </c>
      <c r="H1297" s="20">
        <v>1.6</v>
      </c>
      <c r="I1297" s="21" t="str">
        <f t="shared" si="80"/>
        <v>Cumple</v>
      </c>
      <c r="J1297" s="22" t="str">
        <f t="shared" si="81"/>
        <v>BONO</v>
      </c>
      <c r="K1297" s="23" t="str">
        <f t="shared" si="82"/>
        <v>OK</v>
      </c>
      <c r="L1297" s="24" t="str">
        <f t="shared" si="83"/>
        <v>Excelente</v>
      </c>
    </row>
    <row r="1298" spans="1:12" ht="18" customHeight="1" x14ac:dyDescent="0.3">
      <c r="A1298" s="25" t="s">
        <v>2643</v>
      </c>
      <c r="B1298" s="8" t="s">
        <v>2644</v>
      </c>
      <c r="C1298" s="25" t="s">
        <v>71</v>
      </c>
      <c r="D1298" s="25" t="s">
        <v>68</v>
      </c>
      <c r="E1298" s="9">
        <v>8600000</v>
      </c>
      <c r="F1298" s="26">
        <v>0.55000000000000004</v>
      </c>
      <c r="G1298" s="25">
        <v>31</v>
      </c>
      <c r="H1298" s="27">
        <v>10.1</v>
      </c>
      <c r="I1298" s="21" t="str">
        <f t="shared" si="80"/>
        <v>No cumple</v>
      </c>
      <c r="J1298" s="22" t="str">
        <f t="shared" si="81"/>
        <v>Sin bono</v>
      </c>
      <c r="K1298" s="23" t="str">
        <f t="shared" si="82"/>
        <v>ALERTA</v>
      </c>
      <c r="L1298" s="24" t="str">
        <f t="shared" si="83"/>
        <v>Revisar</v>
      </c>
    </row>
    <row r="1299" spans="1:12" ht="18" customHeight="1" x14ac:dyDescent="0.3">
      <c r="A1299" s="18" t="s">
        <v>2645</v>
      </c>
      <c r="B1299" s="5" t="s">
        <v>2646</v>
      </c>
      <c r="C1299" s="18" t="s">
        <v>74</v>
      </c>
      <c r="D1299" s="18" t="s">
        <v>105</v>
      </c>
      <c r="E1299" s="6">
        <v>4100000</v>
      </c>
      <c r="F1299" s="19">
        <v>0.88</v>
      </c>
      <c r="G1299" s="18">
        <v>36</v>
      </c>
      <c r="H1299" s="20">
        <v>17.899999999999999</v>
      </c>
      <c r="I1299" s="21" t="str">
        <f t="shared" si="80"/>
        <v>Cumple</v>
      </c>
      <c r="J1299" s="22" t="str">
        <f t="shared" si="81"/>
        <v>Sin bono</v>
      </c>
      <c r="K1299" s="23" t="str">
        <f t="shared" si="82"/>
        <v>ALERTA</v>
      </c>
      <c r="L1299" s="24" t="str">
        <f t="shared" si="83"/>
        <v>Revisar</v>
      </c>
    </row>
    <row r="1300" spans="1:12" ht="18" customHeight="1" x14ac:dyDescent="0.3">
      <c r="A1300" s="25" t="s">
        <v>2647</v>
      </c>
      <c r="B1300" s="8" t="s">
        <v>2648</v>
      </c>
      <c r="C1300" s="25" t="s">
        <v>81</v>
      </c>
      <c r="D1300" s="25" t="s">
        <v>60</v>
      </c>
      <c r="E1300" s="9">
        <v>11500000</v>
      </c>
      <c r="F1300" s="26">
        <v>0.51</v>
      </c>
      <c r="G1300" s="25">
        <v>95</v>
      </c>
      <c r="H1300" s="27">
        <v>5.2</v>
      </c>
      <c r="I1300" s="21" t="str">
        <f t="shared" si="80"/>
        <v>No cumple</v>
      </c>
      <c r="J1300" s="22" t="str">
        <f t="shared" si="81"/>
        <v>Sin bono</v>
      </c>
      <c r="K1300" s="23" t="str">
        <f t="shared" si="82"/>
        <v>ALERTA</v>
      </c>
      <c r="L1300" s="24" t="str">
        <f t="shared" si="83"/>
        <v>Revisar</v>
      </c>
    </row>
    <row r="1301" spans="1:12" ht="18" customHeight="1" x14ac:dyDescent="0.3">
      <c r="A1301" s="18" t="s">
        <v>2649</v>
      </c>
      <c r="B1301" s="5" t="s">
        <v>2650</v>
      </c>
      <c r="C1301" s="18" t="s">
        <v>81</v>
      </c>
      <c r="D1301" s="18" t="s">
        <v>64</v>
      </c>
      <c r="E1301" s="6">
        <v>4700000</v>
      </c>
      <c r="F1301" s="19">
        <v>0.66</v>
      </c>
      <c r="G1301" s="18">
        <v>66</v>
      </c>
      <c r="H1301" s="20">
        <v>16</v>
      </c>
      <c r="I1301" s="21" t="str">
        <f t="shared" si="80"/>
        <v>No cumple</v>
      </c>
      <c r="J1301" s="22" t="str">
        <f t="shared" si="81"/>
        <v>Sin bono</v>
      </c>
      <c r="K1301" s="23" t="str">
        <f t="shared" si="82"/>
        <v>OK</v>
      </c>
      <c r="L1301" s="24" t="str">
        <f t="shared" si="83"/>
        <v>Revisar</v>
      </c>
    </row>
    <row r="1302" spans="1:12" ht="18" customHeight="1" x14ac:dyDescent="0.3">
      <c r="A1302" s="25" t="s">
        <v>2651</v>
      </c>
      <c r="B1302" s="8" t="s">
        <v>2652</v>
      </c>
      <c r="C1302" s="25" t="s">
        <v>74</v>
      </c>
      <c r="D1302" s="25" t="s">
        <v>92</v>
      </c>
      <c r="E1302" s="9">
        <v>8700000</v>
      </c>
      <c r="F1302" s="26">
        <v>0.91</v>
      </c>
      <c r="G1302" s="25">
        <v>58</v>
      </c>
      <c r="H1302" s="27">
        <v>4.7</v>
      </c>
      <c r="I1302" s="21" t="str">
        <f t="shared" si="80"/>
        <v>Cumple</v>
      </c>
      <c r="J1302" s="22" t="str">
        <f t="shared" si="81"/>
        <v>Sin bono</v>
      </c>
      <c r="K1302" s="23" t="str">
        <f t="shared" si="82"/>
        <v>OK</v>
      </c>
      <c r="L1302" s="24" t="str">
        <f t="shared" si="83"/>
        <v>Revisar</v>
      </c>
    </row>
    <row r="1303" spans="1:12" ht="18" customHeight="1" x14ac:dyDescent="0.3">
      <c r="A1303" s="18" t="s">
        <v>2653</v>
      </c>
      <c r="B1303" s="5" t="s">
        <v>2654</v>
      </c>
      <c r="C1303" s="18" t="s">
        <v>91</v>
      </c>
      <c r="D1303" s="18" t="s">
        <v>92</v>
      </c>
      <c r="E1303" s="6">
        <v>7900000</v>
      </c>
      <c r="F1303" s="19">
        <v>0.75</v>
      </c>
      <c r="G1303" s="18">
        <v>74</v>
      </c>
      <c r="H1303" s="20">
        <v>12.7</v>
      </c>
      <c r="I1303" s="21" t="str">
        <f t="shared" si="80"/>
        <v>No cumple</v>
      </c>
      <c r="J1303" s="22" t="str">
        <f t="shared" si="81"/>
        <v>Sin bono</v>
      </c>
      <c r="K1303" s="23" t="str">
        <f t="shared" si="82"/>
        <v>OK</v>
      </c>
      <c r="L1303" s="24" t="str">
        <f t="shared" si="83"/>
        <v>Revisar</v>
      </c>
    </row>
    <row r="1304" spans="1:12" ht="18" customHeight="1" x14ac:dyDescent="0.3">
      <c r="A1304" s="25" t="s">
        <v>2655</v>
      </c>
      <c r="B1304" s="8" t="s">
        <v>2656</v>
      </c>
      <c r="C1304" s="25" t="s">
        <v>59</v>
      </c>
      <c r="D1304" s="25" t="s">
        <v>92</v>
      </c>
      <c r="E1304" s="9">
        <v>4600000</v>
      </c>
      <c r="F1304" s="26">
        <v>0.87</v>
      </c>
      <c r="G1304" s="25">
        <v>39</v>
      </c>
      <c r="H1304" s="27">
        <v>0.1</v>
      </c>
      <c r="I1304" s="21" t="str">
        <f t="shared" si="80"/>
        <v>Cumple</v>
      </c>
      <c r="J1304" s="22" t="str">
        <f t="shared" si="81"/>
        <v>Sin bono</v>
      </c>
      <c r="K1304" s="23" t="str">
        <f t="shared" si="82"/>
        <v>ALERTA</v>
      </c>
      <c r="L1304" s="24" t="str">
        <f t="shared" si="83"/>
        <v>Revisar</v>
      </c>
    </row>
    <row r="1305" spans="1:12" ht="18" customHeight="1" x14ac:dyDescent="0.3">
      <c r="A1305" s="18" t="s">
        <v>2657</v>
      </c>
      <c r="B1305" s="5" t="s">
        <v>2658</v>
      </c>
      <c r="C1305" s="18" t="s">
        <v>71</v>
      </c>
      <c r="D1305" s="18" t="s">
        <v>64</v>
      </c>
      <c r="E1305" s="6">
        <v>8400000</v>
      </c>
      <c r="F1305" s="19">
        <v>0.87</v>
      </c>
      <c r="G1305" s="18">
        <v>62</v>
      </c>
      <c r="H1305" s="20">
        <v>14.6</v>
      </c>
      <c r="I1305" s="21" t="str">
        <f t="shared" si="80"/>
        <v>Cumple</v>
      </c>
      <c r="J1305" s="22" t="str">
        <f t="shared" si="81"/>
        <v>Sin bono</v>
      </c>
      <c r="K1305" s="23" t="str">
        <f t="shared" si="82"/>
        <v>OK</v>
      </c>
      <c r="L1305" s="24" t="str">
        <f t="shared" si="83"/>
        <v>Revisar</v>
      </c>
    </row>
    <row r="1306" spans="1:12" ht="18" customHeight="1" x14ac:dyDescent="0.3">
      <c r="A1306" s="25" t="s">
        <v>2659</v>
      </c>
      <c r="B1306" s="8" t="s">
        <v>2660</v>
      </c>
      <c r="C1306" s="25" t="s">
        <v>59</v>
      </c>
      <c r="D1306" s="25" t="s">
        <v>68</v>
      </c>
      <c r="E1306" s="9">
        <v>4300000</v>
      </c>
      <c r="F1306" s="26">
        <v>0.6</v>
      </c>
      <c r="G1306" s="25">
        <v>65</v>
      </c>
      <c r="H1306" s="27">
        <v>10.3</v>
      </c>
      <c r="I1306" s="21" t="str">
        <f t="shared" si="80"/>
        <v>No cumple</v>
      </c>
      <c r="J1306" s="22" t="str">
        <f t="shared" si="81"/>
        <v>Sin bono</v>
      </c>
      <c r="K1306" s="23" t="str">
        <f t="shared" si="82"/>
        <v>OK</v>
      </c>
      <c r="L1306" s="24" t="str">
        <f t="shared" si="83"/>
        <v>Revisar</v>
      </c>
    </row>
    <row r="1307" spans="1:12" ht="18" customHeight="1" x14ac:dyDescent="0.3">
      <c r="A1307" s="18" t="s">
        <v>2661</v>
      </c>
      <c r="B1307" s="5" t="s">
        <v>2662</v>
      </c>
      <c r="C1307" s="18" t="s">
        <v>63</v>
      </c>
      <c r="D1307" s="18" t="s">
        <v>114</v>
      </c>
      <c r="E1307" s="6">
        <v>10500000</v>
      </c>
      <c r="F1307" s="19">
        <v>0.53</v>
      </c>
      <c r="G1307" s="18">
        <v>98</v>
      </c>
      <c r="H1307" s="20">
        <v>13.3</v>
      </c>
      <c r="I1307" s="21" t="str">
        <f t="shared" si="80"/>
        <v>No cumple</v>
      </c>
      <c r="J1307" s="22" t="str">
        <f t="shared" si="81"/>
        <v>Sin bono</v>
      </c>
      <c r="K1307" s="23" t="str">
        <f t="shared" si="82"/>
        <v>ALERTA</v>
      </c>
      <c r="L1307" s="24" t="str">
        <f t="shared" si="83"/>
        <v>Revisar</v>
      </c>
    </row>
    <row r="1308" spans="1:12" ht="18" customHeight="1" x14ac:dyDescent="0.3">
      <c r="A1308" s="25" t="s">
        <v>2663</v>
      </c>
      <c r="B1308" s="8" t="s">
        <v>2664</v>
      </c>
      <c r="C1308" s="25" t="s">
        <v>59</v>
      </c>
      <c r="D1308" s="25" t="s">
        <v>105</v>
      </c>
      <c r="E1308" s="9">
        <v>10400000</v>
      </c>
      <c r="F1308" s="26">
        <v>0.97</v>
      </c>
      <c r="G1308" s="25">
        <v>76</v>
      </c>
      <c r="H1308" s="27">
        <v>4.4000000000000004</v>
      </c>
      <c r="I1308" s="21" t="str">
        <f t="shared" si="80"/>
        <v>Cumple</v>
      </c>
      <c r="J1308" s="22" t="str">
        <f t="shared" si="81"/>
        <v>BONO</v>
      </c>
      <c r="K1308" s="23" t="str">
        <f t="shared" si="82"/>
        <v>OK</v>
      </c>
      <c r="L1308" s="24" t="str">
        <f t="shared" si="83"/>
        <v>Bueno</v>
      </c>
    </row>
    <row r="1309" spans="1:12" ht="18" customHeight="1" x14ac:dyDescent="0.3">
      <c r="A1309" s="18" t="s">
        <v>2665</v>
      </c>
      <c r="B1309" s="5" t="s">
        <v>2666</v>
      </c>
      <c r="C1309" s="18" t="s">
        <v>74</v>
      </c>
      <c r="D1309" s="18" t="s">
        <v>92</v>
      </c>
      <c r="E1309" s="6">
        <v>8100000</v>
      </c>
      <c r="F1309" s="19">
        <v>0.49</v>
      </c>
      <c r="G1309" s="18">
        <v>54</v>
      </c>
      <c r="H1309" s="20">
        <v>17.3</v>
      </c>
      <c r="I1309" s="21" t="str">
        <f t="shared" si="80"/>
        <v>No cumple</v>
      </c>
      <c r="J1309" s="22" t="str">
        <f t="shared" si="81"/>
        <v>Sin bono</v>
      </c>
      <c r="K1309" s="23" t="str">
        <f t="shared" si="82"/>
        <v>ALERTA</v>
      </c>
      <c r="L1309" s="24" t="str">
        <f t="shared" si="83"/>
        <v>Revisar</v>
      </c>
    </row>
    <row r="1310" spans="1:12" ht="18" customHeight="1" x14ac:dyDescent="0.3">
      <c r="A1310" s="25" t="s">
        <v>2667</v>
      </c>
      <c r="B1310" s="8" t="s">
        <v>2668</v>
      </c>
      <c r="C1310" s="25" t="s">
        <v>91</v>
      </c>
      <c r="D1310" s="25" t="s">
        <v>92</v>
      </c>
      <c r="E1310" s="9">
        <v>11900000</v>
      </c>
      <c r="F1310" s="26">
        <v>0.56999999999999995</v>
      </c>
      <c r="G1310" s="25">
        <v>57</v>
      </c>
      <c r="H1310" s="27">
        <v>12.3</v>
      </c>
      <c r="I1310" s="21" t="str">
        <f t="shared" si="80"/>
        <v>No cumple</v>
      </c>
      <c r="J1310" s="22" t="str">
        <f t="shared" si="81"/>
        <v>Sin bono</v>
      </c>
      <c r="K1310" s="23" t="str">
        <f t="shared" si="82"/>
        <v>ALERTA</v>
      </c>
      <c r="L1310" s="24" t="str">
        <f t="shared" si="83"/>
        <v>Revisar</v>
      </c>
    </row>
    <row r="1311" spans="1:12" ht="18" customHeight="1" x14ac:dyDescent="0.3">
      <c r="A1311" s="18" t="s">
        <v>2669</v>
      </c>
      <c r="B1311" s="5" t="s">
        <v>2670</v>
      </c>
      <c r="C1311" s="18" t="s">
        <v>77</v>
      </c>
      <c r="D1311" s="18" t="s">
        <v>105</v>
      </c>
      <c r="E1311" s="6">
        <v>6700000</v>
      </c>
      <c r="F1311" s="19">
        <v>0.8</v>
      </c>
      <c r="G1311" s="18">
        <v>68</v>
      </c>
      <c r="H1311" s="20">
        <v>5.4</v>
      </c>
      <c r="I1311" s="21" t="str">
        <f t="shared" si="80"/>
        <v>Cumple</v>
      </c>
      <c r="J1311" s="22" t="str">
        <f t="shared" si="81"/>
        <v>Sin bono</v>
      </c>
      <c r="K1311" s="23" t="str">
        <f t="shared" si="82"/>
        <v>OK</v>
      </c>
      <c r="L1311" s="24" t="str">
        <f t="shared" si="83"/>
        <v>Revisar</v>
      </c>
    </row>
    <row r="1312" spans="1:12" ht="18" customHeight="1" x14ac:dyDescent="0.3">
      <c r="A1312" s="25" t="s">
        <v>2671</v>
      </c>
      <c r="B1312" s="8" t="s">
        <v>2672</v>
      </c>
      <c r="C1312" s="25" t="s">
        <v>74</v>
      </c>
      <c r="D1312" s="25" t="s">
        <v>92</v>
      </c>
      <c r="E1312" s="9">
        <v>11400000</v>
      </c>
      <c r="F1312" s="26">
        <v>0.82</v>
      </c>
      <c r="G1312" s="25">
        <v>79</v>
      </c>
      <c r="H1312" s="27">
        <v>5.7</v>
      </c>
      <c r="I1312" s="21" t="str">
        <f t="shared" si="80"/>
        <v>Cumple</v>
      </c>
      <c r="J1312" s="22" t="str">
        <f t="shared" si="81"/>
        <v>BONO</v>
      </c>
      <c r="K1312" s="23" t="str">
        <f t="shared" si="82"/>
        <v>OK</v>
      </c>
      <c r="L1312" s="24" t="str">
        <f t="shared" si="83"/>
        <v>Bueno</v>
      </c>
    </row>
    <row r="1313" spans="1:12" ht="18" customHeight="1" x14ac:dyDescent="0.3">
      <c r="A1313" s="18" t="s">
        <v>2673</v>
      </c>
      <c r="B1313" s="5" t="s">
        <v>2674</v>
      </c>
      <c r="C1313" s="18" t="s">
        <v>91</v>
      </c>
      <c r="D1313" s="18" t="s">
        <v>68</v>
      </c>
      <c r="E1313" s="6">
        <v>6100000</v>
      </c>
      <c r="F1313" s="19">
        <v>0.81</v>
      </c>
      <c r="G1313" s="18">
        <v>68</v>
      </c>
      <c r="H1313" s="20">
        <v>6</v>
      </c>
      <c r="I1313" s="21" t="str">
        <f t="shared" si="80"/>
        <v>Cumple</v>
      </c>
      <c r="J1313" s="22" t="str">
        <f t="shared" si="81"/>
        <v>Sin bono</v>
      </c>
      <c r="K1313" s="23" t="str">
        <f t="shared" si="82"/>
        <v>OK</v>
      </c>
      <c r="L1313" s="24" t="str">
        <f t="shared" si="83"/>
        <v>Revisar</v>
      </c>
    </row>
    <row r="1314" spans="1:12" ht="18" customHeight="1" x14ac:dyDescent="0.3">
      <c r="A1314" s="25" t="s">
        <v>2675</v>
      </c>
      <c r="B1314" s="8" t="s">
        <v>2676</v>
      </c>
      <c r="C1314" s="25" t="s">
        <v>81</v>
      </c>
      <c r="D1314" s="25" t="s">
        <v>105</v>
      </c>
      <c r="E1314" s="9">
        <v>9500000</v>
      </c>
      <c r="F1314" s="26">
        <v>0.5</v>
      </c>
      <c r="G1314" s="25">
        <v>77</v>
      </c>
      <c r="H1314" s="27">
        <v>14.7</v>
      </c>
      <c r="I1314" s="21" t="str">
        <f t="shared" si="80"/>
        <v>No cumple</v>
      </c>
      <c r="J1314" s="22" t="str">
        <f t="shared" si="81"/>
        <v>Sin bono</v>
      </c>
      <c r="K1314" s="23" t="str">
        <f t="shared" si="82"/>
        <v>ALERTA</v>
      </c>
      <c r="L1314" s="24" t="str">
        <f t="shared" si="83"/>
        <v>Revisar</v>
      </c>
    </row>
    <row r="1315" spans="1:12" ht="18" customHeight="1" x14ac:dyDescent="0.3">
      <c r="A1315" s="18" t="s">
        <v>2677</v>
      </c>
      <c r="B1315" s="5" t="s">
        <v>2678</v>
      </c>
      <c r="C1315" s="18" t="s">
        <v>63</v>
      </c>
      <c r="D1315" s="18" t="s">
        <v>105</v>
      </c>
      <c r="E1315" s="6">
        <v>5300000</v>
      </c>
      <c r="F1315" s="19">
        <v>0.6</v>
      </c>
      <c r="G1315" s="18">
        <v>48</v>
      </c>
      <c r="H1315" s="20">
        <v>17.100000000000001</v>
      </c>
      <c r="I1315" s="21" t="str">
        <f t="shared" si="80"/>
        <v>No cumple</v>
      </c>
      <c r="J1315" s="22" t="str">
        <f t="shared" si="81"/>
        <v>Sin bono</v>
      </c>
      <c r="K1315" s="23" t="str">
        <f t="shared" si="82"/>
        <v>ALERTA</v>
      </c>
      <c r="L1315" s="24" t="str">
        <f t="shared" si="83"/>
        <v>Revisar</v>
      </c>
    </row>
    <row r="1316" spans="1:12" ht="18" customHeight="1" x14ac:dyDescent="0.3">
      <c r="A1316" s="25" t="s">
        <v>2679</v>
      </c>
      <c r="B1316" s="8" t="s">
        <v>2680</v>
      </c>
      <c r="C1316" s="25" t="s">
        <v>74</v>
      </c>
      <c r="D1316" s="25" t="s">
        <v>114</v>
      </c>
      <c r="E1316" s="9">
        <v>10500000</v>
      </c>
      <c r="F1316" s="26">
        <v>0.8</v>
      </c>
      <c r="G1316" s="25">
        <v>67</v>
      </c>
      <c r="H1316" s="27">
        <v>6.4</v>
      </c>
      <c r="I1316" s="21" t="str">
        <f t="shared" si="80"/>
        <v>Cumple</v>
      </c>
      <c r="J1316" s="22" t="str">
        <f t="shared" si="81"/>
        <v>Sin bono</v>
      </c>
      <c r="K1316" s="23" t="str">
        <f t="shared" si="82"/>
        <v>OK</v>
      </c>
      <c r="L1316" s="24" t="str">
        <f t="shared" si="83"/>
        <v>Revisar</v>
      </c>
    </row>
    <row r="1317" spans="1:12" ht="18" customHeight="1" x14ac:dyDescent="0.3">
      <c r="A1317" s="18" t="s">
        <v>2681</v>
      </c>
      <c r="B1317" s="5" t="s">
        <v>2682</v>
      </c>
      <c r="C1317" s="18" t="s">
        <v>59</v>
      </c>
      <c r="D1317" s="18" t="s">
        <v>105</v>
      </c>
      <c r="E1317" s="6">
        <v>2800000</v>
      </c>
      <c r="F1317" s="19">
        <v>0.73</v>
      </c>
      <c r="G1317" s="18">
        <v>64</v>
      </c>
      <c r="H1317" s="20">
        <v>5.5</v>
      </c>
      <c r="I1317" s="21" t="str">
        <f t="shared" si="80"/>
        <v>No cumple</v>
      </c>
      <c r="J1317" s="22" t="str">
        <f t="shared" si="81"/>
        <v>Sin bono</v>
      </c>
      <c r="K1317" s="23" t="str">
        <f t="shared" si="82"/>
        <v>OK</v>
      </c>
      <c r="L1317" s="24" t="str">
        <f t="shared" si="83"/>
        <v>Revisar</v>
      </c>
    </row>
    <row r="1318" spans="1:12" ht="18" customHeight="1" x14ac:dyDescent="0.3">
      <c r="A1318" s="25" t="s">
        <v>2683</v>
      </c>
      <c r="B1318" s="8" t="s">
        <v>2684</v>
      </c>
      <c r="C1318" s="25" t="s">
        <v>81</v>
      </c>
      <c r="D1318" s="25" t="s">
        <v>92</v>
      </c>
      <c r="E1318" s="9">
        <v>4700000</v>
      </c>
      <c r="F1318" s="26">
        <v>0.84</v>
      </c>
      <c r="G1318" s="25">
        <v>47</v>
      </c>
      <c r="H1318" s="27">
        <v>16.5</v>
      </c>
      <c r="I1318" s="21" t="str">
        <f t="shared" si="80"/>
        <v>Cumple</v>
      </c>
      <c r="J1318" s="22" t="str">
        <f t="shared" si="81"/>
        <v>Sin bono</v>
      </c>
      <c r="K1318" s="23" t="str">
        <f t="shared" si="82"/>
        <v>ALERTA</v>
      </c>
      <c r="L1318" s="24" t="str">
        <f t="shared" si="83"/>
        <v>Revisar</v>
      </c>
    </row>
    <row r="1319" spans="1:12" ht="18" customHeight="1" x14ac:dyDescent="0.3">
      <c r="A1319" s="18" t="s">
        <v>2685</v>
      </c>
      <c r="B1319" s="5" t="s">
        <v>2686</v>
      </c>
      <c r="C1319" s="18" t="s">
        <v>67</v>
      </c>
      <c r="D1319" s="18" t="s">
        <v>114</v>
      </c>
      <c r="E1319" s="6">
        <v>9100000</v>
      </c>
      <c r="F1319" s="19">
        <v>0.96</v>
      </c>
      <c r="G1319" s="18">
        <v>54</v>
      </c>
      <c r="H1319" s="20">
        <v>7.8</v>
      </c>
      <c r="I1319" s="21" t="str">
        <f t="shared" si="80"/>
        <v>Cumple</v>
      </c>
      <c r="J1319" s="22" t="str">
        <f t="shared" si="81"/>
        <v>Sin bono</v>
      </c>
      <c r="K1319" s="23" t="str">
        <f t="shared" si="82"/>
        <v>OK</v>
      </c>
      <c r="L1319" s="24" t="str">
        <f t="shared" si="83"/>
        <v>Revisar</v>
      </c>
    </row>
    <row r="1320" spans="1:12" ht="18" customHeight="1" x14ac:dyDescent="0.3">
      <c r="A1320" s="25" t="s">
        <v>2687</v>
      </c>
      <c r="B1320" s="8" t="s">
        <v>2688</v>
      </c>
      <c r="C1320" s="25" t="s">
        <v>71</v>
      </c>
      <c r="D1320" s="25" t="s">
        <v>60</v>
      </c>
      <c r="E1320" s="9">
        <v>4600000</v>
      </c>
      <c r="F1320" s="26">
        <v>0.79</v>
      </c>
      <c r="G1320" s="25">
        <v>72</v>
      </c>
      <c r="H1320" s="27">
        <v>13.3</v>
      </c>
      <c r="I1320" s="21" t="str">
        <f t="shared" si="80"/>
        <v>No cumple</v>
      </c>
      <c r="J1320" s="22" t="str">
        <f t="shared" si="81"/>
        <v>Sin bono</v>
      </c>
      <c r="K1320" s="23" t="str">
        <f t="shared" si="82"/>
        <v>OK</v>
      </c>
      <c r="L1320" s="24" t="str">
        <f t="shared" si="83"/>
        <v>Revisar</v>
      </c>
    </row>
    <row r="1321" spans="1:12" ht="18" customHeight="1" x14ac:dyDescent="0.3">
      <c r="A1321" s="18" t="s">
        <v>2689</v>
      </c>
      <c r="B1321" s="5" t="s">
        <v>2690</v>
      </c>
      <c r="C1321" s="18" t="s">
        <v>81</v>
      </c>
      <c r="D1321" s="18" t="s">
        <v>68</v>
      </c>
      <c r="E1321" s="6">
        <v>6700000</v>
      </c>
      <c r="F1321" s="19">
        <v>0.89</v>
      </c>
      <c r="G1321" s="18">
        <v>71</v>
      </c>
      <c r="H1321" s="20">
        <v>17.600000000000001</v>
      </c>
      <c r="I1321" s="21" t="str">
        <f t="shared" si="80"/>
        <v>Cumple</v>
      </c>
      <c r="J1321" s="22" t="str">
        <f t="shared" si="81"/>
        <v>BONO</v>
      </c>
      <c r="K1321" s="23" t="str">
        <f t="shared" si="82"/>
        <v>OK</v>
      </c>
      <c r="L1321" s="24" t="str">
        <f t="shared" si="83"/>
        <v>Bueno</v>
      </c>
    </row>
    <row r="1322" spans="1:12" ht="18" customHeight="1" x14ac:dyDescent="0.3">
      <c r="A1322" s="25" t="s">
        <v>2691</v>
      </c>
      <c r="B1322" s="8" t="s">
        <v>2692</v>
      </c>
      <c r="C1322" s="25" t="s">
        <v>71</v>
      </c>
      <c r="D1322" s="25" t="s">
        <v>68</v>
      </c>
      <c r="E1322" s="9">
        <v>3800000</v>
      </c>
      <c r="F1322" s="26">
        <v>0.89</v>
      </c>
      <c r="G1322" s="25">
        <v>31</v>
      </c>
      <c r="H1322" s="27">
        <v>15.8</v>
      </c>
      <c r="I1322" s="21" t="str">
        <f t="shared" si="80"/>
        <v>Cumple</v>
      </c>
      <c r="J1322" s="22" t="str">
        <f t="shared" si="81"/>
        <v>Sin bono</v>
      </c>
      <c r="K1322" s="23" t="str">
        <f t="shared" si="82"/>
        <v>ALERTA</v>
      </c>
      <c r="L1322" s="24" t="str">
        <f t="shared" si="83"/>
        <v>Revisar</v>
      </c>
    </row>
    <row r="1323" spans="1:12" ht="18" customHeight="1" x14ac:dyDescent="0.3">
      <c r="A1323" s="18" t="s">
        <v>2693</v>
      </c>
      <c r="B1323" s="5" t="s">
        <v>2694</v>
      </c>
      <c r="C1323" s="18" t="s">
        <v>63</v>
      </c>
      <c r="D1323" s="18" t="s">
        <v>105</v>
      </c>
      <c r="E1323" s="6">
        <v>5000000</v>
      </c>
      <c r="F1323" s="19">
        <v>0.79</v>
      </c>
      <c r="G1323" s="18">
        <v>94</v>
      </c>
      <c r="H1323" s="20">
        <v>4.8</v>
      </c>
      <c r="I1323" s="21" t="str">
        <f t="shared" si="80"/>
        <v>No cumple</v>
      </c>
      <c r="J1323" s="22" t="str">
        <f t="shared" si="81"/>
        <v>Sin bono</v>
      </c>
      <c r="K1323" s="23" t="str">
        <f t="shared" si="82"/>
        <v>OK</v>
      </c>
      <c r="L1323" s="24" t="str">
        <f t="shared" si="83"/>
        <v>Revisar</v>
      </c>
    </row>
    <row r="1324" spans="1:12" ht="18" customHeight="1" x14ac:dyDescent="0.3">
      <c r="A1324" s="25" t="s">
        <v>2695</v>
      </c>
      <c r="B1324" s="8" t="s">
        <v>2696</v>
      </c>
      <c r="C1324" s="25" t="s">
        <v>63</v>
      </c>
      <c r="D1324" s="25" t="s">
        <v>68</v>
      </c>
      <c r="E1324" s="9">
        <v>12000000</v>
      </c>
      <c r="F1324" s="26">
        <v>0.51</v>
      </c>
      <c r="G1324" s="25">
        <v>82</v>
      </c>
      <c r="H1324" s="27">
        <v>7.2</v>
      </c>
      <c r="I1324" s="21" t="str">
        <f t="shared" si="80"/>
        <v>No cumple</v>
      </c>
      <c r="J1324" s="22" t="str">
        <f t="shared" si="81"/>
        <v>Sin bono</v>
      </c>
      <c r="K1324" s="23" t="str">
        <f t="shared" si="82"/>
        <v>ALERTA</v>
      </c>
      <c r="L1324" s="24" t="str">
        <f t="shared" si="83"/>
        <v>Revisar</v>
      </c>
    </row>
    <row r="1325" spans="1:12" ht="18" customHeight="1" x14ac:dyDescent="0.3">
      <c r="A1325" s="18" t="s">
        <v>2697</v>
      </c>
      <c r="B1325" s="5" t="s">
        <v>2698</v>
      </c>
      <c r="C1325" s="18" t="s">
        <v>59</v>
      </c>
      <c r="D1325" s="18" t="s">
        <v>88</v>
      </c>
      <c r="E1325" s="6">
        <v>4600000</v>
      </c>
      <c r="F1325" s="19">
        <v>0.88</v>
      </c>
      <c r="G1325" s="18">
        <v>89</v>
      </c>
      <c r="H1325" s="20">
        <v>18.399999999999999</v>
      </c>
      <c r="I1325" s="21" t="str">
        <f t="shared" si="80"/>
        <v>Cumple</v>
      </c>
      <c r="J1325" s="22" t="str">
        <f t="shared" si="81"/>
        <v>BONO</v>
      </c>
      <c r="K1325" s="23" t="str">
        <f t="shared" si="82"/>
        <v>OK</v>
      </c>
      <c r="L1325" s="24" t="str">
        <f t="shared" si="83"/>
        <v>Bueno</v>
      </c>
    </row>
    <row r="1326" spans="1:12" ht="18" customHeight="1" x14ac:dyDescent="0.3">
      <c r="A1326" s="25" t="s">
        <v>2699</v>
      </c>
      <c r="B1326" s="8" t="s">
        <v>2700</v>
      </c>
      <c r="C1326" s="25" t="s">
        <v>59</v>
      </c>
      <c r="D1326" s="25" t="s">
        <v>114</v>
      </c>
      <c r="E1326" s="9">
        <v>3300000</v>
      </c>
      <c r="F1326" s="26">
        <v>0.97</v>
      </c>
      <c r="G1326" s="25">
        <v>83</v>
      </c>
      <c r="H1326" s="27">
        <v>15</v>
      </c>
      <c r="I1326" s="21" t="str">
        <f t="shared" si="80"/>
        <v>Cumple</v>
      </c>
      <c r="J1326" s="22" t="str">
        <f t="shared" si="81"/>
        <v>BONO</v>
      </c>
      <c r="K1326" s="23" t="str">
        <f t="shared" si="82"/>
        <v>OK</v>
      </c>
      <c r="L1326" s="24" t="str">
        <f t="shared" si="83"/>
        <v>Bueno</v>
      </c>
    </row>
    <row r="1327" spans="1:12" ht="18" customHeight="1" x14ac:dyDescent="0.3">
      <c r="A1327" s="18" t="s">
        <v>2701</v>
      </c>
      <c r="B1327" s="5" t="s">
        <v>2702</v>
      </c>
      <c r="C1327" s="18" t="s">
        <v>74</v>
      </c>
      <c r="D1327" s="18" t="s">
        <v>68</v>
      </c>
      <c r="E1327" s="6">
        <v>5000000</v>
      </c>
      <c r="F1327" s="19">
        <v>0.91</v>
      </c>
      <c r="G1327" s="18">
        <v>32</v>
      </c>
      <c r="H1327" s="20">
        <v>1.8</v>
      </c>
      <c r="I1327" s="21" t="str">
        <f t="shared" si="80"/>
        <v>Cumple</v>
      </c>
      <c r="J1327" s="22" t="str">
        <f t="shared" si="81"/>
        <v>Sin bono</v>
      </c>
      <c r="K1327" s="23" t="str">
        <f t="shared" si="82"/>
        <v>ALERTA</v>
      </c>
      <c r="L1327" s="24" t="str">
        <f t="shared" si="83"/>
        <v>Revisar</v>
      </c>
    </row>
    <row r="1328" spans="1:12" ht="18" customHeight="1" x14ac:dyDescent="0.3">
      <c r="A1328" s="25" t="s">
        <v>2703</v>
      </c>
      <c r="B1328" s="8" t="s">
        <v>2704</v>
      </c>
      <c r="C1328" s="25" t="s">
        <v>74</v>
      </c>
      <c r="D1328" s="25" t="s">
        <v>78</v>
      </c>
      <c r="E1328" s="9">
        <v>5500000</v>
      </c>
      <c r="F1328" s="26">
        <v>0.46</v>
      </c>
      <c r="G1328" s="25">
        <v>59</v>
      </c>
      <c r="H1328" s="27">
        <v>19.8</v>
      </c>
      <c r="I1328" s="21" t="str">
        <f t="shared" si="80"/>
        <v>No cumple</v>
      </c>
      <c r="J1328" s="22" t="str">
        <f t="shared" si="81"/>
        <v>Sin bono</v>
      </c>
      <c r="K1328" s="23" t="str">
        <f t="shared" si="82"/>
        <v>ALERTA</v>
      </c>
      <c r="L1328" s="24" t="str">
        <f t="shared" si="83"/>
        <v>Revisar</v>
      </c>
    </row>
    <row r="1329" spans="1:12" ht="18" customHeight="1" x14ac:dyDescent="0.3">
      <c r="A1329" s="18" t="s">
        <v>2705</v>
      </c>
      <c r="B1329" s="5" t="s">
        <v>2706</v>
      </c>
      <c r="C1329" s="18" t="s">
        <v>74</v>
      </c>
      <c r="D1329" s="18" t="s">
        <v>114</v>
      </c>
      <c r="E1329" s="6">
        <v>4900000</v>
      </c>
      <c r="F1329" s="19">
        <v>0.56000000000000005</v>
      </c>
      <c r="G1329" s="18">
        <v>68</v>
      </c>
      <c r="H1329" s="20">
        <v>5.2</v>
      </c>
      <c r="I1329" s="21" t="str">
        <f t="shared" si="80"/>
        <v>No cumple</v>
      </c>
      <c r="J1329" s="22" t="str">
        <f t="shared" si="81"/>
        <v>Sin bono</v>
      </c>
      <c r="K1329" s="23" t="str">
        <f t="shared" si="82"/>
        <v>ALERTA</v>
      </c>
      <c r="L1329" s="24" t="str">
        <f t="shared" si="83"/>
        <v>Revisar</v>
      </c>
    </row>
    <row r="1330" spans="1:12" ht="18" customHeight="1" x14ac:dyDescent="0.3">
      <c r="A1330" s="25" t="s">
        <v>2707</v>
      </c>
      <c r="B1330" s="8" t="s">
        <v>2708</v>
      </c>
      <c r="C1330" s="25" t="s">
        <v>81</v>
      </c>
      <c r="D1330" s="25" t="s">
        <v>60</v>
      </c>
      <c r="E1330" s="9">
        <v>11800000</v>
      </c>
      <c r="F1330" s="26">
        <v>0.78</v>
      </c>
      <c r="G1330" s="25">
        <v>43</v>
      </c>
      <c r="H1330" s="27">
        <v>2.5</v>
      </c>
      <c r="I1330" s="21" t="str">
        <f t="shared" si="80"/>
        <v>No cumple</v>
      </c>
      <c r="J1330" s="22" t="str">
        <f t="shared" si="81"/>
        <v>Sin bono</v>
      </c>
      <c r="K1330" s="23" t="str">
        <f t="shared" si="82"/>
        <v>ALERTA</v>
      </c>
      <c r="L1330" s="24" t="str">
        <f t="shared" si="83"/>
        <v>Revisar</v>
      </c>
    </row>
    <row r="1331" spans="1:12" ht="18" customHeight="1" x14ac:dyDescent="0.3">
      <c r="A1331" s="18" t="s">
        <v>2709</v>
      </c>
      <c r="B1331" s="5" t="s">
        <v>2710</v>
      </c>
      <c r="C1331" s="18" t="s">
        <v>74</v>
      </c>
      <c r="D1331" s="18" t="s">
        <v>114</v>
      </c>
      <c r="E1331" s="6">
        <v>11600000</v>
      </c>
      <c r="F1331" s="19">
        <v>0.97</v>
      </c>
      <c r="G1331" s="18">
        <v>61</v>
      </c>
      <c r="H1331" s="20">
        <v>4.9000000000000004</v>
      </c>
      <c r="I1331" s="21" t="str">
        <f t="shared" si="80"/>
        <v>Cumple</v>
      </c>
      <c r="J1331" s="22" t="str">
        <f t="shared" si="81"/>
        <v>Sin bono</v>
      </c>
      <c r="K1331" s="23" t="str">
        <f t="shared" si="82"/>
        <v>OK</v>
      </c>
      <c r="L1331" s="24" t="str">
        <f t="shared" si="83"/>
        <v>Revisar</v>
      </c>
    </row>
    <row r="1332" spans="1:12" ht="18" customHeight="1" x14ac:dyDescent="0.3">
      <c r="A1332" s="25" t="s">
        <v>2711</v>
      </c>
      <c r="B1332" s="8" t="s">
        <v>2712</v>
      </c>
      <c r="C1332" s="25" t="s">
        <v>67</v>
      </c>
      <c r="D1332" s="25" t="s">
        <v>60</v>
      </c>
      <c r="E1332" s="9">
        <v>5400000</v>
      </c>
      <c r="F1332" s="26">
        <v>0.7</v>
      </c>
      <c r="G1332" s="25">
        <v>96</v>
      </c>
      <c r="H1332" s="27">
        <v>9.6999999999999993</v>
      </c>
      <c r="I1332" s="21" t="str">
        <f t="shared" si="80"/>
        <v>No cumple</v>
      </c>
      <c r="J1332" s="22" t="str">
        <f t="shared" si="81"/>
        <v>Sin bono</v>
      </c>
      <c r="K1332" s="23" t="str">
        <f t="shared" si="82"/>
        <v>OK</v>
      </c>
      <c r="L1332" s="24" t="str">
        <f t="shared" si="83"/>
        <v>Revisar</v>
      </c>
    </row>
    <row r="1333" spans="1:12" ht="18" customHeight="1" x14ac:dyDescent="0.3">
      <c r="A1333" s="18" t="s">
        <v>2713</v>
      </c>
      <c r="B1333" s="5" t="s">
        <v>2714</v>
      </c>
      <c r="C1333" s="18" t="s">
        <v>67</v>
      </c>
      <c r="D1333" s="18" t="s">
        <v>114</v>
      </c>
      <c r="E1333" s="6">
        <v>10100000</v>
      </c>
      <c r="F1333" s="19">
        <v>0.72</v>
      </c>
      <c r="G1333" s="18">
        <v>46</v>
      </c>
      <c r="H1333" s="20">
        <v>13.8</v>
      </c>
      <c r="I1333" s="21" t="str">
        <f t="shared" si="80"/>
        <v>No cumple</v>
      </c>
      <c r="J1333" s="22" t="str">
        <f t="shared" si="81"/>
        <v>Sin bono</v>
      </c>
      <c r="K1333" s="23" t="str">
        <f t="shared" si="82"/>
        <v>ALERTA</v>
      </c>
      <c r="L1333" s="24" t="str">
        <f t="shared" si="83"/>
        <v>Revisar</v>
      </c>
    </row>
    <row r="1334" spans="1:12" ht="18" customHeight="1" x14ac:dyDescent="0.3">
      <c r="A1334" s="25" t="s">
        <v>2715</v>
      </c>
      <c r="B1334" s="8" t="s">
        <v>2716</v>
      </c>
      <c r="C1334" s="25" t="s">
        <v>77</v>
      </c>
      <c r="D1334" s="25" t="s">
        <v>92</v>
      </c>
      <c r="E1334" s="9">
        <v>11500000</v>
      </c>
      <c r="F1334" s="26">
        <v>0.75</v>
      </c>
      <c r="G1334" s="25">
        <v>35</v>
      </c>
      <c r="H1334" s="27">
        <v>16.399999999999999</v>
      </c>
      <c r="I1334" s="21" t="str">
        <f t="shared" si="80"/>
        <v>No cumple</v>
      </c>
      <c r="J1334" s="22" t="str">
        <f t="shared" si="81"/>
        <v>Sin bono</v>
      </c>
      <c r="K1334" s="23" t="str">
        <f t="shared" si="82"/>
        <v>ALERTA</v>
      </c>
      <c r="L1334" s="24" t="str">
        <f t="shared" si="83"/>
        <v>Revisar</v>
      </c>
    </row>
    <row r="1335" spans="1:12" ht="18" customHeight="1" x14ac:dyDescent="0.3">
      <c r="A1335" s="18" t="s">
        <v>2717</v>
      </c>
      <c r="B1335" s="5" t="s">
        <v>2718</v>
      </c>
      <c r="C1335" s="18" t="s">
        <v>81</v>
      </c>
      <c r="D1335" s="18" t="s">
        <v>88</v>
      </c>
      <c r="E1335" s="6">
        <v>3800000</v>
      </c>
      <c r="F1335" s="19">
        <v>0.65</v>
      </c>
      <c r="G1335" s="18">
        <v>93</v>
      </c>
      <c r="H1335" s="20">
        <v>14.6</v>
      </c>
      <c r="I1335" s="21" t="str">
        <f t="shared" si="80"/>
        <v>No cumple</v>
      </c>
      <c r="J1335" s="22" t="str">
        <f t="shared" si="81"/>
        <v>Sin bono</v>
      </c>
      <c r="K1335" s="23" t="str">
        <f t="shared" si="82"/>
        <v>OK</v>
      </c>
      <c r="L1335" s="24" t="str">
        <f t="shared" si="83"/>
        <v>Revisar</v>
      </c>
    </row>
    <row r="1336" spans="1:12" ht="18" customHeight="1" x14ac:dyDescent="0.3">
      <c r="A1336" s="25" t="s">
        <v>2719</v>
      </c>
      <c r="B1336" s="8" t="s">
        <v>2720</v>
      </c>
      <c r="C1336" s="25" t="s">
        <v>67</v>
      </c>
      <c r="D1336" s="25" t="s">
        <v>78</v>
      </c>
      <c r="E1336" s="9">
        <v>8200000</v>
      </c>
      <c r="F1336" s="26">
        <v>0.94</v>
      </c>
      <c r="G1336" s="25">
        <v>86</v>
      </c>
      <c r="H1336" s="27">
        <v>0.9</v>
      </c>
      <c r="I1336" s="21" t="str">
        <f t="shared" si="80"/>
        <v>Cumple</v>
      </c>
      <c r="J1336" s="22" t="str">
        <f t="shared" si="81"/>
        <v>BONO</v>
      </c>
      <c r="K1336" s="23" t="str">
        <f t="shared" si="82"/>
        <v>OK</v>
      </c>
      <c r="L1336" s="24" t="str">
        <f t="shared" si="83"/>
        <v>Excelente</v>
      </c>
    </row>
    <row r="1337" spans="1:12" ht="18" customHeight="1" x14ac:dyDescent="0.3">
      <c r="A1337" s="18" t="s">
        <v>2721</v>
      </c>
      <c r="B1337" s="5" t="s">
        <v>2722</v>
      </c>
      <c r="C1337" s="18" t="s">
        <v>91</v>
      </c>
      <c r="D1337" s="18" t="s">
        <v>78</v>
      </c>
      <c r="E1337" s="6">
        <v>10100000</v>
      </c>
      <c r="F1337" s="19">
        <v>0.98</v>
      </c>
      <c r="G1337" s="18">
        <v>93</v>
      </c>
      <c r="H1337" s="20">
        <v>6.6</v>
      </c>
      <c r="I1337" s="21" t="str">
        <f t="shared" si="80"/>
        <v>Cumple</v>
      </c>
      <c r="J1337" s="22" t="str">
        <f t="shared" si="81"/>
        <v>BONO</v>
      </c>
      <c r="K1337" s="23" t="str">
        <f t="shared" si="82"/>
        <v>OK</v>
      </c>
      <c r="L1337" s="24" t="str">
        <f t="shared" si="83"/>
        <v>Excelente</v>
      </c>
    </row>
    <row r="1338" spans="1:12" ht="18" customHeight="1" x14ac:dyDescent="0.3">
      <c r="A1338" s="25" t="s">
        <v>2723</v>
      </c>
      <c r="B1338" s="8" t="s">
        <v>2724</v>
      </c>
      <c r="C1338" s="25" t="s">
        <v>71</v>
      </c>
      <c r="D1338" s="25" t="s">
        <v>92</v>
      </c>
      <c r="E1338" s="9">
        <v>5800000</v>
      </c>
      <c r="F1338" s="26">
        <v>0.84</v>
      </c>
      <c r="G1338" s="25">
        <v>55</v>
      </c>
      <c r="H1338" s="27">
        <v>14.4</v>
      </c>
      <c r="I1338" s="21" t="str">
        <f t="shared" si="80"/>
        <v>Cumple</v>
      </c>
      <c r="J1338" s="22" t="str">
        <f t="shared" si="81"/>
        <v>Sin bono</v>
      </c>
      <c r="K1338" s="23" t="str">
        <f t="shared" si="82"/>
        <v>OK</v>
      </c>
      <c r="L1338" s="24" t="str">
        <f t="shared" si="83"/>
        <v>Revisar</v>
      </c>
    </row>
    <row r="1339" spans="1:12" ht="18" customHeight="1" x14ac:dyDescent="0.3">
      <c r="A1339" s="18" t="s">
        <v>2725</v>
      </c>
      <c r="B1339" s="5" t="s">
        <v>2726</v>
      </c>
      <c r="C1339" s="18" t="s">
        <v>91</v>
      </c>
      <c r="D1339" s="18" t="s">
        <v>92</v>
      </c>
      <c r="E1339" s="6">
        <v>8900000</v>
      </c>
      <c r="F1339" s="19">
        <v>0.69</v>
      </c>
      <c r="G1339" s="18">
        <v>41</v>
      </c>
      <c r="H1339" s="20">
        <v>5.8</v>
      </c>
      <c r="I1339" s="21" t="str">
        <f t="shared" si="80"/>
        <v>No cumple</v>
      </c>
      <c r="J1339" s="22" t="str">
        <f t="shared" si="81"/>
        <v>Sin bono</v>
      </c>
      <c r="K1339" s="23" t="str">
        <f t="shared" si="82"/>
        <v>ALERTA</v>
      </c>
      <c r="L1339" s="24" t="str">
        <f t="shared" si="83"/>
        <v>Revisar</v>
      </c>
    </row>
    <row r="1340" spans="1:12" ht="18" customHeight="1" x14ac:dyDescent="0.3">
      <c r="A1340" s="25" t="s">
        <v>2727</v>
      </c>
      <c r="B1340" s="8" t="s">
        <v>2728</v>
      </c>
      <c r="C1340" s="25" t="s">
        <v>74</v>
      </c>
      <c r="D1340" s="25" t="s">
        <v>78</v>
      </c>
      <c r="E1340" s="9">
        <v>8400000</v>
      </c>
      <c r="F1340" s="26">
        <v>0.72</v>
      </c>
      <c r="G1340" s="25">
        <v>95</v>
      </c>
      <c r="H1340" s="27">
        <v>14.2</v>
      </c>
      <c r="I1340" s="21" t="str">
        <f t="shared" si="80"/>
        <v>No cumple</v>
      </c>
      <c r="J1340" s="22" t="str">
        <f t="shared" si="81"/>
        <v>Sin bono</v>
      </c>
      <c r="K1340" s="23" t="str">
        <f t="shared" si="82"/>
        <v>OK</v>
      </c>
      <c r="L1340" s="24" t="str">
        <f t="shared" si="83"/>
        <v>Revisar</v>
      </c>
    </row>
    <row r="1341" spans="1:12" ht="18" customHeight="1" x14ac:dyDescent="0.3">
      <c r="A1341" s="18" t="s">
        <v>2729</v>
      </c>
      <c r="B1341" s="5" t="s">
        <v>2730</v>
      </c>
      <c r="C1341" s="18" t="s">
        <v>74</v>
      </c>
      <c r="D1341" s="18" t="s">
        <v>64</v>
      </c>
      <c r="E1341" s="6">
        <v>6100000</v>
      </c>
      <c r="F1341" s="19">
        <v>0.69</v>
      </c>
      <c r="G1341" s="18">
        <v>77</v>
      </c>
      <c r="H1341" s="20">
        <v>2.9</v>
      </c>
      <c r="I1341" s="21" t="str">
        <f t="shared" si="80"/>
        <v>No cumple</v>
      </c>
      <c r="J1341" s="22" t="str">
        <f t="shared" si="81"/>
        <v>Sin bono</v>
      </c>
      <c r="K1341" s="23" t="str">
        <f t="shared" si="82"/>
        <v>OK</v>
      </c>
      <c r="L1341" s="24" t="str">
        <f t="shared" si="83"/>
        <v>Revisar</v>
      </c>
    </row>
    <row r="1342" spans="1:12" ht="18" customHeight="1" x14ac:dyDescent="0.3">
      <c r="A1342" s="25" t="s">
        <v>2731</v>
      </c>
      <c r="B1342" s="8" t="s">
        <v>2732</v>
      </c>
      <c r="C1342" s="25" t="s">
        <v>67</v>
      </c>
      <c r="D1342" s="25" t="s">
        <v>68</v>
      </c>
      <c r="E1342" s="9">
        <v>6000000</v>
      </c>
      <c r="F1342" s="26">
        <v>0.69</v>
      </c>
      <c r="G1342" s="25">
        <v>78</v>
      </c>
      <c r="H1342" s="27">
        <v>14.3</v>
      </c>
      <c r="I1342" s="21" t="str">
        <f t="shared" si="80"/>
        <v>No cumple</v>
      </c>
      <c r="J1342" s="22" t="str">
        <f t="shared" si="81"/>
        <v>Sin bono</v>
      </c>
      <c r="K1342" s="23" t="str">
        <f t="shared" si="82"/>
        <v>OK</v>
      </c>
      <c r="L1342" s="24" t="str">
        <f t="shared" si="83"/>
        <v>Revisar</v>
      </c>
    </row>
    <row r="1343" spans="1:12" ht="18" customHeight="1" x14ac:dyDescent="0.3">
      <c r="A1343" s="18" t="s">
        <v>2733</v>
      </c>
      <c r="B1343" s="5" t="s">
        <v>2734</v>
      </c>
      <c r="C1343" s="18" t="s">
        <v>91</v>
      </c>
      <c r="D1343" s="18" t="s">
        <v>114</v>
      </c>
      <c r="E1343" s="6">
        <v>11300000</v>
      </c>
      <c r="F1343" s="19">
        <v>0.98</v>
      </c>
      <c r="G1343" s="18">
        <v>66</v>
      </c>
      <c r="H1343" s="20">
        <v>0.2</v>
      </c>
      <c r="I1343" s="21" t="str">
        <f t="shared" si="80"/>
        <v>Cumple</v>
      </c>
      <c r="J1343" s="22" t="str">
        <f t="shared" si="81"/>
        <v>Sin bono</v>
      </c>
      <c r="K1343" s="23" t="str">
        <f t="shared" si="82"/>
        <v>OK</v>
      </c>
      <c r="L1343" s="24" t="str">
        <f t="shared" si="83"/>
        <v>Revisar</v>
      </c>
    </row>
    <row r="1344" spans="1:12" ht="18" customHeight="1" x14ac:dyDescent="0.3">
      <c r="A1344" s="25" t="s">
        <v>2735</v>
      </c>
      <c r="B1344" s="8" t="s">
        <v>2736</v>
      </c>
      <c r="C1344" s="25" t="s">
        <v>77</v>
      </c>
      <c r="D1344" s="25" t="s">
        <v>105</v>
      </c>
      <c r="E1344" s="9">
        <v>10300000</v>
      </c>
      <c r="F1344" s="26">
        <v>0.77</v>
      </c>
      <c r="G1344" s="25">
        <v>53</v>
      </c>
      <c r="H1344" s="27">
        <v>5.4</v>
      </c>
      <c r="I1344" s="21" t="str">
        <f t="shared" si="80"/>
        <v>No cumple</v>
      </c>
      <c r="J1344" s="22" t="str">
        <f t="shared" si="81"/>
        <v>Sin bono</v>
      </c>
      <c r="K1344" s="23" t="str">
        <f t="shared" si="82"/>
        <v>OK</v>
      </c>
      <c r="L1344" s="24" t="str">
        <f t="shared" si="83"/>
        <v>Revisar</v>
      </c>
    </row>
    <row r="1345" spans="1:12" ht="18" customHeight="1" x14ac:dyDescent="0.3">
      <c r="A1345" s="18" t="s">
        <v>2737</v>
      </c>
      <c r="B1345" s="5" t="s">
        <v>2738</v>
      </c>
      <c r="C1345" s="18" t="s">
        <v>81</v>
      </c>
      <c r="D1345" s="18" t="s">
        <v>64</v>
      </c>
      <c r="E1345" s="6">
        <v>7600000</v>
      </c>
      <c r="F1345" s="19">
        <v>0.77</v>
      </c>
      <c r="G1345" s="18">
        <v>88</v>
      </c>
      <c r="H1345" s="20">
        <v>13.8</v>
      </c>
      <c r="I1345" s="21" t="str">
        <f t="shared" si="80"/>
        <v>No cumple</v>
      </c>
      <c r="J1345" s="22" t="str">
        <f t="shared" si="81"/>
        <v>Sin bono</v>
      </c>
      <c r="K1345" s="23" t="str">
        <f t="shared" si="82"/>
        <v>OK</v>
      </c>
      <c r="L1345" s="24" t="str">
        <f t="shared" si="83"/>
        <v>Revisar</v>
      </c>
    </row>
    <row r="1346" spans="1:12" ht="18" customHeight="1" x14ac:dyDescent="0.3">
      <c r="A1346" s="25" t="s">
        <v>2739</v>
      </c>
      <c r="B1346" s="8" t="s">
        <v>2740</v>
      </c>
      <c r="C1346" s="25" t="s">
        <v>91</v>
      </c>
      <c r="D1346" s="25" t="s">
        <v>60</v>
      </c>
      <c r="E1346" s="9">
        <v>6600000</v>
      </c>
      <c r="F1346" s="26">
        <v>0.98</v>
      </c>
      <c r="G1346" s="25">
        <v>89</v>
      </c>
      <c r="H1346" s="27">
        <v>0.4</v>
      </c>
      <c r="I1346" s="21" t="str">
        <f t="shared" si="80"/>
        <v>Cumple</v>
      </c>
      <c r="J1346" s="22" t="str">
        <f t="shared" si="81"/>
        <v>BONO</v>
      </c>
      <c r="K1346" s="23" t="str">
        <f t="shared" si="82"/>
        <v>OK</v>
      </c>
      <c r="L1346" s="24" t="str">
        <f t="shared" si="83"/>
        <v>Excelente</v>
      </c>
    </row>
    <row r="1347" spans="1:12" ht="18" customHeight="1" x14ac:dyDescent="0.3">
      <c r="A1347" s="18" t="s">
        <v>2741</v>
      </c>
      <c r="B1347" s="5" t="s">
        <v>2742</v>
      </c>
      <c r="C1347" s="18" t="s">
        <v>91</v>
      </c>
      <c r="D1347" s="18" t="s">
        <v>60</v>
      </c>
      <c r="E1347" s="6">
        <v>3600000</v>
      </c>
      <c r="F1347" s="19">
        <v>0.79</v>
      </c>
      <c r="G1347" s="18">
        <v>98</v>
      </c>
      <c r="H1347" s="20">
        <v>6.3</v>
      </c>
      <c r="I1347" s="21" t="str">
        <f t="shared" si="80"/>
        <v>No cumple</v>
      </c>
      <c r="J1347" s="22" t="str">
        <f t="shared" si="81"/>
        <v>Sin bono</v>
      </c>
      <c r="K1347" s="23" t="str">
        <f t="shared" si="82"/>
        <v>OK</v>
      </c>
      <c r="L1347" s="24" t="str">
        <f t="shared" si="83"/>
        <v>Revisar</v>
      </c>
    </row>
    <row r="1348" spans="1:12" ht="18" customHeight="1" x14ac:dyDescent="0.3">
      <c r="A1348" s="25" t="s">
        <v>2743</v>
      </c>
      <c r="B1348" s="8" t="s">
        <v>2744</v>
      </c>
      <c r="C1348" s="25" t="s">
        <v>77</v>
      </c>
      <c r="D1348" s="25" t="s">
        <v>64</v>
      </c>
      <c r="E1348" s="9">
        <v>8500000</v>
      </c>
      <c r="F1348" s="26">
        <v>0.64</v>
      </c>
      <c r="G1348" s="25">
        <v>70</v>
      </c>
      <c r="H1348" s="27">
        <v>5.8</v>
      </c>
      <c r="I1348" s="21" t="str">
        <f t="shared" si="80"/>
        <v>No cumple</v>
      </c>
      <c r="J1348" s="22" t="str">
        <f t="shared" si="81"/>
        <v>Sin bono</v>
      </c>
      <c r="K1348" s="23" t="str">
        <f t="shared" si="82"/>
        <v>OK</v>
      </c>
      <c r="L1348" s="24" t="str">
        <f t="shared" si="83"/>
        <v>Revisar</v>
      </c>
    </row>
    <row r="1349" spans="1:12" ht="18" customHeight="1" x14ac:dyDescent="0.3">
      <c r="A1349" s="18" t="s">
        <v>2745</v>
      </c>
      <c r="B1349" s="5" t="s">
        <v>2746</v>
      </c>
      <c r="C1349" s="18" t="s">
        <v>91</v>
      </c>
      <c r="D1349" s="18" t="s">
        <v>78</v>
      </c>
      <c r="E1349" s="6">
        <v>6600000</v>
      </c>
      <c r="F1349" s="19">
        <v>0.63</v>
      </c>
      <c r="G1349" s="18">
        <v>86</v>
      </c>
      <c r="H1349" s="20">
        <v>13.1</v>
      </c>
      <c r="I1349" s="21" t="str">
        <f t="shared" si="80"/>
        <v>No cumple</v>
      </c>
      <c r="J1349" s="22" t="str">
        <f t="shared" si="81"/>
        <v>Sin bono</v>
      </c>
      <c r="K1349" s="23" t="str">
        <f t="shared" si="82"/>
        <v>OK</v>
      </c>
      <c r="L1349" s="24" t="str">
        <f t="shared" si="83"/>
        <v>Revisar</v>
      </c>
    </row>
    <row r="1350" spans="1:12" ht="18" customHeight="1" x14ac:dyDescent="0.3">
      <c r="A1350" s="25" t="s">
        <v>2747</v>
      </c>
      <c r="B1350" s="8" t="s">
        <v>2748</v>
      </c>
      <c r="C1350" s="25" t="s">
        <v>91</v>
      </c>
      <c r="D1350" s="25" t="s">
        <v>60</v>
      </c>
      <c r="E1350" s="9">
        <v>5800000</v>
      </c>
      <c r="F1350" s="26">
        <v>0.65</v>
      </c>
      <c r="G1350" s="25">
        <v>64</v>
      </c>
      <c r="H1350" s="27">
        <v>7.7</v>
      </c>
      <c r="I1350" s="21" t="str">
        <f t="shared" si="80"/>
        <v>No cumple</v>
      </c>
      <c r="J1350" s="22" t="str">
        <f t="shared" si="81"/>
        <v>Sin bono</v>
      </c>
      <c r="K1350" s="23" t="str">
        <f t="shared" si="82"/>
        <v>OK</v>
      </c>
      <c r="L1350" s="24" t="str">
        <f t="shared" si="83"/>
        <v>Revisar</v>
      </c>
    </row>
    <row r="1351" spans="1:12" ht="18" customHeight="1" x14ac:dyDescent="0.3">
      <c r="A1351" s="18" t="s">
        <v>2749</v>
      </c>
      <c r="B1351" s="5" t="s">
        <v>2750</v>
      </c>
      <c r="C1351" s="18" t="s">
        <v>67</v>
      </c>
      <c r="D1351" s="18" t="s">
        <v>88</v>
      </c>
      <c r="E1351" s="6">
        <v>5000000</v>
      </c>
      <c r="F1351" s="19">
        <v>0.83</v>
      </c>
      <c r="G1351" s="18">
        <v>95</v>
      </c>
      <c r="H1351" s="20">
        <v>2.2000000000000002</v>
      </c>
      <c r="I1351" s="21" t="str">
        <f t="shared" si="80"/>
        <v>Cumple</v>
      </c>
      <c r="J1351" s="22" t="str">
        <f t="shared" si="81"/>
        <v>BONO</v>
      </c>
      <c r="K1351" s="23" t="str">
        <f t="shared" si="82"/>
        <v>OK</v>
      </c>
      <c r="L1351" s="24" t="str">
        <f t="shared" si="83"/>
        <v>Bueno</v>
      </c>
    </row>
    <row r="1352" spans="1:12" ht="18" customHeight="1" x14ac:dyDescent="0.3">
      <c r="A1352" s="25" t="s">
        <v>2751</v>
      </c>
      <c r="B1352" s="8" t="s">
        <v>2752</v>
      </c>
      <c r="C1352" s="25" t="s">
        <v>74</v>
      </c>
      <c r="D1352" s="25" t="s">
        <v>114</v>
      </c>
      <c r="E1352" s="9">
        <v>8700000</v>
      </c>
      <c r="F1352" s="26">
        <v>0.73</v>
      </c>
      <c r="G1352" s="25">
        <v>96</v>
      </c>
      <c r="H1352" s="27">
        <v>14.2</v>
      </c>
      <c r="I1352" s="21" t="str">
        <f t="shared" si="80"/>
        <v>No cumple</v>
      </c>
      <c r="J1352" s="22" t="str">
        <f t="shared" si="81"/>
        <v>Sin bono</v>
      </c>
      <c r="K1352" s="23" t="str">
        <f t="shared" si="82"/>
        <v>OK</v>
      </c>
      <c r="L1352" s="24" t="str">
        <f t="shared" si="83"/>
        <v>Revisar</v>
      </c>
    </row>
    <row r="1353" spans="1:12" ht="18" customHeight="1" x14ac:dyDescent="0.3">
      <c r="A1353" s="18" t="s">
        <v>2753</v>
      </c>
      <c r="B1353" s="5" t="s">
        <v>2754</v>
      </c>
      <c r="C1353" s="18" t="s">
        <v>67</v>
      </c>
      <c r="D1353" s="18" t="s">
        <v>105</v>
      </c>
      <c r="E1353" s="6">
        <v>8500000</v>
      </c>
      <c r="F1353" s="19">
        <v>0.91</v>
      </c>
      <c r="G1353" s="18">
        <v>64</v>
      </c>
      <c r="H1353" s="20">
        <v>4.4000000000000004</v>
      </c>
      <c r="I1353" s="21" t="str">
        <f t="shared" si="80"/>
        <v>Cumple</v>
      </c>
      <c r="J1353" s="22" t="str">
        <f t="shared" si="81"/>
        <v>Sin bono</v>
      </c>
      <c r="K1353" s="23" t="str">
        <f t="shared" si="82"/>
        <v>OK</v>
      </c>
      <c r="L1353" s="24" t="str">
        <f t="shared" si="83"/>
        <v>Revisar</v>
      </c>
    </row>
    <row r="1354" spans="1:12" ht="18" customHeight="1" x14ac:dyDescent="0.3">
      <c r="A1354" s="25" t="s">
        <v>2755</v>
      </c>
      <c r="B1354" s="8" t="s">
        <v>2756</v>
      </c>
      <c r="C1354" s="25" t="s">
        <v>74</v>
      </c>
      <c r="D1354" s="25" t="s">
        <v>92</v>
      </c>
      <c r="E1354" s="9">
        <v>11500000</v>
      </c>
      <c r="F1354" s="26">
        <v>0.57999999999999996</v>
      </c>
      <c r="G1354" s="25">
        <v>41</v>
      </c>
      <c r="H1354" s="27">
        <v>3.7</v>
      </c>
      <c r="I1354" s="21" t="str">
        <f t="shared" si="80"/>
        <v>No cumple</v>
      </c>
      <c r="J1354" s="22" t="str">
        <f t="shared" si="81"/>
        <v>Sin bono</v>
      </c>
      <c r="K1354" s="23" t="str">
        <f t="shared" si="82"/>
        <v>ALERTA</v>
      </c>
      <c r="L1354" s="24" t="str">
        <f t="shared" si="83"/>
        <v>Revisar</v>
      </c>
    </row>
    <row r="1355" spans="1:12" ht="18" customHeight="1" x14ac:dyDescent="0.3">
      <c r="A1355" s="18" t="s">
        <v>2757</v>
      </c>
      <c r="B1355" s="5" t="s">
        <v>2758</v>
      </c>
      <c r="C1355" s="18" t="s">
        <v>59</v>
      </c>
      <c r="D1355" s="18" t="s">
        <v>114</v>
      </c>
      <c r="E1355" s="6">
        <v>4000000</v>
      </c>
      <c r="F1355" s="19">
        <v>0.85</v>
      </c>
      <c r="G1355" s="18">
        <v>46</v>
      </c>
      <c r="H1355" s="20">
        <v>10.199999999999999</v>
      </c>
      <c r="I1355" s="21" t="str">
        <f t="shared" si="80"/>
        <v>Cumple</v>
      </c>
      <c r="J1355" s="22" t="str">
        <f t="shared" si="81"/>
        <v>Sin bono</v>
      </c>
      <c r="K1355" s="23" t="str">
        <f t="shared" si="82"/>
        <v>ALERTA</v>
      </c>
      <c r="L1355" s="24" t="str">
        <f t="shared" si="83"/>
        <v>Revisar</v>
      </c>
    </row>
    <row r="1356" spans="1:12" ht="18" customHeight="1" x14ac:dyDescent="0.3">
      <c r="A1356" s="25" t="s">
        <v>2759</v>
      </c>
      <c r="B1356" s="8" t="s">
        <v>2760</v>
      </c>
      <c r="C1356" s="25" t="s">
        <v>91</v>
      </c>
      <c r="D1356" s="25" t="s">
        <v>64</v>
      </c>
      <c r="E1356" s="9">
        <v>6600000</v>
      </c>
      <c r="F1356" s="26">
        <v>0.85</v>
      </c>
      <c r="G1356" s="25">
        <v>84</v>
      </c>
      <c r="H1356" s="27">
        <v>18.7</v>
      </c>
      <c r="I1356" s="21" t="str">
        <f t="shared" si="80"/>
        <v>Cumple</v>
      </c>
      <c r="J1356" s="22" t="str">
        <f t="shared" si="81"/>
        <v>BONO</v>
      </c>
      <c r="K1356" s="23" t="str">
        <f t="shared" si="82"/>
        <v>OK</v>
      </c>
      <c r="L1356" s="24" t="str">
        <f t="shared" si="83"/>
        <v>Bueno</v>
      </c>
    </row>
    <row r="1357" spans="1:12" ht="18" customHeight="1" x14ac:dyDescent="0.3">
      <c r="A1357" s="18" t="s">
        <v>2761</v>
      </c>
      <c r="B1357" s="5" t="s">
        <v>2762</v>
      </c>
      <c r="C1357" s="18" t="s">
        <v>67</v>
      </c>
      <c r="D1357" s="18" t="s">
        <v>105</v>
      </c>
      <c r="E1357" s="6">
        <v>5700000</v>
      </c>
      <c r="F1357" s="19">
        <v>0.77</v>
      </c>
      <c r="G1357" s="18">
        <v>36</v>
      </c>
      <c r="H1357" s="20">
        <v>14.4</v>
      </c>
      <c r="I1357" s="21" t="str">
        <f t="shared" ref="I1357:I1420" si="84">IF(F1357&gt;=0.8,"Cumple","No cumple")</f>
        <v>No cumple</v>
      </c>
      <c r="J1357" s="22" t="str">
        <f t="shared" ref="J1357:J1420" si="85">IF(AND(F1357&gt;=0.8,G1357&gt;=70),"BONO","Sin bono")</f>
        <v>Sin bono</v>
      </c>
      <c r="K1357" s="23" t="str">
        <f t="shared" ref="K1357:K1420" si="86">IF(OR(F1357&lt;0.6,G1357&lt;50),"ALERTA","OK")</f>
        <v>ALERTA</v>
      </c>
      <c r="L1357" s="24" t="str">
        <f t="shared" ref="L1357:L1420" si="87">IF(AND(F1357&gt;=0.9,G1357&gt;=85),"Excelente",IF(AND(F1357&gt;=0.8,G1357&gt;=70),"Bueno","Revisar"))</f>
        <v>Revisar</v>
      </c>
    </row>
    <row r="1358" spans="1:12" ht="18" customHeight="1" x14ac:dyDescent="0.3">
      <c r="A1358" s="25" t="s">
        <v>2763</v>
      </c>
      <c r="B1358" s="8" t="s">
        <v>2764</v>
      </c>
      <c r="C1358" s="25" t="s">
        <v>81</v>
      </c>
      <c r="D1358" s="25" t="s">
        <v>92</v>
      </c>
      <c r="E1358" s="9">
        <v>10700000</v>
      </c>
      <c r="F1358" s="26">
        <v>0.73</v>
      </c>
      <c r="G1358" s="25">
        <v>61</v>
      </c>
      <c r="H1358" s="27">
        <v>6</v>
      </c>
      <c r="I1358" s="21" t="str">
        <f t="shared" si="84"/>
        <v>No cumple</v>
      </c>
      <c r="J1358" s="22" t="str">
        <f t="shared" si="85"/>
        <v>Sin bono</v>
      </c>
      <c r="K1358" s="23" t="str">
        <f t="shared" si="86"/>
        <v>OK</v>
      </c>
      <c r="L1358" s="24" t="str">
        <f t="shared" si="87"/>
        <v>Revisar</v>
      </c>
    </row>
    <row r="1359" spans="1:12" ht="18" customHeight="1" x14ac:dyDescent="0.3">
      <c r="A1359" s="18" t="s">
        <v>2765</v>
      </c>
      <c r="B1359" s="5" t="s">
        <v>2766</v>
      </c>
      <c r="C1359" s="18" t="s">
        <v>59</v>
      </c>
      <c r="D1359" s="18" t="s">
        <v>92</v>
      </c>
      <c r="E1359" s="6">
        <v>3100000</v>
      </c>
      <c r="F1359" s="19">
        <v>0.56999999999999995</v>
      </c>
      <c r="G1359" s="18">
        <v>62</v>
      </c>
      <c r="H1359" s="20">
        <v>8.3000000000000007</v>
      </c>
      <c r="I1359" s="21" t="str">
        <f t="shared" si="84"/>
        <v>No cumple</v>
      </c>
      <c r="J1359" s="22" t="str">
        <f t="shared" si="85"/>
        <v>Sin bono</v>
      </c>
      <c r="K1359" s="23" t="str">
        <f t="shared" si="86"/>
        <v>ALERTA</v>
      </c>
      <c r="L1359" s="24" t="str">
        <f t="shared" si="87"/>
        <v>Revisar</v>
      </c>
    </row>
    <row r="1360" spans="1:12" ht="18" customHeight="1" x14ac:dyDescent="0.3">
      <c r="A1360" s="25" t="s">
        <v>2767</v>
      </c>
      <c r="B1360" s="8" t="s">
        <v>2768</v>
      </c>
      <c r="C1360" s="25" t="s">
        <v>59</v>
      </c>
      <c r="D1360" s="25" t="s">
        <v>105</v>
      </c>
      <c r="E1360" s="9">
        <v>12000000</v>
      </c>
      <c r="F1360" s="26">
        <v>0.59</v>
      </c>
      <c r="G1360" s="25">
        <v>77</v>
      </c>
      <c r="H1360" s="27">
        <v>2.9</v>
      </c>
      <c r="I1360" s="21" t="str">
        <f t="shared" si="84"/>
        <v>No cumple</v>
      </c>
      <c r="J1360" s="22" t="str">
        <f t="shared" si="85"/>
        <v>Sin bono</v>
      </c>
      <c r="K1360" s="23" t="str">
        <f t="shared" si="86"/>
        <v>ALERTA</v>
      </c>
      <c r="L1360" s="24" t="str">
        <f t="shared" si="87"/>
        <v>Revisar</v>
      </c>
    </row>
    <row r="1361" spans="1:12" ht="18" customHeight="1" x14ac:dyDescent="0.3">
      <c r="A1361" s="18" t="s">
        <v>2769</v>
      </c>
      <c r="B1361" s="5" t="s">
        <v>2770</v>
      </c>
      <c r="C1361" s="18" t="s">
        <v>77</v>
      </c>
      <c r="D1361" s="18" t="s">
        <v>114</v>
      </c>
      <c r="E1361" s="6">
        <v>11100000</v>
      </c>
      <c r="F1361" s="19">
        <v>0.5</v>
      </c>
      <c r="G1361" s="18">
        <v>38</v>
      </c>
      <c r="H1361" s="20">
        <v>4.5</v>
      </c>
      <c r="I1361" s="21" t="str">
        <f t="shared" si="84"/>
        <v>No cumple</v>
      </c>
      <c r="J1361" s="22" t="str">
        <f t="shared" si="85"/>
        <v>Sin bono</v>
      </c>
      <c r="K1361" s="23" t="str">
        <f t="shared" si="86"/>
        <v>ALERTA</v>
      </c>
      <c r="L1361" s="24" t="str">
        <f t="shared" si="87"/>
        <v>Revisar</v>
      </c>
    </row>
    <row r="1362" spans="1:12" ht="18" customHeight="1" x14ac:dyDescent="0.3">
      <c r="A1362" s="25" t="s">
        <v>2771</v>
      </c>
      <c r="B1362" s="8" t="s">
        <v>2772</v>
      </c>
      <c r="C1362" s="25" t="s">
        <v>74</v>
      </c>
      <c r="D1362" s="25" t="s">
        <v>105</v>
      </c>
      <c r="E1362" s="9">
        <v>7100000</v>
      </c>
      <c r="F1362" s="26">
        <v>0.62</v>
      </c>
      <c r="G1362" s="25">
        <v>77</v>
      </c>
      <c r="H1362" s="27">
        <v>10.3</v>
      </c>
      <c r="I1362" s="21" t="str">
        <f t="shared" si="84"/>
        <v>No cumple</v>
      </c>
      <c r="J1362" s="22" t="str">
        <f t="shared" si="85"/>
        <v>Sin bono</v>
      </c>
      <c r="K1362" s="23" t="str">
        <f t="shared" si="86"/>
        <v>OK</v>
      </c>
      <c r="L1362" s="24" t="str">
        <f t="shared" si="87"/>
        <v>Revisar</v>
      </c>
    </row>
    <row r="1363" spans="1:12" ht="18" customHeight="1" x14ac:dyDescent="0.3">
      <c r="A1363" s="18" t="s">
        <v>2773</v>
      </c>
      <c r="B1363" s="5" t="s">
        <v>2774</v>
      </c>
      <c r="C1363" s="18" t="s">
        <v>77</v>
      </c>
      <c r="D1363" s="18" t="s">
        <v>64</v>
      </c>
      <c r="E1363" s="6">
        <v>4100000</v>
      </c>
      <c r="F1363" s="19">
        <v>0.79</v>
      </c>
      <c r="G1363" s="18">
        <v>57</v>
      </c>
      <c r="H1363" s="20">
        <v>0.1</v>
      </c>
      <c r="I1363" s="21" t="str">
        <f t="shared" si="84"/>
        <v>No cumple</v>
      </c>
      <c r="J1363" s="22" t="str">
        <f t="shared" si="85"/>
        <v>Sin bono</v>
      </c>
      <c r="K1363" s="23" t="str">
        <f t="shared" si="86"/>
        <v>OK</v>
      </c>
      <c r="L1363" s="24" t="str">
        <f t="shared" si="87"/>
        <v>Revisar</v>
      </c>
    </row>
    <row r="1364" spans="1:12" ht="18" customHeight="1" x14ac:dyDescent="0.3">
      <c r="A1364" s="25" t="s">
        <v>2775</v>
      </c>
      <c r="B1364" s="8" t="s">
        <v>2776</v>
      </c>
      <c r="C1364" s="25" t="s">
        <v>74</v>
      </c>
      <c r="D1364" s="25" t="s">
        <v>64</v>
      </c>
      <c r="E1364" s="9">
        <v>11300000</v>
      </c>
      <c r="F1364" s="26">
        <v>0.98</v>
      </c>
      <c r="G1364" s="25">
        <v>67</v>
      </c>
      <c r="H1364" s="27">
        <v>11.4</v>
      </c>
      <c r="I1364" s="21" t="str">
        <f t="shared" si="84"/>
        <v>Cumple</v>
      </c>
      <c r="J1364" s="22" t="str">
        <f t="shared" si="85"/>
        <v>Sin bono</v>
      </c>
      <c r="K1364" s="23" t="str">
        <f t="shared" si="86"/>
        <v>OK</v>
      </c>
      <c r="L1364" s="24" t="str">
        <f t="shared" si="87"/>
        <v>Revisar</v>
      </c>
    </row>
    <row r="1365" spans="1:12" ht="18" customHeight="1" x14ac:dyDescent="0.3">
      <c r="A1365" s="18" t="s">
        <v>2777</v>
      </c>
      <c r="B1365" s="5" t="s">
        <v>2778</v>
      </c>
      <c r="C1365" s="18" t="s">
        <v>67</v>
      </c>
      <c r="D1365" s="18" t="s">
        <v>60</v>
      </c>
      <c r="E1365" s="6">
        <v>7100000</v>
      </c>
      <c r="F1365" s="19">
        <v>0.86</v>
      </c>
      <c r="G1365" s="18">
        <v>39</v>
      </c>
      <c r="H1365" s="20">
        <v>15.6</v>
      </c>
      <c r="I1365" s="21" t="str">
        <f t="shared" si="84"/>
        <v>Cumple</v>
      </c>
      <c r="J1365" s="22" t="str">
        <f t="shared" si="85"/>
        <v>Sin bono</v>
      </c>
      <c r="K1365" s="23" t="str">
        <f t="shared" si="86"/>
        <v>ALERTA</v>
      </c>
      <c r="L1365" s="24" t="str">
        <f t="shared" si="87"/>
        <v>Revisar</v>
      </c>
    </row>
    <row r="1366" spans="1:12" ht="18" customHeight="1" x14ac:dyDescent="0.3">
      <c r="A1366" s="25" t="s">
        <v>2779</v>
      </c>
      <c r="B1366" s="8" t="s">
        <v>2780</v>
      </c>
      <c r="C1366" s="25" t="s">
        <v>91</v>
      </c>
      <c r="D1366" s="25" t="s">
        <v>68</v>
      </c>
      <c r="E1366" s="9">
        <v>7900000</v>
      </c>
      <c r="F1366" s="26">
        <v>0.57999999999999996</v>
      </c>
      <c r="G1366" s="25">
        <v>85</v>
      </c>
      <c r="H1366" s="27">
        <v>9</v>
      </c>
      <c r="I1366" s="21" t="str">
        <f t="shared" si="84"/>
        <v>No cumple</v>
      </c>
      <c r="J1366" s="22" t="str">
        <f t="shared" si="85"/>
        <v>Sin bono</v>
      </c>
      <c r="K1366" s="23" t="str">
        <f t="shared" si="86"/>
        <v>ALERTA</v>
      </c>
      <c r="L1366" s="24" t="str">
        <f t="shared" si="87"/>
        <v>Revisar</v>
      </c>
    </row>
    <row r="1367" spans="1:12" ht="18" customHeight="1" x14ac:dyDescent="0.3">
      <c r="A1367" s="18" t="s">
        <v>2781</v>
      </c>
      <c r="B1367" s="5" t="s">
        <v>2782</v>
      </c>
      <c r="C1367" s="18" t="s">
        <v>74</v>
      </c>
      <c r="D1367" s="18" t="s">
        <v>78</v>
      </c>
      <c r="E1367" s="6">
        <v>7900000</v>
      </c>
      <c r="F1367" s="19">
        <v>0.72</v>
      </c>
      <c r="G1367" s="18">
        <v>84</v>
      </c>
      <c r="H1367" s="20">
        <v>14.3</v>
      </c>
      <c r="I1367" s="21" t="str">
        <f t="shared" si="84"/>
        <v>No cumple</v>
      </c>
      <c r="J1367" s="22" t="str">
        <f t="shared" si="85"/>
        <v>Sin bono</v>
      </c>
      <c r="K1367" s="23" t="str">
        <f t="shared" si="86"/>
        <v>OK</v>
      </c>
      <c r="L1367" s="24" t="str">
        <f t="shared" si="87"/>
        <v>Revisar</v>
      </c>
    </row>
    <row r="1368" spans="1:12" ht="18" customHeight="1" x14ac:dyDescent="0.3">
      <c r="A1368" s="25" t="s">
        <v>2783</v>
      </c>
      <c r="B1368" s="8" t="s">
        <v>2784</v>
      </c>
      <c r="C1368" s="25" t="s">
        <v>91</v>
      </c>
      <c r="D1368" s="25" t="s">
        <v>88</v>
      </c>
      <c r="E1368" s="9">
        <v>9500000</v>
      </c>
      <c r="F1368" s="26">
        <v>0.55000000000000004</v>
      </c>
      <c r="G1368" s="25">
        <v>89</v>
      </c>
      <c r="H1368" s="27">
        <v>7.9</v>
      </c>
      <c r="I1368" s="21" t="str">
        <f t="shared" si="84"/>
        <v>No cumple</v>
      </c>
      <c r="J1368" s="22" t="str">
        <f t="shared" si="85"/>
        <v>Sin bono</v>
      </c>
      <c r="K1368" s="23" t="str">
        <f t="shared" si="86"/>
        <v>ALERTA</v>
      </c>
      <c r="L1368" s="24" t="str">
        <f t="shared" si="87"/>
        <v>Revisar</v>
      </c>
    </row>
    <row r="1369" spans="1:12" ht="18" customHeight="1" x14ac:dyDescent="0.3">
      <c r="A1369" s="18" t="s">
        <v>2785</v>
      </c>
      <c r="B1369" s="5" t="s">
        <v>2626</v>
      </c>
      <c r="C1369" s="18" t="s">
        <v>91</v>
      </c>
      <c r="D1369" s="18" t="s">
        <v>78</v>
      </c>
      <c r="E1369" s="6">
        <v>9900000</v>
      </c>
      <c r="F1369" s="19">
        <v>0.88</v>
      </c>
      <c r="G1369" s="18">
        <v>41</v>
      </c>
      <c r="H1369" s="20">
        <v>4.7</v>
      </c>
      <c r="I1369" s="21" t="str">
        <f t="shared" si="84"/>
        <v>Cumple</v>
      </c>
      <c r="J1369" s="22" t="str">
        <f t="shared" si="85"/>
        <v>Sin bono</v>
      </c>
      <c r="K1369" s="23" t="str">
        <f t="shared" si="86"/>
        <v>ALERTA</v>
      </c>
      <c r="L1369" s="24" t="str">
        <f t="shared" si="87"/>
        <v>Revisar</v>
      </c>
    </row>
    <row r="1370" spans="1:12" ht="18" customHeight="1" x14ac:dyDescent="0.3">
      <c r="A1370" s="25" t="s">
        <v>2786</v>
      </c>
      <c r="B1370" s="8" t="s">
        <v>2787</v>
      </c>
      <c r="C1370" s="25" t="s">
        <v>91</v>
      </c>
      <c r="D1370" s="25" t="s">
        <v>114</v>
      </c>
      <c r="E1370" s="9">
        <v>9900000</v>
      </c>
      <c r="F1370" s="26">
        <v>0.72</v>
      </c>
      <c r="G1370" s="25">
        <v>95</v>
      </c>
      <c r="H1370" s="27">
        <v>18</v>
      </c>
      <c r="I1370" s="21" t="str">
        <f t="shared" si="84"/>
        <v>No cumple</v>
      </c>
      <c r="J1370" s="22" t="str">
        <f t="shared" si="85"/>
        <v>Sin bono</v>
      </c>
      <c r="K1370" s="23" t="str">
        <f t="shared" si="86"/>
        <v>OK</v>
      </c>
      <c r="L1370" s="24" t="str">
        <f t="shared" si="87"/>
        <v>Revisar</v>
      </c>
    </row>
    <row r="1371" spans="1:12" ht="18" customHeight="1" x14ac:dyDescent="0.3">
      <c r="A1371" s="18" t="s">
        <v>2788</v>
      </c>
      <c r="B1371" s="5" t="s">
        <v>2789</v>
      </c>
      <c r="C1371" s="18" t="s">
        <v>74</v>
      </c>
      <c r="D1371" s="18" t="s">
        <v>64</v>
      </c>
      <c r="E1371" s="6">
        <v>11400000</v>
      </c>
      <c r="F1371" s="19">
        <v>0.56000000000000005</v>
      </c>
      <c r="G1371" s="18">
        <v>57</v>
      </c>
      <c r="H1371" s="20">
        <v>7.1</v>
      </c>
      <c r="I1371" s="21" t="str">
        <f t="shared" si="84"/>
        <v>No cumple</v>
      </c>
      <c r="J1371" s="22" t="str">
        <f t="shared" si="85"/>
        <v>Sin bono</v>
      </c>
      <c r="K1371" s="23" t="str">
        <f t="shared" si="86"/>
        <v>ALERTA</v>
      </c>
      <c r="L1371" s="24" t="str">
        <f t="shared" si="87"/>
        <v>Revisar</v>
      </c>
    </row>
    <row r="1372" spans="1:12" ht="18" customHeight="1" x14ac:dyDescent="0.3">
      <c r="A1372" s="25" t="s">
        <v>2790</v>
      </c>
      <c r="B1372" s="8" t="s">
        <v>2791</v>
      </c>
      <c r="C1372" s="25" t="s">
        <v>59</v>
      </c>
      <c r="D1372" s="25" t="s">
        <v>105</v>
      </c>
      <c r="E1372" s="9">
        <v>9700000</v>
      </c>
      <c r="F1372" s="26">
        <v>0.81</v>
      </c>
      <c r="G1372" s="25">
        <v>92</v>
      </c>
      <c r="H1372" s="27">
        <v>0.8</v>
      </c>
      <c r="I1372" s="21" t="str">
        <f t="shared" si="84"/>
        <v>Cumple</v>
      </c>
      <c r="J1372" s="22" t="str">
        <f t="shared" si="85"/>
        <v>BONO</v>
      </c>
      <c r="K1372" s="23" t="str">
        <f t="shared" si="86"/>
        <v>OK</v>
      </c>
      <c r="L1372" s="24" t="str">
        <f t="shared" si="87"/>
        <v>Bueno</v>
      </c>
    </row>
    <row r="1373" spans="1:12" ht="18" customHeight="1" x14ac:dyDescent="0.3">
      <c r="A1373" s="18" t="s">
        <v>2792</v>
      </c>
      <c r="B1373" s="5" t="s">
        <v>2793</v>
      </c>
      <c r="C1373" s="18" t="s">
        <v>81</v>
      </c>
      <c r="D1373" s="18" t="s">
        <v>92</v>
      </c>
      <c r="E1373" s="6">
        <v>3400000</v>
      </c>
      <c r="F1373" s="19">
        <v>0.48</v>
      </c>
      <c r="G1373" s="18">
        <v>90</v>
      </c>
      <c r="H1373" s="20">
        <v>12.4</v>
      </c>
      <c r="I1373" s="21" t="str">
        <f t="shared" si="84"/>
        <v>No cumple</v>
      </c>
      <c r="J1373" s="22" t="str">
        <f t="shared" si="85"/>
        <v>Sin bono</v>
      </c>
      <c r="K1373" s="23" t="str">
        <f t="shared" si="86"/>
        <v>ALERTA</v>
      </c>
      <c r="L1373" s="24" t="str">
        <f t="shared" si="87"/>
        <v>Revisar</v>
      </c>
    </row>
    <row r="1374" spans="1:12" ht="18" customHeight="1" x14ac:dyDescent="0.3">
      <c r="A1374" s="25" t="s">
        <v>2794</v>
      </c>
      <c r="B1374" s="8" t="s">
        <v>2795</v>
      </c>
      <c r="C1374" s="25" t="s">
        <v>71</v>
      </c>
      <c r="D1374" s="25" t="s">
        <v>92</v>
      </c>
      <c r="E1374" s="9">
        <v>11000000</v>
      </c>
      <c r="F1374" s="26">
        <v>0.57999999999999996</v>
      </c>
      <c r="G1374" s="25">
        <v>77</v>
      </c>
      <c r="H1374" s="27">
        <v>2.9</v>
      </c>
      <c r="I1374" s="21" t="str">
        <f t="shared" si="84"/>
        <v>No cumple</v>
      </c>
      <c r="J1374" s="22" t="str">
        <f t="shared" si="85"/>
        <v>Sin bono</v>
      </c>
      <c r="K1374" s="23" t="str">
        <f t="shared" si="86"/>
        <v>ALERTA</v>
      </c>
      <c r="L1374" s="24" t="str">
        <f t="shared" si="87"/>
        <v>Revisar</v>
      </c>
    </row>
    <row r="1375" spans="1:12" ht="18" customHeight="1" x14ac:dyDescent="0.3">
      <c r="A1375" s="18" t="s">
        <v>2796</v>
      </c>
      <c r="B1375" s="5" t="s">
        <v>2797</v>
      </c>
      <c r="C1375" s="18" t="s">
        <v>81</v>
      </c>
      <c r="D1375" s="18" t="s">
        <v>88</v>
      </c>
      <c r="E1375" s="6">
        <v>10000000</v>
      </c>
      <c r="F1375" s="19">
        <v>0.48</v>
      </c>
      <c r="G1375" s="18">
        <v>46</v>
      </c>
      <c r="H1375" s="20">
        <v>10.5</v>
      </c>
      <c r="I1375" s="21" t="str">
        <f t="shared" si="84"/>
        <v>No cumple</v>
      </c>
      <c r="J1375" s="22" t="str">
        <f t="shared" si="85"/>
        <v>Sin bono</v>
      </c>
      <c r="K1375" s="23" t="str">
        <f t="shared" si="86"/>
        <v>ALERTA</v>
      </c>
      <c r="L1375" s="24" t="str">
        <f t="shared" si="87"/>
        <v>Revisar</v>
      </c>
    </row>
    <row r="1376" spans="1:12" ht="18" customHeight="1" x14ac:dyDescent="0.3">
      <c r="A1376" s="25" t="s">
        <v>2798</v>
      </c>
      <c r="B1376" s="8" t="s">
        <v>2799</v>
      </c>
      <c r="C1376" s="25" t="s">
        <v>67</v>
      </c>
      <c r="D1376" s="25" t="s">
        <v>88</v>
      </c>
      <c r="E1376" s="9">
        <v>9800000</v>
      </c>
      <c r="F1376" s="26">
        <v>0.71</v>
      </c>
      <c r="G1376" s="25">
        <v>66</v>
      </c>
      <c r="H1376" s="27">
        <v>3.6</v>
      </c>
      <c r="I1376" s="21" t="str">
        <f t="shared" si="84"/>
        <v>No cumple</v>
      </c>
      <c r="J1376" s="22" t="str">
        <f t="shared" si="85"/>
        <v>Sin bono</v>
      </c>
      <c r="K1376" s="23" t="str">
        <f t="shared" si="86"/>
        <v>OK</v>
      </c>
      <c r="L1376" s="24" t="str">
        <f t="shared" si="87"/>
        <v>Revisar</v>
      </c>
    </row>
    <row r="1377" spans="1:12" ht="18" customHeight="1" x14ac:dyDescent="0.3">
      <c r="A1377" s="18" t="s">
        <v>2800</v>
      </c>
      <c r="B1377" s="5" t="s">
        <v>2801</v>
      </c>
      <c r="C1377" s="18" t="s">
        <v>63</v>
      </c>
      <c r="D1377" s="18" t="s">
        <v>105</v>
      </c>
      <c r="E1377" s="6">
        <v>11600000</v>
      </c>
      <c r="F1377" s="19">
        <v>0.77</v>
      </c>
      <c r="G1377" s="18">
        <v>98</v>
      </c>
      <c r="H1377" s="20">
        <v>13.2</v>
      </c>
      <c r="I1377" s="21" t="str">
        <f t="shared" si="84"/>
        <v>No cumple</v>
      </c>
      <c r="J1377" s="22" t="str">
        <f t="shared" si="85"/>
        <v>Sin bono</v>
      </c>
      <c r="K1377" s="23" t="str">
        <f t="shared" si="86"/>
        <v>OK</v>
      </c>
      <c r="L1377" s="24" t="str">
        <f t="shared" si="87"/>
        <v>Revisar</v>
      </c>
    </row>
    <row r="1378" spans="1:12" ht="18" customHeight="1" x14ac:dyDescent="0.3">
      <c r="A1378" s="25" t="s">
        <v>2802</v>
      </c>
      <c r="B1378" s="8" t="s">
        <v>2803</v>
      </c>
      <c r="C1378" s="25" t="s">
        <v>81</v>
      </c>
      <c r="D1378" s="25" t="s">
        <v>92</v>
      </c>
      <c r="E1378" s="9">
        <v>3300000</v>
      </c>
      <c r="F1378" s="26">
        <v>1</v>
      </c>
      <c r="G1378" s="25">
        <v>99</v>
      </c>
      <c r="H1378" s="27">
        <v>12.7</v>
      </c>
      <c r="I1378" s="21" t="str">
        <f t="shared" si="84"/>
        <v>Cumple</v>
      </c>
      <c r="J1378" s="22" t="str">
        <f t="shared" si="85"/>
        <v>BONO</v>
      </c>
      <c r="K1378" s="23" t="str">
        <f t="shared" si="86"/>
        <v>OK</v>
      </c>
      <c r="L1378" s="24" t="str">
        <f t="shared" si="87"/>
        <v>Excelente</v>
      </c>
    </row>
    <row r="1379" spans="1:12" ht="18" customHeight="1" x14ac:dyDescent="0.3">
      <c r="A1379" s="18" t="s">
        <v>2804</v>
      </c>
      <c r="B1379" s="5" t="s">
        <v>2805</v>
      </c>
      <c r="C1379" s="18" t="s">
        <v>59</v>
      </c>
      <c r="D1379" s="18" t="s">
        <v>60</v>
      </c>
      <c r="E1379" s="6">
        <v>4300000</v>
      </c>
      <c r="F1379" s="19">
        <v>0.93</v>
      </c>
      <c r="G1379" s="18">
        <v>58</v>
      </c>
      <c r="H1379" s="20">
        <v>12.8</v>
      </c>
      <c r="I1379" s="21" t="str">
        <f t="shared" si="84"/>
        <v>Cumple</v>
      </c>
      <c r="J1379" s="22" t="str">
        <f t="shared" si="85"/>
        <v>Sin bono</v>
      </c>
      <c r="K1379" s="23" t="str">
        <f t="shared" si="86"/>
        <v>OK</v>
      </c>
      <c r="L1379" s="24" t="str">
        <f t="shared" si="87"/>
        <v>Revisar</v>
      </c>
    </row>
    <row r="1380" spans="1:12" ht="18" customHeight="1" x14ac:dyDescent="0.3">
      <c r="A1380" s="25" t="s">
        <v>2806</v>
      </c>
      <c r="B1380" s="8" t="s">
        <v>2807</v>
      </c>
      <c r="C1380" s="25" t="s">
        <v>81</v>
      </c>
      <c r="D1380" s="25" t="s">
        <v>105</v>
      </c>
      <c r="E1380" s="9">
        <v>11900000</v>
      </c>
      <c r="F1380" s="26">
        <v>0.65</v>
      </c>
      <c r="G1380" s="25">
        <v>97</v>
      </c>
      <c r="H1380" s="27">
        <v>5.5</v>
      </c>
      <c r="I1380" s="21" t="str">
        <f t="shared" si="84"/>
        <v>No cumple</v>
      </c>
      <c r="J1380" s="22" t="str">
        <f t="shared" si="85"/>
        <v>Sin bono</v>
      </c>
      <c r="K1380" s="23" t="str">
        <f t="shared" si="86"/>
        <v>OK</v>
      </c>
      <c r="L1380" s="24" t="str">
        <f t="shared" si="87"/>
        <v>Revisar</v>
      </c>
    </row>
    <row r="1381" spans="1:12" ht="18" customHeight="1" x14ac:dyDescent="0.3">
      <c r="A1381" s="18" t="s">
        <v>2808</v>
      </c>
      <c r="B1381" s="5" t="s">
        <v>2809</v>
      </c>
      <c r="C1381" s="18" t="s">
        <v>91</v>
      </c>
      <c r="D1381" s="18" t="s">
        <v>64</v>
      </c>
      <c r="E1381" s="6">
        <v>8700000</v>
      </c>
      <c r="F1381" s="19">
        <v>0.73</v>
      </c>
      <c r="G1381" s="18">
        <v>47</v>
      </c>
      <c r="H1381" s="20">
        <v>8.3000000000000007</v>
      </c>
      <c r="I1381" s="21" t="str">
        <f t="shared" si="84"/>
        <v>No cumple</v>
      </c>
      <c r="J1381" s="22" t="str">
        <f t="shared" si="85"/>
        <v>Sin bono</v>
      </c>
      <c r="K1381" s="23" t="str">
        <f t="shared" si="86"/>
        <v>ALERTA</v>
      </c>
      <c r="L1381" s="24" t="str">
        <f t="shared" si="87"/>
        <v>Revisar</v>
      </c>
    </row>
    <row r="1382" spans="1:12" ht="18" customHeight="1" x14ac:dyDescent="0.3">
      <c r="A1382" s="25" t="s">
        <v>2810</v>
      </c>
      <c r="B1382" s="8" t="s">
        <v>2811</v>
      </c>
      <c r="C1382" s="25" t="s">
        <v>63</v>
      </c>
      <c r="D1382" s="25" t="s">
        <v>92</v>
      </c>
      <c r="E1382" s="9">
        <v>8500000</v>
      </c>
      <c r="F1382" s="26">
        <v>0.6</v>
      </c>
      <c r="G1382" s="25">
        <v>68</v>
      </c>
      <c r="H1382" s="27">
        <v>6.7</v>
      </c>
      <c r="I1382" s="21" t="str">
        <f t="shared" si="84"/>
        <v>No cumple</v>
      </c>
      <c r="J1382" s="22" t="str">
        <f t="shared" si="85"/>
        <v>Sin bono</v>
      </c>
      <c r="K1382" s="23" t="str">
        <f t="shared" si="86"/>
        <v>OK</v>
      </c>
      <c r="L1382" s="24" t="str">
        <f t="shared" si="87"/>
        <v>Revisar</v>
      </c>
    </row>
    <row r="1383" spans="1:12" ht="18" customHeight="1" x14ac:dyDescent="0.3">
      <c r="A1383" s="18" t="s">
        <v>2812</v>
      </c>
      <c r="B1383" s="5" t="s">
        <v>2813</v>
      </c>
      <c r="C1383" s="18" t="s">
        <v>77</v>
      </c>
      <c r="D1383" s="18" t="s">
        <v>88</v>
      </c>
      <c r="E1383" s="6">
        <v>4000000</v>
      </c>
      <c r="F1383" s="19">
        <v>0.8</v>
      </c>
      <c r="G1383" s="18">
        <v>44</v>
      </c>
      <c r="H1383" s="20">
        <v>5.0999999999999996</v>
      </c>
      <c r="I1383" s="21" t="str">
        <f t="shared" si="84"/>
        <v>Cumple</v>
      </c>
      <c r="J1383" s="22" t="str">
        <f t="shared" si="85"/>
        <v>Sin bono</v>
      </c>
      <c r="K1383" s="23" t="str">
        <f t="shared" si="86"/>
        <v>ALERTA</v>
      </c>
      <c r="L1383" s="24" t="str">
        <f t="shared" si="87"/>
        <v>Revisar</v>
      </c>
    </row>
    <row r="1384" spans="1:12" ht="18" customHeight="1" x14ac:dyDescent="0.3">
      <c r="A1384" s="25" t="s">
        <v>2814</v>
      </c>
      <c r="B1384" s="8" t="s">
        <v>2815</v>
      </c>
      <c r="C1384" s="25" t="s">
        <v>59</v>
      </c>
      <c r="D1384" s="25" t="s">
        <v>114</v>
      </c>
      <c r="E1384" s="9">
        <v>3600000</v>
      </c>
      <c r="F1384" s="26">
        <v>0.48</v>
      </c>
      <c r="G1384" s="25">
        <v>84</v>
      </c>
      <c r="H1384" s="27">
        <v>5.6</v>
      </c>
      <c r="I1384" s="21" t="str">
        <f t="shared" si="84"/>
        <v>No cumple</v>
      </c>
      <c r="J1384" s="22" t="str">
        <f t="shared" si="85"/>
        <v>Sin bono</v>
      </c>
      <c r="K1384" s="23" t="str">
        <f t="shared" si="86"/>
        <v>ALERTA</v>
      </c>
      <c r="L1384" s="24" t="str">
        <f t="shared" si="87"/>
        <v>Revisar</v>
      </c>
    </row>
    <row r="1385" spans="1:12" ht="18" customHeight="1" x14ac:dyDescent="0.3">
      <c r="A1385" s="18" t="s">
        <v>2816</v>
      </c>
      <c r="B1385" s="5" t="s">
        <v>2817</v>
      </c>
      <c r="C1385" s="18" t="s">
        <v>81</v>
      </c>
      <c r="D1385" s="18" t="s">
        <v>92</v>
      </c>
      <c r="E1385" s="6">
        <v>7700000</v>
      </c>
      <c r="F1385" s="19">
        <v>0.62</v>
      </c>
      <c r="G1385" s="18">
        <v>65</v>
      </c>
      <c r="H1385" s="20">
        <v>6.4</v>
      </c>
      <c r="I1385" s="21" t="str">
        <f t="shared" si="84"/>
        <v>No cumple</v>
      </c>
      <c r="J1385" s="22" t="str">
        <f t="shared" si="85"/>
        <v>Sin bono</v>
      </c>
      <c r="K1385" s="23" t="str">
        <f t="shared" si="86"/>
        <v>OK</v>
      </c>
      <c r="L1385" s="24" t="str">
        <f t="shared" si="87"/>
        <v>Revisar</v>
      </c>
    </row>
    <row r="1386" spans="1:12" ht="18" customHeight="1" x14ac:dyDescent="0.3">
      <c r="A1386" s="25" t="s">
        <v>2818</v>
      </c>
      <c r="B1386" s="8" t="s">
        <v>2819</v>
      </c>
      <c r="C1386" s="25" t="s">
        <v>74</v>
      </c>
      <c r="D1386" s="25" t="s">
        <v>78</v>
      </c>
      <c r="E1386" s="9">
        <v>9800000</v>
      </c>
      <c r="F1386" s="26">
        <v>0.7</v>
      </c>
      <c r="G1386" s="25">
        <v>48</v>
      </c>
      <c r="H1386" s="27">
        <v>10.1</v>
      </c>
      <c r="I1386" s="21" t="str">
        <f t="shared" si="84"/>
        <v>No cumple</v>
      </c>
      <c r="J1386" s="22" t="str">
        <f t="shared" si="85"/>
        <v>Sin bono</v>
      </c>
      <c r="K1386" s="23" t="str">
        <f t="shared" si="86"/>
        <v>ALERTA</v>
      </c>
      <c r="L1386" s="24" t="str">
        <f t="shared" si="87"/>
        <v>Revisar</v>
      </c>
    </row>
    <row r="1387" spans="1:12" ht="18" customHeight="1" x14ac:dyDescent="0.3">
      <c r="A1387" s="18" t="s">
        <v>2820</v>
      </c>
      <c r="B1387" s="5" t="s">
        <v>2821</v>
      </c>
      <c r="C1387" s="18" t="s">
        <v>59</v>
      </c>
      <c r="D1387" s="18" t="s">
        <v>64</v>
      </c>
      <c r="E1387" s="6">
        <v>2800000</v>
      </c>
      <c r="F1387" s="19">
        <v>0.5</v>
      </c>
      <c r="G1387" s="18">
        <v>47</v>
      </c>
      <c r="H1387" s="20">
        <v>1</v>
      </c>
      <c r="I1387" s="21" t="str">
        <f t="shared" si="84"/>
        <v>No cumple</v>
      </c>
      <c r="J1387" s="22" t="str">
        <f t="shared" si="85"/>
        <v>Sin bono</v>
      </c>
      <c r="K1387" s="23" t="str">
        <f t="shared" si="86"/>
        <v>ALERTA</v>
      </c>
      <c r="L1387" s="24" t="str">
        <f t="shared" si="87"/>
        <v>Revisar</v>
      </c>
    </row>
    <row r="1388" spans="1:12" ht="18" customHeight="1" x14ac:dyDescent="0.3">
      <c r="A1388" s="25" t="s">
        <v>2822</v>
      </c>
      <c r="B1388" s="8" t="s">
        <v>2823</v>
      </c>
      <c r="C1388" s="25" t="s">
        <v>67</v>
      </c>
      <c r="D1388" s="25" t="s">
        <v>92</v>
      </c>
      <c r="E1388" s="9">
        <v>9000000</v>
      </c>
      <c r="F1388" s="26">
        <v>0.72</v>
      </c>
      <c r="G1388" s="25">
        <v>30</v>
      </c>
      <c r="H1388" s="27">
        <v>10.5</v>
      </c>
      <c r="I1388" s="21" t="str">
        <f t="shared" si="84"/>
        <v>No cumple</v>
      </c>
      <c r="J1388" s="22" t="str">
        <f t="shared" si="85"/>
        <v>Sin bono</v>
      </c>
      <c r="K1388" s="23" t="str">
        <f t="shared" si="86"/>
        <v>ALERTA</v>
      </c>
      <c r="L1388" s="24" t="str">
        <f t="shared" si="87"/>
        <v>Revisar</v>
      </c>
    </row>
    <row r="1389" spans="1:12" ht="18" customHeight="1" x14ac:dyDescent="0.3">
      <c r="A1389" s="18" t="s">
        <v>2824</v>
      </c>
      <c r="B1389" s="5" t="s">
        <v>2825</v>
      </c>
      <c r="C1389" s="18" t="s">
        <v>59</v>
      </c>
      <c r="D1389" s="18" t="s">
        <v>92</v>
      </c>
      <c r="E1389" s="6">
        <v>6100000</v>
      </c>
      <c r="F1389" s="19">
        <v>0.53</v>
      </c>
      <c r="G1389" s="18">
        <v>100</v>
      </c>
      <c r="H1389" s="20">
        <v>12.6</v>
      </c>
      <c r="I1389" s="21" t="str">
        <f t="shared" si="84"/>
        <v>No cumple</v>
      </c>
      <c r="J1389" s="22" t="str">
        <f t="shared" si="85"/>
        <v>Sin bono</v>
      </c>
      <c r="K1389" s="23" t="str">
        <f t="shared" si="86"/>
        <v>ALERTA</v>
      </c>
      <c r="L1389" s="24" t="str">
        <f t="shared" si="87"/>
        <v>Revisar</v>
      </c>
    </row>
    <row r="1390" spans="1:12" ht="18" customHeight="1" x14ac:dyDescent="0.3">
      <c r="A1390" s="25" t="s">
        <v>2826</v>
      </c>
      <c r="B1390" s="8" t="s">
        <v>2827</v>
      </c>
      <c r="C1390" s="25" t="s">
        <v>59</v>
      </c>
      <c r="D1390" s="25" t="s">
        <v>114</v>
      </c>
      <c r="E1390" s="9">
        <v>9000000</v>
      </c>
      <c r="F1390" s="26">
        <v>0.55000000000000004</v>
      </c>
      <c r="G1390" s="25">
        <v>38</v>
      </c>
      <c r="H1390" s="27">
        <v>8</v>
      </c>
      <c r="I1390" s="21" t="str">
        <f t="shared" si="84"/>
        <v>No cumple</v>
      </c>
      <c r="J1390" s="22" t="str">
        <f t="shared" si="85"/>
        <v>Sin bono</v>
      </c>
      <c r="K1390" s="23" t="str">
        <f t="shared" si="86"/>
        <v>ALERTA</v>
      </c>
      <c r="L1390" s="24" t="str">
        <f t="shared" si="87"/>
        <v>Revisar</v>
      </c>
    </row>
    <row r="1391" spans="1:12" ht="18" customHeight="1" x14ac:dyDescent="0.3">
      <c r="A1391" s="18" t="s">
        <v>2828</v>
      </c>
      <c r="B1391" s="5" t="s">
        <v>2829</v>
      </c>
      <c r="C1391" s="18" t="s">
        <v>59</v>
      </c>
      <c r="D1391" s="18" t="s">
        <v>114</v>
      </c>
      <c r="E1391" s="6">
        <v>4600000</v>
      </c>
      <c r="F1391" s="19">
        <v>0.6</v>
      </c>
      <c r="G1391" s="18">
        <v>98</v>
      </c>
      <c r="H1391" s="20">
        <v>12</v>
      </c>
      <c r="I1391" s="21" t="str">
        <f t="shared" si="84"/>
        <v>No cumple</v>
      </c>
      <c r="J1391" s="22" t="str">
        <f t="shared" si="85"/>
        <v>Sin bono</v>
      </c>
      <c r="K1391" s="23" t="str">
        <f t="shared" si="86"/>
        <v>OK</v>
      </c>
      <c r="L1391" s="24" t="str">
        <f t="shared" si="87"/>
        <v>Revisar</v>
      </c>
    </row>
    <row r="1392" spans="1:12" ht="18" customHeight="1" x14ac:dyDescent="0.3">
      <c r="A1392" s="25" t="s">
        <v>2830</v>
      </c>
      <c r="B1392" s="8" t="s">
        <v>2831</v>
      </c>
      <c r="C1392" s="25" t="s">
        <v>77</v>
      </c>
      <c r="D1392" s="25" t="s">
        <v>60</v>
      </c>
      <c r="E1392" s="9">
        <v>9700000</v>
      </c>
      <c r="F1392" s="26">
        <v>0.74</v>
      </c>
      <c r="G1392" s="25">
        <v>71</v>
      </c>
      <c r="H1392" s="27">
        <v>0.3</v>
      </c>
      <c r="I1392" s="21" t="str">
        <f t="shared" si="84"/>
        <v>No cumple</v>
      </c>
      <c r="J1392" s="22" t="str">
        <f t="shared" si="85"/>
        <v>Sin bono</v>
      </c>
      <c r="K1392" s="23" t="str">
        <f t="shared" si="86"/>
        <v>OK</v>
      </c>
      <c r="L1392" s="24" t="str">
        <f t="shared" si="87"/>
        <v>Revisar</v>
      </c>
    </row>
    <row r="1393" spans="1:12" ht="18" customHeight="1" x14ac:dyDescent="0.3">
      <c r="A1393" s="18" t="s">
        <v>2832</v>
      </c>
      <c r="B1393" s="5" t="s">
        <v>2833</v>
      </c>
      <c r="C1393" s="18" t="s">
        <v>67</v>
      </c>
      <c r="D1393" s="18" t="s">
        <v>92</v>
      </c>
      <c r="E1393" s="6">
        <v>7900000</v>
      </c>
      <c r="F1393" s="19">
        <v>0.52</v>
      </c>
      <c r="G1393" s="18">
        <v>36</v>
      </c>
      <c r="H1393" s="20">
        <v>6</v>
      </c>
      <c r="I1393" s="21" t="str">
        <f t="shared" si="84"/>
        <v>No cumple</v>
      </c>
      <c r="J1393" s="22" t="str">
        <f t="shared" si="85"/>
        <v>Sin bono</v>
      </c>
      <c r="K1393" s="23" t="str">
        <f t="shared" si="86"/>
        <v>ALERTA</v>
      </c>
      <c r="L1393" s="24" t="str">
        <f t="shared" si="87"/>
        <v>Revisar</v>
      </c>
    </row>
    <row r="1394" spans="1:12" ht="18" customHeight="1" x14ac:dyDescent="0.3">
      <c r="A1394" s="25" t="s">
        <v>2834</v>
      </c>
      <c r="B1394" s="8" t="s">
        <v>2835</v>
      </c>
      <c r="C1394" s="25" t="s">
        <v>71</v>
      </c>
      <c r="D1394" s="25" t="s">
        <v>78</v>
      </c>
      <c r="E1394" s="9">
        <v>5800000</v>
      </c>
      <c r="F1394" s="26">
        <v>0.8</v>
      </c>
      <c r="G1394" s="25">
        <v>98</v>
      </c>
      <c r="H1394" s="27">
        <v>12.8</v>
      </c>
      <c r="I1394" s="21" t="str">
        <f t="shared" si="84"/>
        <v>Cumple</v>
      </c>
      <c r="J1394" s="22" t="str">
        <f t="shared" si="85"/>
        <v>BONO</v>
      </c>
      <c r="K1394" s="23" t="str">
        <f t="shared" si="86"/>
        <v>OK</v>
      </c>
      <c r="L1394" s="24" t="str">
        <f t="shared" si="87"/>
        <v>Bueno</v>
      </c>
    </row>
    <row r="1395" spans="1:12" ht="18" customHeight="1" x14ac:dyDescent="0.3">
      <c r="A1395" s="18" t="s">
        <v>2836</v>
      </c>
      <c r="B1395" s="5" t="s">
        <v>2837</v>
      </c>
      <c r="C1395" s="18" t="s">
        <v>71</v>
      </c>
      <c r="D1395" s="18" t="s">
        <v>114</v>
      </c>
      <c r="E1395" s="6">
        <v>8400000</v>
      </c>
      <c r="F1395" s="19">
        <v>0.76</v>
      </c>
      <c r="G1395" s="18">
        <v>67</v>
      </c>
      <c r="H1395" s="20">
        <v>14.6</v>
      </c>
      <c r="I1395" s="21" t="str">
        <f t="shared" si="84"/>
        <v>No cumple</v>
      </c>
      <c r="J1395" s="22" t="str">
        <f t="shared" si="85"/>
        <v>Sin bono</v>
      </c>
      <c r="K1395" s="23" t="str">
        <f t="shared" si="86"/>
        <v>OK</v>
      </c>
      <c r="L1395" s="24" t="str">
        <f t="shared" si="87"/>
        <v>Revisar</v>
      </c>
    </row>
    <row r="1396" spans="1:12" ht="18" customHeight="1" x14ac:dyDescent="0.3">
      <c r="A1396" s="25" t="s">
        <v>2838</v>
      </c>
      <c r="B1396" s="8" t="s">
        <v>2839</v>
      </c>
      <c r="C1396" s="25" t="s">
        <v>67</v>
      </c>
      <c r="D1396" s="25" t="s">
        <v>92</v>
      </c>
      <c r="E1396" s="9">
        <v>12000000</v>
      </c>
      <c r="F1396" s="26">
        <v>0.72</v>
      </c>
      <c r="G1396" s="25">
        <v>39</v>
      </c>
      <c r="H1396" s="27">
        <v>5.7</v>
      </c>
      <c r="I1396" s="21" t="str">
        <f t="shared" si="84"/>
        <v>No cumple</v>
      </c>
      <c r="J1396" s="22" t="str">
        <f t="shared" si="85"/>
        <v>Sin bono</v>
      </c>
      <c r="K1396" s="23" t="str">
        <f t="shared" si="86"/>
        <v>ALERTA</v>
      </c>
      <c r="L1396" s="24" t="str">
        <f t="shared" si="87"/>
        <v>Revisar</v>
      </c>
    </row>
    <row r="1397" spans="1:12" ht="18" customHeight="1" x14ac:dyDescent="0.3">
      <c r="A1397" s="18" t="s">
        <v>2840</v>
      </c>
      <c r="B1397" s="5" t="s">
        <v>2841</v>
      </c>
      <c r="C1397" s="18" t="s">
        <v>71</v>
      </c>
      <c r="D1397" s="18" t="s">
        <v>60</v>
      </c>
      <c r="E1397" s="6">
        <v>10800000</v>
      </c>
      <c r="F1397" s="19">
        <v>0.6</v>
      </c>
      <c r="G1397" s="18">
        <v>40</v>
      </c>
      <c r="H1397" s="20">
        <v>17.5</v>
      </c>
      <c r="I1397" s="21" t="str">
        <f t="shared" si="84"/>
        <v>No cumple</v>
      </c>
      <c r="J1397" s="22" t="str">
        <f t="shared" si="85"/>
        <v>Sin bono</v>
      </c>
      <c r="K1397" s="23" t="str">
        <f t="shared" si="86"/>
        <v>ALERTA</v>
      </c>
      <c r="L1397" s="24" t="str">
        <f t="shared" si="87"/>
        <v>Revisar</v>
      </c>
    </row>
    <row r="1398" spans="1:12" ht="18" customHeight="1" x14ac:dyDescent="0.3">
      <c r="A1398" s="25" t="s">
        <v>2842</v>
      </c>
      <c r="B1398" s="8" t="s">
        <v>2843</v>
      </c>
      <c r="C1398" s="25" t="s">
        <v>71</v>
      </c>
      <c r="D1398" s="25" t="s">
        <v>64</v>
      </c>
      <c r="E1398" s="9">
        <v>8200000</v>
      </c>
      <c r="F1398" s="26">
        <v>0.69</v>
      </c>
      <c r="G1398" s="25">
        <v>87</v>
      </c>
      <c r="H1398" s="27">
        <v>1.5</v>
      </c>
      <c r="I1398" s="21" t="str">
        <f t="shared" si="84"/>
        <v>No cumple</v>
      </c>
      <c r="J1398" s="22" t="str">
        <f t="shared" si="85"/>
        <v>Sin bono</v>
      </c>
      <c r="K1398" s="23" t="str">
        <f t="shared" si="86"/>
        <v>OK</v>
      </c>
      <c r="L1398" s="24" t="str">
        <f t="shared" si="87"/>
        <v>Revisar</v>
      </c>
    </row>
    <row r="1399" spans="1:12" ht="18" customHeight="1" x14ac:dyDescent="0.3">
      <c r="A1399" s="18" t="s">
        <v>2844</v>
      </c>
      <c r="B1399" s="5" t="s">
        <v>2845</v>
      </c>
      <c r="C1399" s="18" t="s">
        <v>67</v>
      </c>
      <c r="D1399" s="18" t="s">
        <v>68</v>
      </c>
      <c r="E1399" s="6">
        <v>7100000</v>
      </c>
      <c r="F1399" s="19">
        <v>0.63</v>
      </c>
      <c r="G1399" s="18">
        <v>47</v>
      </c>
      <c r="H1399" s="20">
        <v>4.9000000000000004</v>
      </c>
      <c r="I1399" s="21" t="str">
        <f t="shared" si="84"/>
        <v>No cumple</v>
      </c>
      <c r="J1399" s="22" t="str">
        <f t="shared" si="85"/>
        <v>Sin bono</v>
      </c>
      <c r="K1399" s="23" t="str">
        <f t="shared" si="86"/>
        <v>ALERTA</v>
      </c>
      <c r="L1399" s="24" t="str">
        <f t="shared" si="87"/>
        <v>Revisar</v>
      </c>
    </row>
    <row r="1400" spans="1:12" ht="18" customHeight="1" x14ac:dyDescent="0.3">
      <c r="A1400" s="25" t="s">
        <v>2846</v>
      </c>
      <c r="B1400" s="8" t="s">
        <v>2847</v>
      </c>
      <c r="C1400" s="25" t="s">
        <v>67</v>
      </c>
      <c r="D1400" s="25" t="s">
        <v>68</v>
      </c>
      <c r="E1400" s="9">
        <v>5400000</v>
      </c>
      <c r="F1400" s="26">
        <v>0.92</v>
      </c>
      <c r="G1400" s="25">
        <v>55</v>
      </c>
      <c r="H1400" s="27">
        <v>5</v>
      </c>
      <c r="I1400" s="21" t="str">
        <f t="shared" si="84"/>
        <v>Cumple</v>
      </c>
      <c r="J1400" s="22" t="str">
        <f t="shared" si="85"/>
        <v>Sin bono</v>
      </c>
      <c r="K1400" s="23" t="str">
        <f t="shared" si="86"/>
        <v>OK</v>
      </c>
      <c r="L1400" s="24" t="str">
        <f t="shared" si="87"/>
        <v>Revisar</v>
      </c>
    </row>
    <row r="1401" spans="1:12" ht="18" customHeight="1" x14ac:dyDescent="0.3">
      <c r="A1401" s="18" t="s">
        <v>2848</v>
      </c>
      <c r="B1401" s="5" t="s">
        <v>2849</v>
      </c>
      <c r="C1401" s="18" t="s">
        <v>81</v>
      </c>
      <c r="D1401" s="18" t="s">
        <v>60</v>
      </c>
      <c r="E1401" s="6">
        <v>4600000</v>
      </c>
      <c r="F1401" s="19">
        <v>0.6</v>
      </c>
      <c r="G1401" s="18">
        <v>66</v>
      </c>
      <c r="H1401" s="20">
        <v>6.4</v>
      </c>
      <c r="I1401" s="21" t="str">
        <f t="shared" si="84"/>
        <v>No cumple</v>
      </c>
      <c r="J1401" s="22" t="str">
        <f t="shared" si="85"/>
        <v>Sin bono</v>
      </c>
      <c r="K1401" s="23" t="str">
        <f t="shared" si="86"/>
        <v>OK</v>
      </c>
      <c r="L1401" s="24" t="str">
        <f t="shared" si="87"/>
        <v>Revisar</v>
      </c>
    </row>
    <row r="1402" spans="1:12" ht="18" customHeight="1" x14ac:dyDescent="0.3">
      <c r="A1402" s="25" t="s">
        <v>2850</v>
      </c>
      <c r="B1402" s="8" t="s">
        <v>2851</v>
      </c>
      <c r="C1402" s="25" t="s">
        <v>91</v>
      </c>
      <c r="D1402" s="25" t="s">
        <v>78</v>
      </c>
      <c r="E1402" s="9">
        <v>9200000</v>
      </c>
      <c r="F1402" s="26">
        <v>0.56000000000000005</v>
      </c>
      <c r="G1402" s="25">
        <v>97</v>
      </c>
      <c r="H1402" s="27">
        <v>5.6</v>
      </c>
      <c r="I1402" s="21" t="str">
        <f t="shared" si="84"/>
        <v>No cumple</v>
      </c>
      <c r="J1402" s="22" t="str">
        <f t="shared" si="85"/>
        <v>Sin bono</v>
      </c>
      <c r="K1402" s="23" t="str">
        <f t="shared" si="86"/>
        <v>ALERTA</v>
      </c>
      <c r="L1402" s="24" t="str">
        <f t="shared" si="87"/>
        <v>Revisar</v>
      </c>
    </row>
    <row r="1403" spans="1:12" ht="18" customHeight="1" x14ac:dyDescent="0.3">
      <c r="A1403" s="18" t="s">
        <v>2852</v>
      </c>
      <c r="B1403" s="5" t="s">
        <v>2853</v>
      </c>
      <c r="C1403" s="18" t="s">
        <v>77</v>
      </c>
      <c r="D1403" s="18" t="s">
        <v>88</v>
      </c>
      <c r="E1403" s="6">
        <v>11900000</v>
      </c>
      <c r="F1403" s="19">
        <v>0.52</v>
      </c>
      <c r="G1403" s="18">
        <v>39</v>
      </c>
      <c r="H1403" s="20">
        <v>2.8</v>
      </c>
      <c r="I1403" s="21" t="str">
        <f t="shared" si="84"/>
        <v>No cumple</v>
      </c>
      <c r="J1403" s="22" t="str">
        <f t="shared" si="85"/>
        <v>Sin bono</v>
      </c>
      <c r="K1403" s="23" t="str">
        <f t="shared" si="86"/>
        <v>ALERTA</v>
      </c>
      <c r="L1403" s="24" t="str">
        <f t="shared" si="87"/>
        <v>Revisar</v>
      </c>
    </row>
    <row r="1404" spans="1:12" ht="18" customHeight="1" x14ac:dyDescent="0.3">
      <c r="A1404" s="25" t="s">
        <v>2854</v>
      </c>
      <c r="B1404" s="8" t="s">
        <v>2855</v>
      </c>
      <c r="C1404" s="25" t="s">
        <v>59</v>
      </c>
      <c r="D1404" s="25" t="s">
        <v>64</v>
      </c>
      <c r="E1404" s="9">
        <v>10900000</v>
      </c>
      <c r="F1404" s="26">
        <v>0.53</v>
      </c>
      <c r="G1404" s="25">
        <v>42</v>
      </c>
      <c r="H1404" s="27">
        <v>0.6</v>
      </c>
      <c r="I1404" s="21" t="str">
        <f t="shared" si="84"/>
        <v>No cumple</v>
      </c>
      <c r="J1404" s="22" t="str">
        <f t="shared" si="85"/>
        <v>Sin bono</v>
      </c>
      <c r="K1404" s="23" t="str">
        <f t="shared" si="86"/>
        <v>ALERTA</v>
      </c>
      <c r="L1404" s="24" t="str">
        <f t="shared" si="87"/>
        <v>Revisar</v>
      </c>
    </row>
    <row r="1405" spans="1:12" ht="18" customHeight="1" x14ac:dyDescent="0.3">
      <c r="A1405" s="18" t="s">
        <v>2856</v>
      </c>
      <c r="B1405" s="5" t="s">
        <v>2857</v>
      </c>
      <c r="C1405" s="18" t="s">
        <v>71</v>
      </c>
      <c r="D1405" s="18" t="s">
        <v>68</v>
      </c>
      <c r="E1405" s="6">
        <v>4800000</v>
      </c>
      <c r="F1405" s="19">
        <v>0.69</v>
      </c>
      <c r="G1405" s="18">
        <v>70</v>
      </c>
      <c r="H1405" s="20">
        <v>8.3000000000000007</v>
      </c>
      <c r="I1405" s="21" t="str">
        <f t="shared" si="84"/>
        <v>No cumple</v>
      </c>
      <c r="J1405" s="22" t="str">
        <f t="shared" si="85"/>
        <v>Sin bono</v>
      </c>
      <c r="K1405" s="23" t="str">
        <f t="shared" si="86"/>
        <v>OK</v>
      </c>
      <c r="L1405" s="24" t="str">
        <f t="shared" si="87"/>
        <v>Revisar</v>
      </c>
    </row>
    <row r="1406" spans="1:12" ht="18" customHeight="1" x14ac:dyDescent="0.3">
      <c r="A1406" s="25" t="s">
        <v>2858</v>
      </c>
      <c r="B1406" s="8" t="s">
        <v>2859</v>
      </c>
      <c r="C1406" s="25" t="s">
        <v>63</v>
      </c>
      <c r="D1406" s="25" t="s">
        <v>88</v>
      </c>
      <c r="E1406" s="9">
        <v>8300000</v>
      </c>
      <c r="F1406" s="26">
        <v>0.56999999999999995</v>
      </c>
      <c r="G1406" s="25">
        <v>53</v>
      </c>
      <c r="H1406" s="27">
        <v>1.3</v>
      </c>
      <c r="I1406" s="21" t="str">
        <f t="shared" si="84"/>
        <v>No cumple</v>
      </c>
      <c r="J1406" s="22" t="str">
        <f t="shared" si="85"/>
        <v>Sin bono</v>
      </c>
      <c r="K1406" s="23" t="str">
        <f t="shared" si="86"/>
        <v>ALERTA</v>
      </c>
      <c r="L1406" s="24" t="str">
        <f t="shared" si="87"/>
        <v>Revisar</v>
      </c>
    </row>
    <row r="1407" spans="1:12" ht="18" customHeight="1" x14ac:dyDescent="0.3">
      <c r="A1407" s="18" t="s">
        <v>2860</v>
      </c>
      <c r="B1407" s="5" t="s">
        <v>2861</v>
      </c>
      <c r="C1407" s="18" t="s">
        <v>77</v>
      </c>
      <c r="D1407" s="18" t="s">
        <v>88</v>
      </c>
      <c r="E1407" s="6">
        <v>9600000</v>
      </c>
      <c r="F1407" s="19">
        <v>0.9</v>
      </c>
      <c r="G1407" s="18">
        <v>60</v>
      </c>
      <c r="H1407" s="20">
        <v>15.4</v>
      </c>
      <c r="I1407" s="21" t="str">
        <f t="shared" si="84"/>
        <v>Cumple</v>
      </c>
      <c r="J1407" s="22" t="str">
        <f t="shared" si="85"/>
        <v>Sin bono</v>
      </c>
      <c r="K1407" s="23" t="str">
        <f t="shared" si="86"/>
        <v>OK</v>
      </c>
      <c r="L1407" s="24" t="str">
        <f t="shared" si="87"/>
        <v>Revisar</v>
      </c>
    </row>
    <row r="1408" spans="1:12" ht="18" customHeight="1" x14ac:dyDescent="0.3">
      <c r="A1408" s="25" t="s">
        <v>2862</v>
      </c>
      <c r="B1408" s="8" t="s">
        <v>2863</v>
      </c>
      <c r="C1408" s="25" t="s">
        <v>74</v>
      </c>
      <c r="D1408" s="25" t="s">
        <v>92</v>
      </c>
      <c r="E1408" s="9">
        <v>10500000</v>
      </c>
      <c r="F1408" s="26">
        <v>0.72</v>
      </c>
      <c r="G1408" s="25">
        <v>75</v>
      </c>
      <c r="H1408" s="27">
        <v>17.3</v>
      </c>
      <c r="I1408" s="21" t="str">
        <f t="shared" si="84"/>
        <v>No cumple</v>
      </c>
      <c r="J1408" s="22" t="str">
        <f t="shared" si="85"/>
        <v>Sin bono</v>
      </c>
      <c r="K1408" s="23" t="str">
        <f t="shared" si="86"/>
        <v>OK</v>
      </c>
      <c r="L1408" s="24" t="str">
        <f t="shared" si="87"/>
        <v>Revisar</v>
      </c>
    </row>
    <row r="1409" spans="1:12" ht="18" customHeight="1" x14ac:dyDescent="0.3">
      <c r="A1409" s="18" t="s">
        <v>2864</v>
      </c>
      <c r="B1409" s="5" t="s">
        <v>2865</v>
      </c>
      <c r="C1409" s="18" t="s">
        <v>74</v>
      </c>
      <c r="D1409" s="18" t="s">
        <v>88</v>
      </c>
      <c r="E1409" s="6">
        <v>10700000</v>
      </c>
      <c r="F1409" s="19">
        <v>0.99</v>
      </c>
      <c r="G1409" s="18">
        <v>35</v>
      </c>
      <c r="H1409" s="20">
        <v>18.2</v>
      </c>
      <c r="I1409" s="21" t="str">
        <f t="shared" si="84"/>
        <v>Cumple</v>
      </c>
      <c r="J1409" s="22" t="str">
        <f t="shared" si="85"/>
        <v>Sin bono</v>
      </c>
      <c r="K1409" s="23" t="str">
        <f t="shared" si="86"/>
        <v>ALERTA</v>
      </c>
      <c r="L1409" s="24" t="str">
        <f t="shared" si="87"/>
        <v>Revisar</v>
      </c>
    </row>
    <row r="1410" spans="1:12" ht="18" customHeight="1" x14ac:dyDescent="0.3">
      <c r="A1410" s="25" t="s">
        <v>2866</v>
      </c>
      <c r="B1410" s="8" t="s">
        <v>2867</v>
      </c>
      <c r="C1410" s="25" t="s">
        <v>63</v>
      </c>
      <c r="D1410" s="25" t="s">
        <v>92</v>
      </c>
      <c r="E1410" s="9">
        <v>4400000</v>
      </c>
      <c r="F1410" s="26">
        <v>0.78</v>
      </c>
      <c r="G1410" s="25">
        <v>55</v>
      </c>
      <c r="H1410" s="27">
        <v>0</v>
      </c>
      <c r="I1410" s="21" t="str">
        <f t="shared" si="84"/>
        <v>No cumple</v>
      </c>
      <c r="J1410" s="22" t="str">
        <f t="shared" si="85"/>
        <v>Sin bono</v>
      </c>
      <c r="K1410" s="23" t="str">
        <f t="shared" si="86"/>
        <v>OK</v>
      </c>
      <c r="L1410" s="24" t="str">
        <f t="shared" si="87"/>
        <v>Revisar</v>
      </c>
    </row>
    <row r="1411" spans="1:12" ht="18" customHeight="1" x14ac:dyDescent="0.3">
      <c r="A1411" s="18" t="s">
        <v>2868</v>
      </c>
      <c r="B1411" s="5" t="s">
        <v>2869</v>
      </c>
      <c r="C1411" s="18" t="s">
        <v>74</v>
      </c>
      <c r="D1411" s="18" t="s">
        <v>64</v>
      </c>
      <c r="E1411" s="6">
        <v>4800000</v>
      </c>
      <c r="F1411" s="19">
        <v>0.68</v>
      </c>
      <c r="G1411" s="18">
        <v>76</v>
      </c>
      <c r="H1411" s="20">
        <v>5.7</v>
      </c>
      <c r="I1411" s="21" t="str">
        <f t="shared" si="84"/>
        <v>No cumple</v>
      </c>
      <c r="J1411" s="22" t="str">
        <f t="shared" si="85"/>
        <v>Sin bono</v>
      </c>
      <c r="K1411" s="23" t="str">
        <f t="shared" si="86"/>
        <v>OK</v>
      </c>
      <c r="L1411" s="24" t="str">
        <f t="shared" si="87"/>
        <v>Revisar</v>
      </c>
    </row>
    <row r="1412" spans="1:12" ht="18" customHeight="1" x14ac:dyDescent="0.3">
      <c r="A1412" s="25" t="s">
        <v>2870</v>
      </c>
      <c r="B1412" s="8" t="s">
        <v>2871</v>
      </c>
      <c r="C1412" s="25" t="s">
        <v>59</v>
      </c>
      <c r="D1412" s="25" t="s">
        <v>88</v>
      </c>
      <c r="E1412" s="9">
        <v>3500000</v>
      </c>
      <c r="F1412" s="26">
        <v>0.65</v>
      </c>
      <c r="G1412" s="25">
        <v>77</v>
      </c>
      <c r="H1412" s="27">
        <v>7.3</v>
      </c>
      <c r="I1412" s="21" t="str">
        <f t="shared" si="84"/>
        <v>No cumple</v>
      </c>
      <c r="J1412" s="22" t="str">
        <f t="shared" si="85"/>
        <v>Sin bono</v>
      </c>
      <c r="K1412" s="23" t="str">
        <f t="shared" si="86"/>
        <v>OK</v>
      </c>
      <c r="L1412" s="24" t="str">
        <f t="shared" si="87"/>
        <v>Revisar</v>
      </c>
    </row>
    <row r="1413" spans="1:12" ht="18" customHeight="1" x14ac:dyDescent="0.3">
      <c r="A1413" s="18" t="s">
        <v>2872</v>
      </c>
      <c r="B1413" s="5" t="s">
        <v>2873</v>
      </c>
      <c r="C1413" s="18" t="s">
        <v>91</v>
      </c>
      <c r="D1413" s="18" t="s">
        <v>78</v>
      </c>
      <c r="E1413" s="6">
        <v>7000000</v>
      </c>
      <c r="F1413" s="19">
        <v>0.85</v>
      </c>
      <c r="G1413" s="18">
        <v>36</v>
      </c>
      <c r="H1413" s="20">
        <v>12.7</v>
      </c>
      <c r="I1413" s="21" t="str">
        <f t="shared" si="84"/>
        <v>Cumple</v>
      </c>
      <c r="J1413" s="22" t="str">
        <f t="shared" si="85"/>
        <v>Sin bono</v>
      </c>
      <c r="K1413" s="23" t="str">
        <f t="shared" si="86"/>
        <v>ALERTA</v>
      </c>
      <c r="L1413" s="24" t="str">
        <f t="shared" si="87"/>
        <v>Revisar</v>
      </c>
    </row>
    <row r="1414" spans="1:12" ht="18" customHeight="1" x14ac:dyDescent="0.3">
      <c r="A1414" s="25" t="s">
        <v>2874</v>
      </c>
      <c r="B1414" s="8" t="s">
        <v>2875</v>
      </c>
      <c r="C1414" s="25" t="s">
        <v>59</v>
      </c>
      <c r="D1414" s="25" t="s">
        <v>92</v>
      </c>
      <c r="E1414" s="9">
        <v>9500000</v>
      </c>
      <c r="F1414" s="26">
        <v>0.66</v>
      </c>
      <c r="G1414" s="25">
        <v>86</v>
      </c>
      <c r="H1414" s="27">
        <v>2.8</v>
      </c>
      <c r="I1414" s="21" t="str">
        <f t="shared" si="84"/>
        <v>No cumple</v>
      </c>
      <c r="J1414" s="22" t="str">
        <f t="shared" si="85"/>
        <v>Sin bono</v>
      </c>
      <c r="K1414" s="23" t="str">
        <f t="shared" si="86"/>
        <v>OK</v>
      </c>
      <c r="L1414" s="24" t="str">
        <f t="shared" si="87"/>
        <v>Revisar</v>
      </c>
    </row>
    <row r="1415" spans="1:12" ht="18" customHeight="1" x14ac:dyDescent="0.3">
      <c r="A1415" s="18" t="s">
        <v>2876</v>
      </c>
      <c r="B1415" s="5" t="s">
        <v>2877</v>
      </c>
      <c r="C1415" s="18" t="s">
        <v>81</v>
      </c>
      <c r="D1415" s="18" t="s">
        <v>114</v>
      </c>
      <c r="E1415" s="6">
        <v>11100000</v>
      </c>
      <c r="F1415" s="19">
        <v>0.97</v>
      </c>
      <c r="G1415" s="18">
        <v>85</v>
      </c>
      <c r="H1415" s="20">
        <v>0.3</v>
      </c>
      <c r="I1415" s="21" t="str">
        <f t="shared" si="84"/>
        <v>Cumple</v>
      </c>
      <c r="J1415" s="22" t="str">
        <f t="shared" si="85"/>
        <v>BONO</v>
      </c>
      <c r="K1415" s="23" t="str">
        <f t="shared" si="86"/>
        <v>OK</v>
      </c>
      <c r="L1415" s="24" t="str">
        <f t="shared" si="87"/>
        <v>Excelente</v>
      </c>
    </row>
    <row r="1416" spans="1:12" ht="18" customHeight="1" x14ac:dyDescent="0.3">
      <c r="A1416" s="25" t="s">
        <v>2878</v>
      </c>
      <c r="B1416" s="8" t="s">
        <v>2879</v>
      </c>
      <c r="C1416" s="25" t="s">
        <v>91</v>
      </c>
      <c r="D1416" s="25" t="s">
        <v>88</v>
      </c>
      <c r="E1416" s="9">
        <v>3600000</v>
      </c>
      <c r="F1416" s="26">
        <v>0.63</v>
      </c>
      <c r="G1416" s="25">
        <v>53</v>
      </c>
      <c r="H1416" s="27">
        <v>18.5</v>
      </c>
      <c r="I1416" s="21" t="str">
        <f t="shared" si="84"/>
        <v>No cumple</v>
      </c>
      <c r="J1416" s="22" t="str">
        <f t="shared" si="85"/>
        <v>Sin bono</v>
      </c>
      <c r="K1416" s="23" t="str">
        <f t="shared" si="86"/>
        <v>OK</v>
      </c>
      <c r="L1416" s="24" t="str">
        <f t="shared" si="87"/>
        <v>Revisar</v>
      </c>
    </row>
    <row r="1417" spans="1:12" ht="18" customHeight="1" x14ac:dyDescent="0.3">
      <c r="A1417" s="18" t="s">
        <v>2880</v>
      </c>
      <c r="B1417" s="5" t="s">
        <v>2881</v>
      </c>
      <c r="C1417" s="18" t="s">
        <v>63</v>
      </c>
      <c r="D1417" s="18" t="s">
        <v>114</v>
      </c>
      <c r="E1417" s="6">
        <v>7000000</v>
      </c>
      <c r="F1417" s="19">
        <v>0.91</v>
      </c>
      <c r="G1417" s="18">
        <v>62</v>
      </c>
      <c r="H1417" s="20">
        <v>5.3</v>
      </c>
      <c r="I1417" s="21" t="str">
        <f t="shared" si="84"/>
        <v>Cumple</v>
      </c>
      <c r="J1417" s="22" t="str">
        <f t="shared" si="85"/>
        <v>Sin bono</v>
      </c>
      <c r="K1417" s="23" t="str">
        <f t="shared" si="86"/>
        <v>OK</v>
      </c>
      <c r="L1417" s="24" t="str">
        <f t="shared" si="87"/>
        <v>Revisar</v>
      </c>
    </row>
    <row r="1418" spans="1:12" ht="18" customHeight="1" x14ac:dyDescent="0.3">
      <c r="A1418" s="25" t="s">
        <v>2882</v>
      </c>
      <c r="B1418" s="8" t="s">
        <v>2883</v>
      </c>
      <c r="C1418" s="25" t="s">
        <v>59</v>
      </c>
      <c r="D1418" s="25" t="s">
        <v>60</v>
      </c>
      <c r="E1418" s="9">
        <v>5100000</v>
      </c>
      <c r="F1418" s="26">
        <v>0.83</v>
      </c>
      <c r="G1418" s="25">
        <v>37</v>
      </c>
      <c r="H1418" s="27">
        <v>8.3000000000000007</v>
      </c>
      <c r="I1418" s="21" t="str">
        <f t="shared" si="84"/>
        <v>Cumple</v>
      </c>
      <c r="J1418" s="22" t="str">
        <f t="shared" si="85"/>
        <v>Sin bono</v>
      </c>
      <c r="K1418" s="23" t="str">
        <f t="shared" si="86"/>
        <v>ALERTA</v>
      </c>
      <c r="L1418" s="24" t="str">
        <f t="shared" si="87"/>
        <v>Revisar</v>
      </c>
    </row>
    <row r="1419" spans="1:12" ht="18" customHeight="1" x14ac:dyDescent="0.3">
      <c r="A1419" s="18" t="s">
        <v>2884</v>
      </c>
      <c r="B1419" s="5" t="s">
        <v>2885</v>
      </c>
      <c r="C1419" s="18" t="s">
        <v>59</v>
      </c>
      <c r="D1419" s="18" t="s">
        <v>105</v>
      </c>
      <c r="E1419" s="6">
        <v>9300000</v>
      </c>
      <c r="F1419" s="19">
        <v>0.97</v>
      </c>
      <c r="G1419" s="18">
        <v>90</v>
      </c>
      <c r="H1419" s="20">
        <v>2.4</v>
      </c>
      <c r="I1419" s="21" t="str">
        <f t="shared" si="84"/>
        <v>Cumple</v>
      </c>
      <c r="J1419" s="22" t="str">
        <f t="shared" si="85"/>
        <v>BONO</v>
      </c>
      <c r="K1419" s="23" t="str">
        <f t="shared" si="86"/>
        <v>OK</v>
      </c>
      <c r="L1419" s="24" t="str">
        <f t="shared" si="87"/>
        <v>Excelente</v>
      </c>
    </row>
    <row r="1420" spans="1:12" ht="18" customHeight="1" x14ac:dyDescent="0.3">
      <c r="A1420" s="25" t="s">
        <v>2886</v>
      </c>
      <c r="B1420" s="8" t="s">
        <v>2887</v>
      </c>
      <c r="C1420" s="25" t="s">
        <v>77</v>
      </c>
      <c r="D1420" s="25" t="s">
        <v>68</v>
      </c>
      <c r="E1420" s="9">
        <v>6300000</v>
      </c>
      <c r="F1420" s="26">
        <v>0.53</v>
      </c>
      <c r="G1420" s="25">
        <v>40</v>
      </c>
      <c r="H1420" s="27">
        <v>3.5</v>
      </c>
      <c r="I1420" s="21" t="str">
        <f t="shared" si="84"/>
        <v>No cumple</v>
      </c>
      <c r="J1420" s="22" t="str">
        <f t="shared" si="85"/>
        <v>Sin bono</v>
      </c>
      <c r="K1420" s="23" t="str">
        <f t="shared" si="86"/>
        <v>ALERTA</v>
      </c>
      <c r="L1420" s="24" t="str">
        <f t="shared" si="87"/>
        <v>Revisar</v>
      </c>
    </row>
    <row r="1421" spans="1:12" ht="18" customHeight="1" x14ac:dyDescent="0.3">
      <c r="A1421" s="18" t="s">
        <v>2888</v>
      </c>
      <c r="B1421" s="5" t="s">
        <v>2889</v>
      </c>
      <c r="C1421" s="18" t="s">
        <v>91</v>
      </c>
      <c r="D1421" s="18" t="s">
        <v>105</v>
      </c>
      <c r="E1421" s="6">
        <v>10700000</v>
      </c>
      <c r="F1421" s="19">
        <v>0.89</v>
      </c>
      <c r="G1421" s="18">
        <v>66</v>
      </c>
      <c r="H1421" s="20">
        <v>5.2</v>
      </c>
      <c r="I1421" s="21" t="str">
        <f t="shared" ref="I1421:I1484" si="88">IF(F1421&gt;=0.8,"Cumple","No cumple")</f>
        <v>Cumple</v>
      </c>
      <c r="J1421" s="22" t="str">
        <f t="shared" ref="J1421:J1484" si="89">IF(AND(F1421&gt;=0.8,G1421&gt;=70),"BONO","Sin bono")</f>
        <v>Sin bono</v>
      </c>
      <c r="K1421" s="23" t="str">
        <f t="shared" ref="K1421:K1484" si="90">IF(OR(F1421&lt;0.6,G1421&lt;50),"ALERTA","OK")</f>
        <v>OK</v>
      </c>
      <c r="L1421" s="24" t="str">
        <f t="shared" ref="L1421:L1484" si="91">IF(AND(F1421&gt;=0.9,G1421&gt;=85),"Excelente",IF(AND(F1421&gt;=0.8,G1421&gt;=70),"Bueno","Revisar"))</f>
        <v>Revisar</v>
      </c>
    </row>
    <row r="1422" spans="1:12" ht="18" customHeight="1" x14ac:dyDescent="0.3">
      <c r="A1422" s="25" t="s">
        <v>2890</v>
      </c>
      <c r="B1422" s="8" t="s">
        <v>2891</v>
      </c>
      <c r="C1422" s="25" t="s">
        <v>63</v>
      </c>
      <c r="D1422" s="25" t="s">
        <v>105</v>
      </c>
      <c r="E1422" s="9">
        <v>8000000</v>
      </c>
      <c r="F1422" s="26">
        <v>0.75</v>
      </c>
      <c r="G1422" s="25">
        <v>67</v>
      </c>
      <c r="H1422" s="27">
        <v>13.7</v>
      </c>
      <c r="I1422" s="21" t="str">
        <f t="shared" si="88"/>
        <v>No cumple</v>
      </c>
      <c r="J1422" s="22" t="str">
        <f t="shared" si="89"/>
        <v>Sin bono</v>
      </c>
      <c r="K1422" s="23" t="str">
        <f t="shared" si="90"/>
        <v>OK</v>
      </c>
      <c r="L1422" s="24" t="str">
        <f t="shared" si="91"/>
        <v>Revisar</v>
      </c>
    </row>
    <row r="1423" spans="1:12" ht="18" customHeight="1" x14ac:dyDescent="0.3">
      <c r="A1423" s="18" t="s">
        <v>2892</v>
      </c>
      <c r="B1423" s="5" t="s">
        <v>2893</v>
      </c>
      <c r="C1423" s="18" t="s">
        <v>77</v>
      </c>
      <c r="D1423" s="18" t="s">
        <v>92</v>
      </c>
      <c r="E1423" s="6">
        <v>11000000</v>
      </c>
      <c r="F1423" s="19">
        <v>0.95</v>
      </c>
      <c r="G1423" s="18">
        <v>71</v>
      </c>
      <c r="H1423" s="20">
        <v>8.6</v>
      </c>
      <c r="I1423" s="21" t="str">
        <f t="shared" si="88"/>
        <v>Cumple</v>
      </c>
      <c r="J1423" s="22" t="str">
        <f t="shared" si="89"/>
        <v>BONO</v>
      </c>
      <c r="K1423" s="23" t="str">
        <f t="shared" si="90"/>
        <v>OK</v>
      </c>
      <c r="L1423" s="24" t="str">
        <f t="shared" si="91"/>
        <v>Bueno</v>
      </c>
    </row>
    <row r="1424" spans="1:12" ht="18" customHeight="1" x14ac:dyDescent="0.3">
      <c r="A1424" s="25" t="s">
        <v>2894</v>
      </c>
      <c r="B1424" s="8" t="s">
        <v>2895</v>
      </c>
      <c r="C1424" s="25" t="s">
        <v>91</v>
      </c>
      <c r="D1424" s="25" t="s">
        <v>60</v>
      </c>
      <c r="E1424" s="9">
        <v>4300000</v>
      </c>
      <c r="F1424" s="26">
        <v>0.86</v>
      </c>
      <c r="G1424" s="25">
        <v>98</v>
      </c>
      <c r="H1424" s="27">
        <v>2.1</v>
      </c>
      <c r="I1424" s="21" t="str">
        <f t="shared" si="88"/>
        <v>Cumple</v>
      </c>
      <c r="J1424" s="22" t="str">
        <f t="shared" si="89"/>
        <v>BONO</v>
      </c>
      <c r="K1424" s="23" t="str">
        <f t="shared" si="90"/>
        <v>OK</v>
      </c>
      <c r="L1424" s="24" t="str">
        <f t="shared" si="91"/>
        <v>Bueno</v>
      </c>
    </row>
    <row r="1425" spans="1:12" ht="18" customHeight="1" x14ac:dyDescent="0.3">
      <c r="A1425" s="18" t="s">
        <v>2896</v>
      </c>
      <c r="B1425" s="5" t="s">
        <v>2897</v>
      </c>
      <c r="C1425" s="18" t="s">
        <v>74</v>
      </c>
      <c r="D1425" s="18" t="s">
        <v>60</v>
      </c>
      <c r="E1425" s="6">
        <v>5700000</v>
      </c>
      <c r="F1425" s="19">
        <v>0.53</v>
      </c>
      <c r="G1425" s="18">
        <v>52</v>
      </c>
      <c r="H1425" s="20">
        <v>5.2</v>
      </c>
      <c r="I1425" s="21" t="str">
        <f t="shared" si="88"/>
        <v>No cumple</v>
      </c>
      <c r="J1425" s="22" t="str">
        <f t="shared" si="89"/>
        <v>Sin bono</v>
      </c>
      <c r="K1425" s="23" t="str">
        <f t="shared" si="90"/>
        <v>ALERTA</v>
      </c>
      <c r="L1425" s="24" t="str">
        <f t="shared" si="91"/>
        <v>Revisar</v>
      </c>
    </row>
    <row r="1426" spans="1:12" ht="18" customHeight="1" x14ac:dyDescent="0.3">
      <c r="A1426" s="25" t="s">
        <v>2898</v>
      </c>
      <c r="B1426" s="8" t="s">
        <v>2899</v>
      </c>
      <c r="C1426" s="25" t="s">
        <v>77</v>
      </c>
      <c r="D1426" s="25" t="s">
        <v>114</v>
      </c>
      <c r="E1426" s="9">
        <v>2800000</v>
      </c>
      <c r="F1426" s="26">
        <v>0.46</v>
      </c>
      <c r="G1426" s="25">
        <v>100</v>
      </c>
      <c r="H1426" s="27">
        <v>16.399999999999999</v>
      </c>
      <c r="I1426" s="21" t="str">
        <f t="shared" si="88"/>
        <v>No cumple</v>
      </c>
      <c r="J1426" s="22" t="str">
        <f t="shared" si="89"/>
        <v>Sin bono</v>
      </c>
      <c r="K1426" s="23" t="str">
        <f t="shared" si="90"/>
        <v>ALERTA</v>
      </c>
      <c r="L1426" s="24" t="str">
        <f t="shared" si="91"/>
        <v>Revisar</v>
      </c>
    </row>
    <row r="1427" spans="1:12" ht="18" customHeight="1" x14ac:dyDescent="0.3">
      <c r="A1427" s="18" t="s">
        <v>2900</v>
      </c>
      <c r="B1427" s="5" t="s">
        <v>2584</v>
      </c>
      <c r="C1427" s="18" t="s">
        <v>67</v>
      </c>
      <c r="D1427" s="18" t="s">
        <v>105</v>
      </c>
      <c r="E1427" s="6">
        <v>10700000</v>
      </c>
      <c r="F1427" s="19">
        <v>0.48</v>
      </c>
      <c r="G1427" s="18">
        <v>64</v>
      </c>
      <c r="H1427" s="20">
        <v>19.5</v>
      </c>
      <c r="I1427" s="21" t="str">
        <f t="shared" si="88"/>
        <v>No cumple</v>
      </c>
      <c r="J1427" s="22" t="str">
        <f t="shared" si="89"/>
        <v>Sin bono</v>
      </c>
      <c r="K1427" s="23" t="str">
        <f t="shared" si="90"/>
        <v>ALERTA</v>
      </c>
      <c r="L1427" s="24" t="str">
        <f t="shared" si="91"/>
        <v>Revisar</v>
      </c>
    </row>
    <row r="1428" spans="1:12" ht="18" customHeight="1" x14ac:dyDescent="0.3">
      <c r="A1428" s="25" t="s">
        <v>2901</v>
      </c>
      <c r="B1428" s="8" t="s">
        <v>2902</v>
      </c>
      <c r="C1428" s="25" t="s">
        <v>81</v>
      </c>
      <c r="D1428" s="25" t="s">
        <v>88</v>
      </c>
      <c r="E1428" s="9">
        <v>7600000</v>
      </c>
      <c r="F1428" s="26">
        <v>0.96</v>
      </c>
      <c r="G1428" s="25">
        <v>31</v>
      </c>
      <c r="H1428" s="27">
        <v>8.1999999999999993</v>
      </c>
      <c r="I1428" s="21" t="str">
        <f t="shared" si="88"/>
        <v>Cumple</v>
      </c>
      <c r="J1428" s="22" t="str">
        <f t="shared" si="89"/>
        <v>Sin bono</v>
      </c>
      <c r="K1428" s="23" t="str">
        <f t="shared" si="90"/>
        <v>ALERTA</v>
      </c>
      <c r="L1428" s="24" t="str">
        <f t="shared" si="91"/>
        <v>Revisar</v>
      </c>
    </row>
    <row r="1429" spans="1:12" ht="18" customHeight="1" x14ac:dyDescent="0.3">
      <c r="A1429" s="18" t="s">
        <v>2903</v>
      </c>
      <c r="B1429" s="5" t="s">
        <v>2520</v>
      </c>
      <c r="C1429" s="18" t="s">
        <v>67</v>
      </c>
      <c r="D1429" s="18" t="s">
        <v>105</v>
      </c>
      <c r="E1429" s="6">
        <v>6200000</v>
      </c>
      <c r="F1429" s="19">
        <v>0.48</v>
      </c>
      <c r="G1429" s="18">
        <v>34</v>
      </c>
      <c r="H1429" s="20">
        <v>14.8</v>
      </c>
      <c r="I1429" s="21" t="str">
        <f t="shared" si="88"/>
        <v>No cumple</v>
      </c>
      <c r="J1429" s="22" t="str">
        <f t="shared" si="89"/>
        <v>Sin bono</v>
      </c>
      <c r="K1429" s="23" t="str">
        <f t="shared" si="90"/>
        <v>ALERTA</v>
      </c>
      <c r="L1429" s="24" t="str">
        <f t="shared" si="91"/>
        <v>Revisar</v>
      </c>
    </row>
    <row r="1430" spans="1:12" ht="18" customHeight="1" x14ac:dyDescent="0.3">
      <c r="A1430" s="25" t="s">
        <v>2904</v>
      </c>
      <c r="B1430" s="8" t="s">
        <v>2905</v>
      </c>
      <c r="C1430" s="25" t="s">
        <v>59</v>
      </c>
      <c r="D1430" s="25" t="s">
        <v>88</v>
      </c>
      <c r="E1430" s="9">
        <v>11800000</v>
      </c>
      <c r="F1430" s="26">
        <v>0.68</v>
      </c>
      <c r="G1430" s="25">
        <v>42</v>
      </c>
      <c r="H1430" s="27">
        <v>16.100000000000001</v>
      </c>
      <c r="I1430" s="21" t="str">
        <f t="shared" si="88"/>
        <v>No cumple</v>
      </c>
      <c r="J1430" s="22" t="str">
        <f t="shared" si="89"/>
        <v>Sin bono</v>
      </c>
      <c r="K1430" s="23" t="str">
        <f t="shared" si="90"/>
        <v>ALERTA</v>
      </c>
      <c r="L1430" s="24" t="str">
        <f t="shared" si="91"/>
        <v>Revisar</v>
      </c>
    </row>
    <row r="1431" spans="1:12" ht="18" customHeight="1" x14ac:dyDescent="0.3">
      <c r="A1431" s="18" t="s">
        <v>2906</v>
      </c>
      <c r="B1431" s="5" t="s">
        <v>2907</v>
      </c>
      <c r="C1431" s="18" t="s">
        <v>71</v>
      </c>
      <c r="D1431" s="18" t="s">
        <v>60</v>
      </c>
      <c r="E1431" s="6">
        <v>4500000</v>
      </c>
      <c r="F1431" s="19">
        <v>0.57999999999999996</v>
      </c>
      <c r="G1431" s="18">
        <v>38</v>
      </c>
      <c r="H1431" s="20">
        <v>13</v>
      </c>
      <c r="I1431" s="21" t="str">
        <f t="shared" si="88"/>
        <v>No cumple</v>
      </c>
      <c r="J1431" s="22" t="str">
        <f t="shared" si="89"/>
        <v>Sin bono</v>
      </c>
      <c r="K1431" s="23" t="str">
        <f t="shared" si="90"/>
        <v>ALERTA</v>
      </c>
      <c r="L1431" s="24" t="str">
        <f t="shared" si="91"/>
        <v>Revisar</v>
      </c>
    </row>
    <row r="1432" spans="1:12" ht="18" customHeight="1" x14ac:dyDescent="0.3">
      <c r="A1432" s="25" t="s">
        <v>2908</v>
      </c>
      <c r="B1432" s="8" t="s">
        <v>2909</v>
      </c>
      <c r="C1432" s="25" t="s">
        <v>67</v>
      </c>
      <c r="D1432" s="25" t="s">
        <v>92</v>
      </c>
      <c r="E1432" s="9">
        <v>5500000</v>
      </c>
      <c r="F1432" s="26">
        <v>0.99</v>
      </c>
      <c r="G1432" s="25">
        <v>77</v>
      </c>
      <c r="H1432" s="27">
        <v>7.1</v>
      </c>
      <c r="I1432" s="21" t="str">
        <f t="shared" si="88"/>
        <v>Cumple</v>
      </c>
      <c r="J1432" s="22" t="str">
        <f t="shared" si="89"/>
        <v>BONO</v>
      </c>
      <c r="K1432" s="23" t="str">
        <f t="shared" si="90"/>
        <v>OK</v>
      </c>
      <c r="L1432" s="24" t="str">
        <f t="shared" si="91"/>
        <v>Bueno</v>
      </c>
    </row>
    <row r="1433" spans="1:12" ht="18" customHeight="1" x14ac:dyDescent="0.3">
      <c r="A1433" s="18" t="s">
        <v>2910</v>
      </c>
      <c r="B1433" s="5" t="s">
        <v>2911</v>
      </c>
      <c r="C1433" s="18" t="s">
        <v>91</v>
      </c>
      <c r="D1433" s="18" t="s">
        <v>92</v>
      </c>
      <c r="E1433" s="6">
        <v>11500000</v>
      </c>
      <c r="F1433" s="19">
        <v>0.56000000000000005</v>
      </c>
      <c r="G1433" s="18">
        <v>97</v>
      </c>
      <c r="H1433" s="20">
        <v>7.2</v>
      </c>
      <c r="I1433" s="21" t="str">
        <f t="shared" si="88"/>
        <v>No cumple</v>
      </c>
      <c r="J1433" s="22" t="str">
        <f t="shared" si="89"/>
        <v>Sin bono</v>
      </c>
      <c r="K1433" s="23" t="str">
        <f t="shared" si="90"/>
        <v>ALERTA</v>
      </c>
      <c r="L1433" s="24" t="str">
        <f t="shared" si="91"/>
        <v>Revisar</v>
      </c>
    </row>
    <row r="1434" spans="1:12" ht="18" customHeight="1" x14ac:dyDescent="0.3">
      <c r="A1434" s="25" t="s">
        <v>2912</v>
      </c>
      <c r="B1434" s="8" t="s">
        <v>2913</v>
      </c>
      <c r="C1434" s="25" t="s">
        <v>71</v>
      </c>
      <c r="D1434" s="25" t="s">
        <v>64</v>
      </c>
      <c r="E1434" s="9">
        <v>8900000</v>
      </c>
      <c r="F1434" s="26">
        <v>0.78</v>
      </c>
      <c r="G1434" s="25">
        <v>73</v>
      </c>
      <c r="H1434" s="27">
        <v>12.4</v>
      </c>
      <c r="I1434" s="21" t="str">
        <f t="shared" si="88"/>
        <v>No cumple</v>
      </c>
      <c r="J1434" s="22" t="str">
        <f t="shared" si="89"/>
        <v>Sin bono</v>
      </c>
      <c r="K1434" s="23" t="str">
        <f t="shared" si="90"/>
        <v>OK</v>
      </c>
      <c r="L1434" s="24" t="str">
        <f t="shared" si="91"/>
        <v>Revisar</v>
      </c>
    </row>
    <row r="1435" spans="1:12" ht="18" customHeight="1" x14ac:dyDescent="0.3">
      <c r="A1435" s="18" t="s">
        <v>2914</v>
      </c>
      <c r="B1435" s="5" t="s">
        <v>2915</v>
      </c>
      <c r="C1435" s="18" t="s">
        <v>91</v>
      </c>
      <c r="D1435" s="18" t="s">
        <v>60</v>
      </c>
      <c r="E1435" s="6">
        <v>9400000</v>
      </c>
      <c r="F1435" s="19">
        <v>0.88</v>
      </c>
      <c r="G1435" s="18">
        <v>68</v>
      </c>
      <c r="H1435" s="20">
        <v>10.8</v>
      </c>
      <c r="I1435" s="21" t="str">
        <f t="shared" si="88"/>
        <v>Cumple</v>
      </c>
      <c r="J1435" s="22" t="str">
        <f t="shared" si="89"/>
        <v>Sin bono</v>
      </c>
      <c r="K1435" s="23" t="str">
        <f t="shared" si="90"/>
        <v>OK</v>
      </c>
      <c r="L1435" s="24" t="str">
        <f t="shared" si="91"/>
        <v>Revisar</v>
      </c>
    </row>
    <row r="1436" spans="1:12" ht="18" customHeight="1" x14ac:dyDescent="0.3">
      <c r="A1436" s="25" t="s">
        <v>2916</v>
      </c>
      <c r="B1436" s="8" t="s">
        <v>2917</v>
      </c>
      <c r="C1436" s="25" t="s">
        <v>67</v>
      </c>
      <c r="D1436" s="25" t="s">
        <v>88</v>
      </c>
      <c r="E1436" s="9">
        <v>9900000</v>
      </c>
      <c r="F1436" s="26">
        <v>0.61</v>
      </c>
      <c r="G1436" s="25">
        <v>30</v>
      </c>
      <c r="H1436" s="27">
        <v>11.6</v>
      </c>
      <c r="I1436" s="21" t="str">
        <f t="shared" si="88"/>
        <v>No cumple</v>
      </c>
      <c r="J1436" s="22" t="str">
        <f t="shared" si="89"/>
        <v>Sin bono</v>
      </c>
      <c r="K1436" s="23" t="str">
        <f t="shared" si="90"/>
        <v>ALERTA</v>
      </c>
      <c r="L1436" s="24" t="str">
        <f t="shared" si="91"/>
        <v>Revisar</v>
      </c>
    </row>
    <row r="1437" spans="1:12" ht="18" customHeight="1" x14ac:dyDescent="0.3">
      <c r="A1437" s="18" t="s">
        <v>2918</v>
      </c>
      <c r="B1437" s="5" t="s">
        <v>2919</v>
      </c>
      <c r="C1437" s="18" t="s">
        <v>71</v>
      </c>
      <c r="D1437" s="18" t="s">
        <v>105</v>
      </c>
      <c r="E1437" s="6">
        <v>8800000</v>
      </c>
      <c r="F1437" s="19">
        <v>0.79</v>
      </c>
      <c r="G1437" s="18">
        <v>70</v>
      </c>
      <c r="H1437" s="20">
        <v>10.5</v>
      </c>
      <c r="I1437" s="21" t="str">
        <f t="shared" si="88"/>
        <v>No cumple</v>
      </c>
      <c r="J1437" s="22" t="str">
        <f t="shared" si="89"/>
        <v>Sin bono</v>
      </c>
      <c r="K1437" s="23" t="str">
        <f t="shared" si="90"/>
        <v>OK</v>
      </c>
      <c r="L1437" s="24" t="str">
        <f t="shared" si="91"/>
        <v>Revisar</v>
      </c>
    </row>
    <row r="1438" spans="1:12" ht="18" customHeight="1" x14ac:dyDescent="0.3">
      <c r="A1438" s="25" t="s">
        <v>2920</v>
      </c>
      <c r="B1438" s="8" t="s">
        <v>2921</v>
      </c>
      <c r="C1438" s="25" t="s">
        <v>71</v>
      </c>
      <c r="D1438" s="25" t="s">
        <v>105</v>
      </c>
      <c r="E1438" s="9">
        <v>8400000</v>
      </c>
      <c r="F1438" s="26">
        <v>0.95</v>
      </c>
      <c r="G1438" s="25">
        <v>76</v>
      </c>
      <c r="H1438" s="27">
        <v>5.2</v>
      </c>
      <c r="I1438" s="21" t="str">
        <f t="shared" si="88"/>
        <v>Cumple</v>
      </c>
      <c r="J1438" s="22" t="str">
        <f t="shared" si="89"/>
        <v>BONO</v>
      </c>
      <c r="K1438" s="23" t="str">
        <f t="shared" si="90"/>
        <v>OK</v>
      </c>
      <c r="L1438" s="24" t="str">
        <f t="shared" si="91"/>
        <v>Bueno</v>
      </c>
    </row>
    <row r="1439" spans="1:12" ht="18" customHeight="1" x14ac:dyDescent="0.3">
      <c r="A1439" s="18" t="s">
        <v>2922</v>
      </c>
      <c r="B1439" s="5" t="s">
        <v>2923</v>
      </c>
      <c r="C1439" s="18" t="s">
        <v>81</v>
      </c>
      <c r="D1439" s="18" t="s">
        <v>92</v>
      </c>
      <c r="E1439" s="6">
        <v>3100000</v>
      </c>
      <c r="F1439" s="19">
        <v>0.5</v>
      </c>
      <c r="G1439" s="18">
        <v>88</v>
      </c>
      <c r="H1439" s="20">
        <v>8.6</v>
      </c>
      <c r="I1439" s="21" t="str">
        <f t="shared" si="88"/>
        <v>No cumple</v>
      </c>
      <c r="J1439" s="22" t="str">
        <f t="shared" si="89"/>
        <v>Sin bono</v>
      </c>
      <c r="K1439" s="23" t="str">
        <f t="shared" si="90"/>
        <v>ALERTA</v>
      </c>
      <c r="L1439" s="24" t="str">
        <f t="shared" si="91"/>
        <v>Revisar</v>
      </c>
    </row>
    <row r="1440" spans="1:12" ht="18" customHeight="1" x14ac:dyDescent="0.3">
      <c r="A1440" s="25" t="s">
        <v>2924</v>
      </c>
      <c r="B1440" s="8" t="s">
        <v>2925</v>
      </c>
      <c r="C1440" s="25" t="s">
        <v>63</v>
      </c>
      <c r="D1440" s="25" t="s">
        <v>78</v>
      </c>
      <c r="E1440" s="9">
        <v>10100000</v>
      </c>
      <c r="F1440" s="26">
        <v>0.6</v>
      </c>
      <c r="G1440" s="25">
        <v>80</v>
      </c>
      <c r="H1440" s="27">
        <v>11.7</v>
      </c>
      <c r="I1440" s="21" t="str">
        <f t="shared" si="88"/>
        <v>No cumple</v>
      </c>
      <c r="J1440" s="22" t="str">
        <f t="shared" si="89"/>
        <v>Sin bono</v>
      </c>
      <c r="K1440" s="23" t="str">
        <f t="shared" si="90"/>
        <v>OK</v>
      </c>
      <c r="L1440" s="24" t="str">
        <f t="shared" si="91"/>
        <v>Revisar</v>
      </c>
    </row>
    <row r="1441" spans="1:12" ht="18" customHeight="1" x14ac:dyDescent="0.3">
      <c r="A1441" s="18" t="s">
        <v>2926</v>
      </c>
      <c r="B1441" s="5" t="s">
        <v>2927</v>
      </c>
      <c r="C1441" s="18" t="s">
        <v>59</v>
      </c>
      <c r="D1441" s="18" t="s">
        <v>92</v>
      </c>
      <c r="E1441" s="6">
        <v>9000000</v>
      </c>
      <c r="F1441" s="19">
        <v>0.73</v>
      </c>
      <c r="G1441" s="18">
        <v>90</v>
      </c>
      <c r="H1441" s="20">
        <v>15.6</v>
      </c>
      <c r="I1441" s="21" t="str">
        <f t="shared" si="88"/>
        <v>No cumple</v>
      </c>
      <c r="J1441" s="22" t="str">
        <f t="shared" si="89"/>
        <v>Sin bono</v>
      </c>
      <c r="K1441" s="23" t="str">
        <f t="shared" si="90"/>
        <v>OK</v>
      </c>
      <c r="L1441" s="24" t="str">
        <f t="shared" si="91"/>
        <v>Revisar</v>
      </c>
    </row>
    <row r="1442" spans="1:12" ht="18" customHeight="1" x14ac:dyDescent="0.3">
      <c r="A1442" s="25" t="s">
        <v>2928</v>
      </c>
      <c r="B1442" s="8" t="s">
        <v>2548</v>
      </c>
      <c r="C1442" s="25" t="s">
        <v>81</v>
      </c>
      <c r="D1442" s="25" t="s">
        <v>64</v>
      </c>
      <c r="E1442" s="9">
        <v>5400000</v>
      </c>
      <c r="F1442" s="26">
        <v>0.96</v>
      </c>
      <c r="G1442" s="25">
        <v>66</v>
      </c>
      <c r="H1442" s="27">
        <v>12.2</v>
      </c>
      <c r="I1442" s="21" t="str">
        <f t="shared" si="88"/>
        <v>Cumple</v>
      </c>
      <c r="J1442" s="22" t="str">
        <f t="shared" si="89"/>
        <v>Sin bono</v>
      </c>
      <c r="K1442" s="23" t="str">
        <f t="shared" si="90"/>
        <v>OK</v>
      </c>
      <c r="L1442" s="24" t="str">
        <f t="shared" si="91"/>
        <v>Revisar</v>
      </c>
    </row>
    <row r="1443" spans="1:12" ht="18" customHeight="1" x14ac:dyDescent="0.3">
      <c r="A1443" s="18" t="s">
        <v>2929</v>
      </c>
      <c r="B1443" s="5" t="s">
        <v>2930</v>
      </c>
      <c r="C1443" s="18" t="s">
        <v>71</v>
      </c>
      <c r="D1443" s="18" t="s">
        <v>114</v>
      </c>
      <c r="E1443" s="6">
        <v>4900000</v>
      </c>
      <c r="F1443" s="19">
        <v>0.97</v>
      </c>
      <c r="G1443" s="18">
        <v>41</v>
      </c>
      <c r="H1443" s="20">
        <v>7.3</v>
      </c>
      <c r="I1443" s="21" t="str">
        <f t="shared" si="88"/>
        <v>Cumple</v>
      </c>
      <c r="J1443" s="22" t="str">
        <f t="shared" si="89"/>
        <v>Sin bono</v>
      </c>
      <c r="K1443" s="23" t="str">
        <f t="shared" si="90"/>
        <v>ALERTA</v>
      </c>
      <c r="L1443" s="24" t="str">
        <f t="shared" si="91"/>
        <v>Revisar</v>
      </c>
    </row>
    <row r="1444" spans="1:12" ht="18" customHeight="1" x14ac:dyDescent="0.3">
      <c r="A1444" s="25" t="s">
        <v>2931</v>
      </c>
      <c r="B1444" s="8" t="s">
        <v>2932</v>
      </c>
      <c r="C1444" s="25" t="s">
        <v>74</v>
      </c>
      <c r="D1444" s="25" t="s">
        <v>105</v>
      </c>
      <c r="E1444" s="9">
        <v>4300000</v>
      </c>
      <c r="F1444" s="26">
        <v>0.89</v>
      </c>
      <c r="G1444" s="25">
        <v>91</v>
      </c>
      <c r="H1444" s="27">
        <v>9.1</v>
      </c>
      <c r="I1444" s="21" t="str">
        <f t="shared" si="88"/>
        <v>Cumple</v>
      </c>
      <c r="J1444" s="22" t="str">
        <f t="shared" si="89"/>
        <v>BONO</v>
      </c>
      <c r="K1444" s="23" t="str">
        <f t="shared" si="90"/>
        <v>OK</v>
      </c>
      <c r="L1444" s="24" t="str">
        <f t="shared" si="91"/>
        <v>Bueno</v>
      </c>
    </row>
    <row r="1445" spans="1:12" ht="18" customHeight="1" x14ac:dyDescent="0.3">
      <c r="A1445" s="18" t="s">
        <v>2933</v>
      </c>
      <c r="B1445" s="5" t="s">
        <v>2934</v>
      </c>
      <c r="C1445" s="18" t="s">
        <v>63</v>
      </c>
      <c r="D1445" s="18" t="s">
        <v>88</v>
      </c>
      <c r="E1445" s="6">
        <v>5400000</v>
      </c>
      <c r="F1445" s="19">
        <v>0.59</v>
      </c>
      <c r="G1445" s="18">
        <v>54</v>
      </c>
      <c r="H1445" s="20">
        <v>3.7</v>
      </c>
      <c r="I1445" s="21" t="str">
        <f t="shared" si="88"/>
        <v>No cumple</v>
      </c>
      <c r="J1445" s="22" t="str">
        <f t="shared" si="89"/>
        <v>Sin bono</v>
      </c>
      <c r="K1445" s="23" t="str">
        <f t="shared" si="90"/>
        <v>ALERTA</v>
      </c>
      <c r="L1445" s="24" t="str">
        <f t="shared" si="91"/>
        <v>Revisar</v>
      </c>
    </row>
    <row r="1446" spans="1:12" ht="18" customHeight="1" x14ac:dyDescent="0.3">
      <c r="A1446" s="25" t="s">
        <v>2935</v>
      </c>
      <c r="B1446" s="8" t="s">
        <v>2936</v>
      </c>
      <c r="C1446" s="25" t="s">
        <v>59</v>
      </c>
      <c r="D1446" s="25" t="s">
        <v>105</v>
      </c>
      <c r="E1446" s="9">
        <v>11600000</v>
      </c>
      <c r="F1446" s="26">
        <v>0.47</v>
      </c>
      <c r="G1446" s="25">
        <v>33</v>
      </c>
      <c r="H1446" s="27">
        <v>2.5</v>
      </c>
      <c r="I1446" s="21" t="str">
        <f t="shared" si="88"/>
        <v>No cumple</v>
      </c>
      <c r="J1446" s="22" t="str">
        <f t="shared" si="89"/>
        <v>Sin bono</v>
      </c>
      <c r="K1446" s="23" t="str">
        <f t="shared" si="90"/>
        <v>ALERTA</v>
      </c>
      <c r="L1446" s="24" t="str">
        <f t="shared" si="91"/>
        <v>Revisar</v>
      </c>
    </row>
    <row r="1447" spans="1:12" ht="18" customHeight="1" x14ac:dyDescent="0.3">
      <c r="A1447" s="18" t="s">
        <v>2937</v>
      </c>
      <c r="B1447" s="5" t="s">
        <v>2938</v>
      </c>
      <c r="C1447" s="18" t="s">
        <v>63</v>
      </c>
      <c r="D1447" s="18" t="s">
        <v>64</v>
      </c>
      <c r="E1447" s="6">
        <v>11800000</v>
      </c>
      <c r="F1447" s="19">
        <v>1</v>
      </c>
      <c r="G1447" s="18">
        <v>92</v>
      </c>
      <c r="H1447" s="20">
        <v>7.4</v>
      </c>
      <c r="I1447" s="21" t="str">
        <f t="shared" si="88"/>
        <v>Cumple</v>
      </c>
      <c r="J1447" s="22" t="str">
        <f t="shared" si="89"/>
        <v>BONO</v>
      </c>
      <c r="K1447" s="23" t="str">
        <f t="shared" si="90"/>
        <v>OK</v>
      </c>
      <c r="L1447" s="24" t="str">
        <f t="shared" si="91"/>
        <v>Excelente</v>
      </c>
    </row>
    <row r="1448" spans="1:12" ht="18" customHeight="1" x14ac:dyDescent="0.3">
      <c r="A1448" s="25" t="s">
        <v>2939</v>
      </c>
      <c r="B1448" s="8" t="s">
        <v>2940</v>
      </c>
      <c r="C1448" s="25" t="s">
        <v>74</v>
      </c>
      <c r="D1448" s="25" t="s">
        <v>114</v>
      </c>
      <c r="E1448" s="9">
        <v>9300000</v>
      </c>
      <c r="F1448" s="26">
        <v>0.48</v>
      </c>
      <c r="G1448" s="25">
        <v>48</v>
      </c>
      <c r="H1448" s="27">
        <v>16.600000000000001</v>
      </c>
      <c r="I1448" s="21" t="str">
        <f t="shared" si="88"/>
        <v>No cumple</v>
      </c>
      <c r="J1448" s="22" t="str">
        <f t="shared" si="89"/>
        <v>Sin bono</v>
      </c>
      <c r="K1448" s="23" t="str">
        <f t="shared" si="90"/>
        <v>ALERTA</v>
      </c>
      <c r="L1448" s="24" t="str">
        <f t="shared" si="91"/>
        <v>Revisar</v>
      </c>
    </row>
    <row r="1449" spans="1:12" ht="18" customHeight="1" x14ac:dyDescent="0.3">
      <c r="A1449" s="18" t="s">
        <v>2941</v>
      </c>
      <c r="B1449" s="5" t="s">
        <v>2942</v>
      </c>
      <c r="C1449" s="18" t="s">
        <v>63</v>
      </c>
      <c r="D1449" s="18" t="s">
        <v>88</v>
      </c>
      <c r="E1449" s="6">
        <v>10600000</v>
      </c>
      <c r="F1449" s="19">
        <v>0.56999999999999995</v>
      </c>
      <c r="G1449" s="18">
        <v>93</v>
      </c>
      <c r="H1449" s="20">
        <v>16</v>
      </c>
      <c r="I1449" s="21" t="str">
        <f t="shared" si="88"/>
        <v>No cumple</v>
      </c>
      <c r="J1449" s="22" t="str">
        <f t="shared" si="89"/>
        <v>Sin bono</v>
      </c>
      <c r="K1449" s="23" t="str">
        <f t="shared" si="90"/>
        <v>ALERTA</v>
      </c>
      <c r="L1449" s="24" t="str">
        <f t="shared" si="91"/>
        <v>Revisar</v>
      </c>
    </row>
    <row r="1450" spans="1:12" ht="18" customHeight="1" x14ac:dyDescent="0.3">
      <c r="A1450" s="25" t="s">
        <v>2943</v>
      </c>
      <c r="B1450" s="8" t="s">
        <v>2944</v>
      </c>
      <c r="C1450" s="25" t="s">
        <v>63</v>
      </c>
      <c r="D1450" s="25" t="s">
        <v>92</v>
      </c>
      <c r="E1450" s="9">
        <v>4800000</v>
      </c>
      <c r="F1450" s="26">
        <v>0.84</v>
      </c>
      <c r="G1450" s="25">
        <v>70</v>
      </c>
      <c r="H1450" s="27">
        <v>3.8</v>
      </c>
      <c r="I1450" s="21" t="str">
        <f t="shared" si="88"/>
        <v>Cumple</v>
      </c>
      <c r="J1450" s="22" t="str">
        <f t="shared" si="89"/>
        <v>BONO</v>
      </c>
      <c r="K1450" s="23" t="str">
        <f t="shared" si="90"/>
        <v>OK</v>
      </c>
      <c r="L1450" s="24" t="str">
        <f t="shared" si="91"/>
        <v>Bueno</v>
      </c>
    </row>
    <row r="1451" spans="1:12" ht="18" customHeight="1" x14ac:dyDescent="0.3">
      <c r="A1451" s="18" t="s">
        <v>2945</v>
      </c>
      <c r="B1451" s="5" t="s">
        <v>2946</v>
      </c>
      <c r="C1451" s="18" t="s">
        <v>74</v>
      </c>
      <c r="D1451" s="18" t="s">
        <v>68</v>
      </c>
      <c r="E1451" s="6">
        <v>10000000</v>
      </c>
      <c r="F1451" s="19">
        <v>0.79</v>
      </c>
      <c r="G1451" s="18">
        <v>97</v>
      </c>
      <c r="H1451" s="20">
        <v>4.5999999999999996</v>
      </c>
      <c r="I1451" s="21" t="str">
        <f t="shared" si="88"/>
        <v>No cumple</v>
      </c>
      <c r="J1451" s="22" t="str">
        <f t="shared" si="89"/>
        <v>Sin bono</v>
      </c>
      <c r="K1451" s="23" t="str">
        <f t="shared" si="90"/>
        <v>OK</v>
      </c>
      <c r="L1451" s="24" t="str">
        <f t="shared" si="91"/>
        <v>Revisar</v>
      </c>
    </row>
    <row r="1452" spans="1:12" ht="18" customHeight="1" x14ac:dyDescent="0.3">
      <c r="A1452" s="25" t="s">
        <v>2947</v>
      </c>
      <c r="B1452" s="8" t="s">
        <v>2948</v>
      </c>
      <c r="C1452" s="25" t="s">
        <v>81</v>
      </c>
      <c r="D1452" s="25" t="s">
        <v>114</v>
      </c>
      <c r="E1452" s="9">
        <v>10200000</v>
      </c>
      <c r="F1452" s="26">
        <v>0.72</v>
      </c>
      <c r="G1452" s="25">
        <v>83</v>
      </c>
      <c r="H1452" s="27">
        <v>0.2</v>
      </c>
      <c r="I1452" s="21" t="str">
        <f t="shared" si="88"/>
        <v>No cumple</v>
      </c>
      <c r="J1452" s="22" t="str">
        <f t="shared" si="89"/>
        <v>Sin bono</v>
      </c>
      <c r="K1452" s="23" t="str">
        <f t="shared" si="90"/>
        <v>OK</v>
      </c>
      <c r="L1452" s="24" t="str">
        <f t="shared" si="91"/>
        <v>Revisar</v>
      </c>
    </row>
    <row r="1453" spans="1:12" ht="18" customHeight="1" x14ac:dyDescent="0.3">
      <c r="A1453" s="18" t="s">
        <v>2949</v>
      </c>
      <c r="B1453" s="5" t="s">
        <v>2950</v>
      </c>
      <c r="C1453" s="18" t="s">
        <v>63</v>
      </c>
      <c r="D1453" s="18" t="s">
        <v>60</v>
      </c>
      <c r="E1453" s="6">
        <v>5600000</v>
      </c>
      <c r="F1453" s="19">
        <v>0.88</v>
      </c>
      <c r="G1453" s="18">
        <v>89</v>
      </c>
      <c r="H1453" s="20">
        <v>19.7</v>
      </c>
      <c r="I1453" s="21" t="str">
        <f t="shared" si="88"/>
        <v>Cumple</v>
      </c>
      <c r="J1453" s="22" t="str">
        <f t="shared" si="89"/>
        <v>BONO</v>
      </c>
      <c r="K1453" s="23" t="str">
        <f t="shared" si="90"/>
        <v>OK</v>
      </c>
      <c r="L1453" s="24" t="str">
        <f t="shared" si="91"/>
        <v>Bueno</v>
      </c>
    </row>
    <row r="1454" spans="1:12" ht="18" customHeight="1" x14ac:dyDescent="0.3">
      <c r="A1454" s="25" t="s">
        <v>2951</v>
      </c>
      <c r="B1454" s="8" t="s">
        <v>2952</v>
      </c>
      <c r="C1454" s="25" t="s">
        <v>63</v>
      </c>
      <c r="D1454" s="25" t="s">
        <v>114</v>
      </c>
      <c r="E1454" s="9">
        <v>11900000</v>
      </c>
      <c r="F1454" s="26">
        <v>0.5</v>
      </c>
      <c r="G1454" s="25">
        <v>86</v>
      </c>
      <c r="H1454" s="27">
        <v>15.6</v>
      </c>
      <c r="I1454" s="21" t="str">
        <f t="shared" si="88"/>
        <v>No cumple</v>
      </c>
      <c r="J1454" s="22" t="str">
        <f t="shared" si="89"/>
        <v>Sin bono</v>
      </c>
      <c r="K1454" s="23" t="str">
        <f t="shared" si="90"/>
        <v>ALERTA</v>
      </c>
      <c r="L1454" s="24" t="str">
        <f t="shared" si="91"/>
        <v>Revisar</v>
      </c>
    </row>
    <row r="1455" spans="1:12" ht="18" customHeight="1" x14ac:dyDescent="0.3">
      <c r="A1455" s="18" t="s">
        <v>2953</v>
      </c>
      <c r="B1455" s="5" t="s">
        <v>2954</v>
      </c>
      <c r="C1455" s="18" t="s">
        <v>71</v>
      </c>
      <c r="D1455" s="18" t="s">
        <v>64</v>
      </c>
      <c r="E1455" s="6">
        <v>9900000</v>
      </c>
      <c r="F1455" s="19">
        <v>0.72</v>
      </c>
      <c r="G1455" s="18">
        <v>41</v>
      </c>
      <c r="H1455" s="20">
        <v>8</v>
      </c>
      <c r="I1455" s="21" t="str">
        <f t="shared" si="88"/>
        <v>No cumple</v>
      </c>
      <c r="J1455" s="22" t="str">
        <f t="shared" si="89"/>
        <v>Sin bono</v>
      </c>
      <c r="K1455" s="23" t="str">
        <f t="shared" si="90"/>
        <v>ALERTA</v>
      </c>
      <c r="L1455" s="24" t="str">
        <f t="shared" si="91"/>
        <v>Revisar</v>
      </c>
    </row>
    <row r="1456" spans="1:12" ht="18" customHeight="1" x14ac:dyDescent="0.3">
      <c r="A1456" s="25" t="s">
        <v>2955</v>
      </c>
      <c r="B1456" s="8" t="s">
        <v>2956</v>
      </c>
      <c r="C1456" s="25" t="s">
        <v>77</v>
      </c>
      <c r="D1456" s="25" t="s">
        <v>64</v>
      </c>
      <c r="E1456" s="9">
        <v>5000000</v>
      </c>
      <c r="F1456" s="26">
        <v>0.61</v>
      </c>
      <c r="G1456" s="25">
        <v>85</v>
      </c>
      <c r="H1456" s="27">
        <v>3</v>
      </c>
      <c r="I1456" s="21" t="str">
        <f t="shared" si="88"/>
        <v>No cumple</v>
      </c>
      <c r="J1456" s="22" t="str">
        <f t="shared" si="89"/>
        <v>Sin bono</v>
      </c>
      <c r="K1456" s="23" t="str">
        <f t="shared" si="90"/>
        <v>OK</v>
      </c>
      <c r="L1456" s="24" t="str">
        <f t="shared" si="91"/>
        <v>Revisar</v>
      </c>
    </row>
    <row r="1457" spans="1:12" ht="18" customHeight="1" x14ac:dyDescent="0.3">
      <c r="A1457" s="18" t="s">
        <v>2957</v>
      </c>
      <c r="B1457" s="5" t="s">
        <v>2958</v>
      </c>
      <c r="C1457" s="18" t="s">
        <v>74</v>
      </c>
      <c r="D1457" s="18" t="s">
        <v>105</v>
      </c>
      <c r="E1457" s="6">
        <v>8100000</v>
      </c>
      <c r="F1457" s="19">
        <v>0.81</v>
      </c>
      <c r="G1457" s="18">
        <v>70</v>
      </c>
      <c r="H1457" s="20">
        <v>15.8</v>
      </c>
      <c r="I1457" s="21" t="str">
        <f t="shared" si="88"/>
        <v>Cumple</v>
      </c>
      <c r="J1457" s="22" t="str">
        <f t="shared" si="89"/>
        <v>BONO</v>
      </c>
      <c r="K1457" s="23" t="str">
        <f t="shared" si="90"/>
        <v>OK</v>
      </c>
      <c r="L1457" s="24" t="str">
        <f t="shared" si="91"/>
        <v>Bueno</v>
      </c>
    </row>
    <row r="1458" spans="1:12" ht="18" customHeight="1" x14ac:dyDescent="0.3">
      <c r="A1458" s="25" t="s">
        <v>2959</v>
      </c>
      <c r="B1458" s="8" t="s">
        <v>2960</v>
      </c>
      <c r="C1458" s="25" t="s">
        <v>81</v>
      </c>
      <c r="D1458" s="25" t="s">
        <v>64</v>
      </c>
      <c r="E1458" s="9">
        <v>8600000</v>
      </c>
      <c r="F1458" s="26">
        <v>0.56999999999999995</v>
      </c>
      <c r="G1458" s="25">
        <v>73</v>
      </c>
      <c r="H1458" s="27">
        <v>5.0999999999999996</v>
      </c>
      <c r="I1458" s="21" t="str">
        <f t="shared" si="88"/>
        <v>No cumple</v>
      </c>
      <c r="J1458" s="22" t="str">
        <f t="shared" si="89"/>
        <v>Sin bono</v>
      </c>
      <c r="K1458" s="23" t="str">
        <f t="shared" si="90"/>
        <v>ALERTA</v>
      </c>
      <c r="L1458" s="24" t="str">
        <f t="shared" si="91"/>
        <v>Revisar</v>
      </c>
    </row>
    <row r="1459" spans="1:12" ht="18" customHeight="1" x14ac:dyDescent="0.3">
      <c r="A1459" s="18" t="s">
        <v>2961</v>
      </c>
      <c r="B1459" s="5" t="s">
        <v>2962</v>
      </c>
      <c r="C1459" s="18" t="s">
        <v>71</v>
      </c>
      <c r="D1459" s="18" t="s">
        <v>92</v>
      </c>
      <c r="E1459" s="6">
        <v>8700000</v>
      </c>
      <c r="F1459" s="19">
        <v>0.87</v>
      </c>
      <c r="G1459" s="18">
        <v>61</v>
      </c>
      <c r="H1459" s="20">
        <v>10.6</v>
      </c>
      <c r="I1459" s="21" t="str">
        <f t="shared" si="88"/>
        <v>Cumple</v>
      </c>
      <c r="J1459" s="22" t="str">
        <f t="shared" si="89"/>
        <v>Sin bono</v>
      </c>
      <c r="K1459" s="23" t="str">
        <f t="shared" si="90"/>
        <v>OK</v>
      </c>
      <c r="L1459" s="24" t="str">
        <f t="shared" si="91"/>
        <v>Revisar</v>
      </c>
    </row>
    <row r="1460" spans="1:12" ht="18" customHeight="1" x14ac:dyDescent="0.3">
      <c r="A1460" s="25" t="s">
        <v>2963</v>
      </c>
      <c r="B1460" s="8" t="s">
        <v>2964</v>
      </c>
      <c r="C1460" s="25" t="s">
        <v>63</v>
      </c>
      <c r="D1460" s="25" t="s">
        <v>114</v>
      </c>
      <c r="E1460" s="9">
        <v>6200000</v>
      </c>
      <c r="F1460" s="26">
        <v>0.8</v>
      </c>
      <c r="G1460" s="25">
        <v>60</v>
      </c>
      <c r="H1460" s="27">
        <v>12.2</v>
      </c>
      <c r="I1460" s="21" t="str">
        <f t="shared" si="88"/>
        <v>Cumple</v>
      </c>
      <c r="J1460" s="22" t="str">
        <f t="shared" si="89"/>
        <v>Sin bono</v>
      </c>
      <c r="K1460" s="23" t="str">
        <f t="shared" si="90"/>
        <v>OK</v>
      </c>
      <c r="L1460" s="24" t="str">
        <f t="shared" si="91"/>
        <v>Revisar</v>
      </c>
    </row>
    <row r="1461" spans="1:12" ht="18" customHeight="1" x14ac:dyDescent="0.3">
      <c r="A1461" s="18" t="s">
        <v>2965</v>
      </c>
      <c r="B1461" s="5" t="s">
        <v>2966</v>
      </c>
      <c r="C1461" s="18" t="s">
        <v>74</v>
      </c>
      <c r="D1461" s="18" t="s">
        <v>114</v>
      </c>
      <c r="E1461" s="6">
        <v>8200000</v>
      </c>
      <c r="F1461" s="19">
        <v>0.94</v>
      </c>
      <c r="G1461" s="18">
        <v>71</v>
      </c>
      <c r="H1461" s="20">
        <v>17.600000000000001</v>
      </c>
      <c r="I1461" s="21" t="str">
        <f t="shared" si="88"/>
        <v>Cumple</v>
      </c>
      <c r="J1461" s="22" t="str">
        <f t="shared" si="89"/>
        <v>BONO</v>
      </c>
      <c r="K1461" s="23" t="str">
        <f t="shared" si="90"/>
        <v>OK</v>
      </c>
      <c r="L1461" s="24" t="str">
        <f t="shared" si="91"/>
        <v>Bueno</v>
      </c>
    </row>
    <row r="1462" spans="1:12" ht="18" customHeight="1" x14ac:dyDescent="0.3">
      <c r="A1462" s="25" t="s">
        <v>2967</v>
      </c>
      <c r="B1462" s="8" t="s">
        <v>2968</v>
      </c>
      <c r="C1462" s="25" t="s">
        <v>67</v>
      </c>
      <c r="D1462" s="25" t="s">
        <v>88</v>
      </c>
      <c r="E1462" s="9">
        <v>9300000</v>
      </c>
      <c r="F1462" s="26">
        <v>0.8</v>
      </c>
      <c r="G1462" s="25">
        <v>61</v>
      </c>
      <c r="H1462" s="27">
        <v>16.8</v>
      </c>
      <c r="I1462" s="21" t="str">
        <f t="shared" si="88"/>
        <v>Cumple</v>
      </c>
      <c r="J1462" s="22" t="str">
        <f t="shared" si="89"/>
        <v>Sin bono</v>
      </c>
      <c r="K1462" s="23" t="str">
        <f t="shared" si="90"/>
        <v>OK</v>
      </c>
      <c r="L1462" s="24" t="str">
        <f t="shared" si="91"/>
        <v>Revisar</v>
      </c>
    </row>
    <row r="1463" spans="1:12" ht="18" customHeight="1" x14ac:dyDescent="0.3">
      <c r="A1463" s="18" t="s">
        <v>2969</v>
      </c>
      <c r="B1463" s="5" t="s">
        <v>2970</v>
      </c>
      <c r="C1463" s="18" t="s">
        <v>67</v>
      </c>
      <c r="D1463" s="18" t="s">
        <v>114</v>
      </c>
      <c r="E1463" s="6">
        <v>3400000</v>
      </c>
      <c r="F1463" s="19">
        <v>0.61</v>
      </c>
      <c r="G1463" s="18">
        <v>83</v>
      </c>
      <c r="H1463" s="20">
        <v>3.9</v>
      </c>
      <c r="I1463" s="21" t="str">
        <f t="shared" si="88"/>
        <v>No cumple</v>
      </c>
      <c r="J1463" s="22" t="str">
        <f t="shared" si="89"/>
        <v>Sin bono</v>
      </c>
      <c r="K1463" s="23" t="str">
        <f t="shared" si="90"/>
        <v>OK</v>
      </c>
      <c r="L1463" s="24" t="str">
        <f t="shared" si="91"/>
        <v>Revisar</v>
      </c>
    </row>
    <row r="1464" spans="1:12" ht="18" customHeight="1" x14ac:dyDescent="0.3">
      <c r="A1464" s="25" t="s">
        <v>2971</v>
      </c>
      <c r="B1464" s="8" t="s">
        <v>2972</v>
      </c>
      <c r="C1464" s="25" t="s">
        <v>67</v>
      </c>
      <c r="D1464" s="25" t="s">
        <v>114</v>
      </c>
      <c r="E1464" s="9">
        <v>6800000</v>
      </c>
      <c r="F1464" s="26">
        <v>0.52</v>
      </c>
      <c r="G1464" s="25">
        <v>100</v>
      </c>
      <c r="H1464" s="27">
        <v>0</v>
      </c>
      <c r="I1464" s="21" t="str">
        <f t="shared" si="88"/>
        <v>No cumple</v>
      </c>
      <c r="J1464" s="22" t="str">
        <f t="shared" si="89"/>
        <v>Sin bono</v>
      </c>
      <c r="K1464" s="23" t="str">
        <f t="shared" si="90"/>
        <v>ALERTA</v>
      </c>
      <c r="L1464" s="24" t="str">
        <f t="shared" si="91"/>
        <v>Revisar</v>
      </c>
    </row>
    <row r="1465" spans="1:12" ht="18" customHeight="1" x14ac:dyDescent="0.3">
      <c r="A1465" s="18" t="s">
        <v>2973</v>
      </c>
      <c r="B1465" s="5" t="s">
        <v>2974</v>
      </c>
      <c r="C1465" s="18" t="s">
        <v>77</v>
      </c>
      <c r="D1465" s="18" t="s">
        <v>114</v>
      </c>
      <c r="E1465" s="6">
        <v>4500000</v>
      </c>
      <c r="F1465" s="19">
        <v>0.91</v>
      </c>
      <c r="G1465" s="18">
        <v>91</v>
      </c>
      <c r="H1465" s="20">
        <v>18.2</v>
      </c>
      <c r="I1465" s="21" t="str">
        <f t="shared" si="88"/>
        <v>Cumple</v>
      </c>
      <c r="J1465" s="22" t="str">
        <f t="shared" si="89"/>
        <v>BONO</v>
      </c>
      <c r="K1465" s="23" t="str">
        <f t="shared" si="90"/>
        <v>OK</v>
      </c>
      <c r="L1465" s="24" t="str">
        <f t="shared" si="91"/>
        <v>Excelente</v>
      </c>
    </row>
    <row r="1466" spans="1:12" ht="18" customHeight="1" x14ac:dyDescent="0.3">
      <c r="A1466" s="25" t="s">
        <v>2975</v>
      </c>
      <c r="B1466" s="8" t="s">
        <v>2976</v>
      </c>
      <c r="C1466" s="25" t="s">
        <v>71</v>
      </c>
      <c r="D1466" s="25" t="s">
        <v>68</v>
      </c>
      <c r="E1466" s="9">
        <v>7500000</v>
      </c>
      <c r="F1466" s="26">
        <v>0.51</v>
      </c>
      <c r="G1466" s="25">
        <v>75</v>
      </c>
      <c r="H1466" s="27">
        <v>14.2</v>
      </c>
      <c r="I1466" s="21" t="str">
        <f t="shared" si="88"/>
        <v>No cumple</v>
      </c>
      <c r="J1466" s="22" t="str">
        <f t="shared" si="89"/>
        <v>Sin bono</v>
      </c>
      <c r="K1466" s="23" t="str">
        <f t="shared" si="90"/>
        <v>ALERTA</v>
      </c>
      <c r="L1466" s="24" t="str">
        <f t="shared" si="91"/>
        <v>Revisar</v>
      </c>
    </row>
    <row r="1467" spans="1:12" ht="18" customHeight="1" x14ac:dyDescent="0.3">
      <c r="A1467" s="18" t="s">
        <v>2977</v>
      </c>
      <c r="B1467" s="5" t="s">
        <v>2978</v>
      </c>
      <c r="C1467" s="18" t="s">
        <v>71</v>
      </c>
      <c r="D1467" s="18" t="s">
        <v>88</v>
      </c>
      <c r="E1467" s="6">
        <v>4300000</v>
      </c>
      <c r="F1467" s="19">
        <v>1</v>
      </c>
      <c r="G1467" s="18">
        <v>58</v>
      </c>
      <c r="H1467" s="20">
        <v>11.8</v>
      </c>
      <c r="I1467" s="21" t="str">
        <f t="shared" si="88"/>
        <v>Cumple</v>
      </c>
      <c r="J1467" s="22" t="str">
        <f t="shared" si="89"/>
        <v>Sin bono</v>
      </c>
      <c r="K1467" s="23" t="str">
        <f t="shared" si="90"/>
        <v>OK</v>
      </c>
      <c r="L1467" s="24" t="str">
        <f t="shared" si="91"/>
        <v>Revisar</v>
      </c>
    </row>
    <row r="1468" spans="1:12" ht="18" customHeight="1" x14ac:dyDescent="0.3">
      <c r="A1468" s="25" t="s">
        <v>2979</v>
      </c>
      <c r="B1468" s="8" t="s">
        <v>2980</v>
      </c>
      <c r="C1468" s="25" t="s">
        <v>63</v>
      </c>
      <c r="D1468" s="25" t="s">
        <v>92</v>
      </c>
      <c r="E1468" s="9">
        <v>8300000</v>
      </c>
      <c r="F1468" s="26">
        <v>0.81</v>
      </c>
      <c r="G1468" s="25">
        <v>40</v>
      </c>
      <c r="H1468" s="27">
        <v>2.2000000000000002</v>
      </c>
      <c r="I1468" s="21" t="str">
        <f t="shared" si="88"/>
        <v>Cumple</v>
      </c>
      <c r="J1468" s="22" t="str">
        <f t="shared" si="89"/>
        <v>Sin bono</v>
      </c>
      <c r="K1468" s="23" t="str">
        <f t="shared" si="90"/>
        <v>ALERTA</v>
      </c>
      <c r="L1468" s="24" t="str">
        <f t="shared" si="91"/>
        <v>Revisar</v>
      </c>
    </row>
    <row r="1469" spans="1:12" ht="18" customHeight="1" x14ac:dyDescent="0.3">
      <c r="A1469" s="18" t="s">
        <v>2981</v>
      </c>
      <c r="B1469" s="5" t="s">
        <v>2982</v>
      </c>
      <c r="C1469" s="18" t="s">
        <v>67</v>
      </c>
      <c r="D1469" s="18" t="s">
        <v>78</v>
      </c>
      <c r="E1469" s="6">
        <v>5900000</v>
      </c>
      <c r="F1469" s="19">
        <v>0.96</v>
      </c>
      <c r="G1469" s="18">
        <v>88</v>
      </c>
      <c r="H1469" s="20">
        <v>11.7</v>
      </c>
      <c r="I1469" s="21" t="str">
        <f t="shared" si="88"/>
        <v>Cumple</v>
      </c>
      <c r="J1469" s="22" t="str">
        <f t="shared" si="89"/>
        <v>BONO</v>
      </c>
      <c r="K1469" s="23" t="str">
        <f t="shared" si="90"/>
        <v>OK</v>
      </c>
      <c r="L1469" s="24" t="str">
        <f t="shared" si="91"/>
        <v>Excelente</v>
      </c>
    </row>
    <row r="1470" spans="1:12" ht="18" customHeight="1" x14ac:dyDescent="0.3">
      <c r="A1470" s="25" t="s">
        <v>2983</v>
      </c>
      <c r="B1470" s="8" t="s">
        <v>2984</v>
      </c>
      <c r="C1470" s="25" t="s">
        <v>91</v>
      </c>
      <c r="D1470" s="25" t="s">
        <v>64</v>
      </c>
      <c r="E1470" s="9">
        <v>5600000</v>
      </c>
      <c r="F1470" s="26">
        <v>0.89</v>
      </c>
      <c r="G1470" s="25">
        <v>68</v>
      </c>
      <c r="H1470" s="27">
        <v>6.9</v>
      </c>
      <c r="I1470" s="21" t="str">
        <f t="shared" si="88"/>
        <v>Cumple</v>
      </c>
      <c r="J1470" s="22" t="str">
        <f t="shared" si="89"/>
        <v>Sin bono</v>
      </c>
      <c r="K1470" s="23" t="str">
        <f t="shared" si="90"/>
        <v>OK</v>
      </c>
      <c r="L1470" s="24" t="str">
        <f t="shared" si="91"/>
        <v>Revisar</v>
      </c>
    </row>
    <row r="1471" spans="1:12" ht="18" customHeight="1" x14ac:dyDescent="0.3">
      <c r="A1471" s="18" t="s">
        <v>2985</v>
      </c>
      <c r="B1471" s="5" t="s">
        <v>2986</v>
      </c>
      <c r="C1471" s="18" t="s">
        <v>63</v>
      </c>
      <c r="D1471" s="18" t="s">
        <v>88</v>
      </c>
      <c r="E1471" s="6">
        <v>9800000</v>
      </c>
      <c r="F1471" s="19">
        <v>0.59</v>
      </c>
      <c r="G1471" s="18">
        <v>64</v>
      </c>
      <c r="H1471" s="20">
        <v>1.7</v>
      </c>
      <c r="I1471" s="21" t="str">
        <f t="shared" si="88"/>
        <v>No cumple</v>
      </c>
      <c r="J1471" s="22" t="str">
        <f t="shared" si="89"/>
        <v>Sin bono</v>
      </c>
      <c r="K1471" s="23" t="str">
        <f t="shared" si="90"/>
        <v>ALERTA</v>
      </c>
      <c r="L1471" s="24" t="str">
        <f t="shared" si="91"/>
        <v>Revisar</v>
      </c>
    </row>
    <row r="1472" spans="1:12" ht="18" customHeight="1" x14ac:dyDescent="0.3">
      <c r="A1472" s="25" t="s">
        <v>2987</v>
      </c>
      <c r="B1472" s="8" t="s">
        <v>2988</v>
      </c>
      <c r="C1472" s="25" t="s">
        <v>74</v>
      </c>
      <c r="D1472" s="25" t="s">
        <v>60</v>
      </c>
      <c r="E1472" s="9">
        <v>4200000</v>
      </c>
      <c r="F1472" s="26">
        <v>0.73</v>
      </c>
      <c r="G1472" s="25">
        <v>64</v>
      </c>
      <c r="H1472" s="27">
        <v>18.2</v>
      </c>
      <c r="I1472" s="21" t="str">
        <f t="shared" si="88"/>
        <v>No cumple</v>
      </c>
      <c r="J1472" s="22" t="str">
        <f t="shared" si="89"/>
        <v>Sin bono</v>
      </c>
      <c r="K1472" s="23" t="str">
        <f t="shared" si="90"/>
        <v>OK</v>
      </c>
      <c r="L1472" s="24" t="str">
        <f t="shared" si="91"/>
        <v>Revisar</v>
      </c>
    </row>
    <row r="1473" spans="1:12" ht="18" customHeight="1" x14ac:dyDescent="0.3">
      <c r="A1473" s="18" t="s">
        <v>2989</v>
      </c>
      <c r="B1473" s="5" t="s">
        <v>2990</v>
      </c>
      <c r="C1473" s="18" t="s">
        <v>67</v>
      </c>
      <c r="D1473" s="18" t="s">
        <v>92</v>
      </c>
      <c r="E1473" s="6">
        <v>9000000</v>
      </c>
      <c r="F1473" s="19">
        <v>0.55000000000000004</v>
      </c>
      <c r="G1473" s="18">
        <v>55</v>
      </c>
      <c r="H1473" s="20">
        <v>14.1</v>
      </c>
      <c r="I1473" s="21" t="str">
        <f t="shared" si="88"/>
        <v>No cumple</v>
      </c>
      <c r="J1473" s="22" t="str">
        <f t="shared" si="89"/>
        <v>Sin bono</v>
      </c>
      <c r="K1473" s="23" t="str">
        <f t="shared" si="90"/>
        <v>ALERTA</v>
      </c>
      <c r="L1473" s="24" t="str">
        <f t="shared" si="91"/>
        <v>Revisar</v>
      </c>
    </row>
    <row r="1474" spans="1:12" ht="18" customHeight="1" x14ac:dyDescent="0.3">
      <c r="A1474" s="25" t="s">
        <v>2991</v>
      </c>
      <c r="B1474" s="8" t="s">
        <v>2992</v>
      </c>
      <c r="C1474" s="25" t="s">
        <v>67</v>
      </c>
      <c r="D1474" s="25" t="s">
        <v>60</v>
      </c>
      <c r="E1474" s="9">
        <v>3200000</v>
      </c>
      <c r="F1474" s="26">
        <v>0.51</v>
      </c>
      <c r="G1474" s="25">
        <v>50</v>
      </c>
      <c r="H1474" s="27">
        <v>11.1</v>
      </c>
      <c r="I1474" s="21" t="str">
        <f t="shared" si="88"/>
        <v>No cumple</v>
      </c>
      <c r="J1474" s="22" t="str">
        <f t="shared" si="89"/>
        <v>Sin bono</v>
      </c>
      <c r="K1474" s="23" t="str">
        <f t="shared" si="90"/>
        <v>ALERTA</v>
      </c>
      <c r="L1474" s="24" t="str">
        <f t="shared" si="91"/>
        <v>Revisar</v>
      </c>
    </row>
    <row r="1475" spans="1:12" ht="18" customHeight="1" x14ac:dyDescent="0.3">
      <c r="A1475" s="18" t="s">
        <v>2993</v>
      </c>
      <c r="B1475" s="5" t="s">
        <v>2994</v>
      </c>
      <c r="C1475" s="18" t="s">
        <v>59</v>
      </c>
      <c r="D1475" s="18" t="s">
        <v>114</v>
      </c>
      <c r="E1475" s="6">
        <v>5600000</v>
      </c>
      <c r="F1475" s="19">
        <v>0.69</v>
      </c>
      <c r="G1475" s="18">
        <v>91</v>
      </c>
      <c r="H1475" s="20">
        <v>11.4</v>
      </c>
      <c r="I1475" s="21" t="str">
        <f t="shared" si="88"/>
        <v>No cumple</v>
      </c>
      <c r="J1475" s="22" t="str">
        <f t="shared" si="89"/>
        <v>Sin bono</v>
      </c>
      <c r="K1475" s="23" t="str">
        <f t="shared" si="90"/>
        <v>OK</v>
      </c>
      <c r="L1475" s="24" t="str">
        <f t="shared" si="91"/>
        <v>Revisar</v>
      </c>
    </row>
    <row r="1476" spans="1:12" ht="18" customHeight="1" x14ac:dyDescent="0.3">
      <c r="A1476" s="25" t="s">
        <v>2995</v>
      </c>
      <c r="B1476" s="8" t="s">
        <v>2996</v>
      </c>
      <c r="C1476" s="25" t="s">
        <v>74</v>
      </c>
      <c r="D1476" s="25" t="s">
        <v>114</v>
      </c>
      <c r="E1476" s="9">
        <v>9900000</v>
      </c>
      <c r="F1476" s="26">
        <v>0.49</v>
      </c>
      <c r="G1476" s="25">
        <v>95</v>
      </c>
      <c r="H1476" s="27">
        <v>6.3</v>
      </c>
      <c r="I1476" s="21" t="str">
        <f t="shared" si="88"/>
        <v>No cumple</v>
      </c>
      <c r="J1476" s="22" t="str">
        <f t="shared" si="89"/>
        <v>Sin bono</v>
      </c>
      <c r="K1476" s="23" t="str">
        <f t="shared" si="90"/>
        <v>ALERTA</v>
      </c>
      <c r="L1476" s="24" t="str">
        <f t="shared" si="91"/>
        <v>Revisar</v>
      </c>
    </row>
    <row r="1477" spans="1:12" ht="18" customHeight="1" x14ac:dyDescent="0.3">
      <c r="A1477" s="18" t="s">
        <v>2997</v>
      </c>
      <c r="B1477" s="5" t="s">
        <v>2998</v>
      </c>
      <c r="C1477" s="18" t="s">
        <v>59</v>
      </c>
      <c r="D1477" s="18" t="s">
        <v>78</v>
      </c>
      <c r="E1477" s="6">
        <v>8000000</v>
      </c>
      <c r="F1477" s="19">
        <v>0.48</v>
      </c>
      <c r="G1477" s="18">
        <v>83</v>
      </c>
      <c r="H1477" s="20">
        <v>3.1</v>
      </c>
      <c r="I1477" s="21" t="str">
        <f t="shared" si="88"/>
        <v>No cumple</v>
      </c>
      <c r="J1477" s="22" t="str">
        <f t="shared" si="89"/>
        <v>Sin bono</v>
      </c>
      <c r="K1477" s="23" t="str">
        <f t="shared" si="90"/>
        <v>ALERTA</v>
      </c>
      <c r="L1477" s="24" t="str">
        <f t="shared" si="91"/>
        <v>Revisar</v>
      </c>
    </row>
    <row r="1478" spans="1:12" ht="18" customHeight="1" x14ac:dyDescent="0.3">
      <c r="A1478" s="25" t="s">
        <v>2999</v>
      </c>
      <c r="B1478" s="8" t="s">
        <v>3000</v>
      </c>
      <c r="C1478" s="25" t="s">
        <v>71</v>
      </c>
      <c r="D1478" s="25" t="s">
        <v>92</v>
      </c>
      <c r="E1478" s="9">
        <v>10200000</v>
      </c>
      <c r="F1478" s="26">
        <v>0.76</v>
      </c>
      <c r="G1478" s="25">
        <v>71</v>
      </c>
      <c r="H1478" s="27">
        <v>5.7</v>
      </c>
      <c r="I1478" s="21" t="str">
        <f t="shared" si="88"/>
        <v>No cumple</v>
      </c>
      <c r="J1478" s="22" t="str">
        <f t="shared" si="89"/>
        <v>Sin bono</v>
      </c>
      <c r="K1478" s="23" t="str">
        <f t="shared" si="90"/>
        <v>OK</v>
      </c>
      <c r="L1478" s="24" t="str">
        <f t="shared" si="91"/>
        <v>Revisar</v>
      </c>
    </row>
    <row r="1479" spans="1:12" ht="18" customHeight="1" x14ac:dyDescent="0.3">
      <c r="A1479" s="18" t="s">
        <v>3001</v>
      </c>
      <c r="B1479" s="5" t="s">
        <v>3002</v>
      </c>
      <c r="C1479" s="18" t="s">
        <v>77</v>
      </c>
      <c r="D1479" s="18" t="s">
        <v>92</v>
      </c>
      <c r="E1479" s="6">
        <v>8500000</v>
      </c>
      <c r="F1479" s="19">
        <v>0.53</v>
      </c>
      <c r="G1479" s="18">
        <v>55</v>
      </c>
      <c r="H1479" s="20">
        <v>12.6</v>
      </c>
      <c r="I1479" s="21" t="str">
        <f t="shared" si="88"/>
        <v>No cumple</v>
      </c>
      <c r="J1479" s="22" t="str">
        <f t="shared" si="89"/>
        <v>Sin bono</v>
      </c>
      <c r="K1479" s="23" t="str">
        <f t="shared" si="90"/>
        <v>ALERTA</v>
      </c>
      <c r="L1479" s="24" t="str">
        <f t="shared" si="91"/>
        <v>Revisar</v>
      </c>
    </row>
    <row r="1480" spans="1:12" ht="18" customHeight="1" x14ac:dyDescent="0.3">
      <c r="A1480" s="25" t="s">
        <v>3003</v>
      </c>
      <c r="B1480" s="8" t="s">
        <v>3004</v>
      </c>
      <c r="C1480" s="25" t="s">
        <v>74</v>
      </c>
      <c r="D1480" s="25" t="s">
        <v>78</v>
      </c>
      <c r="E1480" s="9">
        <v>8300000</v>
      </c>
      <c r="F1480" s="26">
        <v>0.88</v>
      </c>
      <c r="G1480" s="25">
        <v>34</v>
      </c>
      <c r="H1480" s="27">
        <v>17.399999999999999</v>
      </c>
      <c r="I1480" s="21" t="str">
        <f t="shared" si="88"/>
        <v>Cumple</v>
      </c>
      <c r="J1480" s="22" t="str">
        <f t="shared" si="89"/>
        <v>Sin bono</v>
      </c>
      <c r="K1480" s="23" t="str">
        <f t="shared" si="90"/>
        <v>ALERTA</v>
      </c>
      <c r="L1480" s="24" t="str">
        <f t="shared" si="91"/>
        <v>Revisar</v>
      </c>
    </row>
    <row r="1481" spans="1:12" ht="18" customHeight="1" x14ac:dyDescent="0.3">
      <c r="A1481" s="18" t="s">
        <v>3005</v>
      </c>
      <c r="B1481" s="5" t="s">
        <v>3006</v>
      </c>
      <c r="C1481" s="18" t="s">
        <v>59</v>
      </c>
      <c r="D1481" s="18" t="s">
        <v>92</v>
      </c>
      <c r="E1481" s="6">
        <v>6400000</v>
      </c>
      <c r="F1481" s="19">
        <v>1</v>
      </c>
      <c r="G1481" s="18">
        <v>80</v>
      </c>
      <c r="H1481" s="20">
        <v>16.5</v>
      </c>
      <c r="I1481" s="21" t="str">
        <f t="shared" si="88"/>
        <v>Cumple</v>
      </c>
      <c r="J1481" s="22" t="str">
        <f t="shared" si="89"/>
        <v>BONO</v>
      </c>
      <c r="K1481" s="23" t="str">
        <f t="shared" si="90"/>
        <v>OK</v>
      </c>
      <c r="L1481" s="24" t="str">
        <f t="shared" si="91"/>
        <v>Bueno</v>
      </c>
    </row>
    <row r="1482" spans="1:12" ht="18" customHeight="1" x14ac:dyDescent="0.3">
      <c r="A1482" s="25" t="s">
        <v>3007</v>
      </c>
      <c r="B1482" s="8" t="s">
        <v>3008</v>
      </c>
      <c r="C1482" s="25" t="s">
        <v>77</v>
      </c>
      <c r="D1482" s="25" t="s">
        <v>114</v>
      </c>
      <c r="E1482" s="9">
        <v>11100000</v>
      </c>
      <c r="F1482" s="26">
        <v>0.79</v>
      </c>
      <c r="G1482" s="25">
        <v>76</v>
      </c>
      <c r="H1482" s="27">
        <v>3</v>
      </c>
      <c r="I1482" s="21" t="str">
        <f t="shared" si="88"/>
        <v>No cumple</v>
      </c>
      <c r="J1482" s="22" t="str">
        <f t="shared" si="89"/>
        <v>Sin bono</v>
      </c>
      <c r="K1482" s="23" t="str">
        <f t="shared" si="90"/>
        <v>OK</v>
      </c>
      <c r="L1482" s="24" t="str">
        <f t="shared" si="91"/>
        <v>Revisar</v>
      </c>
    </row>
    <row r="1483" spans="1:12" ht="18" customHeight="1" x14ac:dyDescent="0.3">
      <c r="A1483" s="18" t="s">
        <v>3009</v>
      </c>
      <c r="B1483" s="5" t="s">
        <v>3010</v>
      </c>
      <c r="C1483" s="18" t="s">
        <v>77</v>
      </c>
      <c r="D1483" s="18" t="s">
        <v>114</v>
      </c>
      <c r="E1483" s="6">
        <v>11600000</v>
      </c>
      <c r="F1483" s="19">
        <v>0.57999999999999996</v>
      </c>
      <c r="G1483" s="18">
        <v>70</v>
      </c>
      <c r="H1483" s="20">
        <v>4.2</v>
      </c>
      <c r="I1483" s="21" t="str">
        <f t="shared" si="88"/>
        <v>No cumple</v>
      </c>
      <c r="J1483" s="22" t="str">
        <f t="shared" si="89"/>
        <v>Sin bono</v>
      </c>
      <c r="K1483" s="23" t="str">
        <f t="shared" si="90"/>
        <v>ALERTA</v>
      </c>
      <c r="L1483" s="24" t="str">
        <f t="shared" si="91"/>
        <v>Revisar</v>
      </c>
    </row>
    <row r="1484" spans="1:12" ht="18" customHeight="1" x14ac:dyDescent="0.3">
      <c r="A1484" s="25" t="s">
        <v>3011</v>
      </c>
      <c r="B1484" s="8" t="s">
        <v>3012</v>
      </c>
      <c r="C1484" s="25" t="s">
        <v>91</v>
      </c>
      <c r="D1484" s="25" t="s">
        <v>68</v>
      </c>
      <c r="E1484" s="9">
        <v>4200000</v>
      </c>
      <c r="F1484" s="26">
        <v>0.56999999999999995</v>
      </c>
      <c r="G1484" s="25">
        <v>45</v>
      </c>
      <c r="H1484" s="27">
        <v>8.1</v>
      </c>
      <c r="I1484" s="21" t="str">
        <f t="shared" si="88"/>
        <v>No cumple</v>
      </c>
      <c r="J1484" s="22" t="str">
        <f t="shared" si="89"/>
        <v>Sin bono</v>
      </c>
      <c r="K1484" s="23" t="str">
        <f t="shared" si="90"/>
        <v>ALERTA</v>
      </c>
      <c r="L1484" s="24" t="str">
        <f t="shared" si="91"/>
        <v>Revisar</v>
      </c>
    </row>
    <row r="1485" spans="1:12" ht="18" customHeight="1" x14ac:dyDescent="0.3">
      <c r="A1485" s="18" t="s">
        <v>3013</v>
      </c>
      <c r="B1485" s="5" t="s">
        <v>3014</v>
      </c>
      <c r="C1485" s="18" t="s">
        <v>91</v>
      </c>
      <c r="D1485" s="18" t="s">
        <v>88</v>
      </c>
      <c r="E1485" s="6">
        <v>5000000</v>
      </c>
      <c r="F1485" s="19">
        <v>0.78</v>
      </c>
      <c r="G1485" s="18">
        <v>56</v>
      </c>
      <c r="H1485" s="20">
        <v>5.0999999999999996</v>
      </c>
      <c r="I1485" s="21" t="str">
        <f t="shared" ref="I1485:I1512" si="92">IF(F1485&gt;=0.8,"Cumple","No cumple")</f>
        <v>No cumple</v>
      </c>
      <c r="J1485" s="22" t="str">
        <f t="shared" ref="J1485:J1512" si="93">IF(AND(F1485&gt;=0.8,G1485&gt;=70),"BONO","Sin bono")</f>
        <v>Sin bono</v>
      </c>
      <c r="K1485" s="23" t="str">
        <f t="shared" ref="K1485:K1512" si="94">IF(OR(F1485&lt;0.6,G1485&lt;50),"ALERTA","OK")</f>
        <v>OK</v>
      </c>
      <c r="L1485" s="24" t="str">
        <f t="shared" ref="L1485:L1512" si="95">IF(AND(F1485&gt;=0.9,G1485&gt;=85),"Excelente",IF(AND(F1485&gt;=0.8,G1485&gt;=70),"Bueno","Revisar"))</f>
        <v>Revisar</v>
      </c>
    </row>
    <row r="1486" spans="1:12" ht="18" customHeight="1" x14ac:dyDescent="0.3">
      <c r="A1486" s="25" t="s">
        <v>3015</v>
      </c>
      <c r="B1486" s="8" t="s">
        <v>3016</v>
      </c>
      <c r="C1486" s="25" t="s">
        <v>74</v>
      </c>
      <c r="D1486" s="25" t="s">
        <v>114</v>
      </c>
      <c r="E1486" s="9">
        <v>8300000</v>
      </c>
      <c r="F1486" s="26">
        <v>0.64</v>
      </c>
      <c r="G1486" s="25">
        <v>58</v>
      </c>
      <c r="H1486" s="27">
        <v>12</v>
      </c>
      <c r="I1486" s="21" t="str">
        <f t="shared" si="92"/>
        <v>No cumple</v>
      </c>
      <c r="J1486" s="22" t="str">
        <f t="shared" si="93"/>
        <v>Sin bono</v>
      </c>
      <c r="K1486" s="23" t="str">
        <f t="shared" si="94"/>
        <v>OK</v>
      </c>
      <c r="L1486" s="24" t="str">
        <f t="shared" si="95"/>
        <v>Revisar</v>
      </c>
    </row>
    <row r="1487" spans="1:12" ht="18" customHeight="1" x14ac:dyDescent="0.3">
      <c r="A1487" s="18" t="s">
        <v>3017</v>
      </c>
      <c r="B1487" s="5" t="s">
        <v>3018</v>
      </c>
      <c r="C1487" s="18" t="s">
        <v>71</v>
      </c>
      <c r="D1487" s="18" t="s">
        <v>78</v>
      </c>
      <c r="E1487" s="6">
        <v>10700000</v>
      </c>
      <c r="F1487" s="19">
        <v>0.93</v>
      </c>
      <c r="G1487" s="18">
        <v>96</v>
      </c>
      <c r="H1487" s="20">
        <v>7.3</v>
      </c>
      <c r="I1487" s="21" t="str">
        <f t="shared" si="92"/>
        <v>Cumple</v>
      </c>
      <c r="J1487" s="22" t="str">
        <f t="shared" si="93"/>
        <v>BONO</v>
      </c>
      <c r="K1487" s="23" t="str">
        <f t="shared" si="94"/>
        <v>OK</v>
      </c>
      <c r="L1487" s="24" t="str">
        <f t="shared" si="95"/>
        <v>Excelente</v>
      </c>
    </row>
    <row r="1488" spans="1:12" ht="18" customHeight="1" x14ac:dyDescent="0.3">
      <c r="A1488" s="25" t="s">
        <v>3019</v>
      </c>
      <c r="B1488" s="8" t="s">
        <v>3020</v>
      </c>
      <c r="C1488" s="25" t="s">
        <v>71</v>
      </c>
      <c r="D1488" s="25" t="s">
        <v>105</v>
      </c>
      <c r="E1488" s="9">
        <v>11800000</v>
      </c>
      <c r="F1488" s="26">
        <v>0.91</v>
      </c>
      <c r="G1488" s="25">
        <v>65</v>
      </c>
      <c r="H1488" s="27">
        <v>6</v>
      </c>
      <c r="I1488" s="21" t="str">
        <f t="shared" si="92"/>
        <v>Cumple</v>
      </c>
      <c r="J1488" s="22" t="str">
        <f t="shared" si="93"/>
        <v>Sin bono</v>
      </c>
      <c r="K1488" s="23" t="str">
        <f t="shared" si="94"/>
        <v>OK</v>
      </c>
      <c r="L1488" s="24" t="str">
        <f t="shared" si="95"/>
        <v>Revisar</v>
      </c>
    </row>
    <row r="1489" spans="1:12" ht="18" customHeight="1" x14ac:dyDescent="0.3">
      <c r="A1489" s="18" t="s">
        <v>3021</v>
      </c>
      <c r="B1489" s="5" t="s">
        <v>3022</v>
      </c>
      <c r="C1489" s="18" t="s">
        <v>63</v>
      </c>
      <c r="D1489" s="18" t="s">
        <v>60</v>
      </c>
      <c r="E1489" s="6">
        <v>9700000</v>
      </c>
      <c r="F1489" s="19">
        <v>0.68</v>
      </c>
      <c r="G1489" s="18">
        <v>80</v>
      </c>
      <c r="H1489" s="20">
        <v>11.4</v>
      </c>
      <c r="I1489" s="21" t="str">
        <f t="shared" si="92"/>
        <v>No cumple</v>
      </c>
      <c r="J1489" s="22" t="str">
        <f t="shared" si="93"/>
        <v>Sin bono</v>
      </c>
      <c r="K1489" s="23" t="str">
        <f t="shared" si="94"/>
        <v>OK</v>
      </c>
      <c r="L1489" s="24" t="str">
        <f t="shared" si="95"/>
        <v>Revisar</v>
      </c>
    </row>
    <row r="1490" spans="1:12" ht="18" customHeight="1" x14ac:dyDescent="0.3">
      <c r="A1490" s="25" t="s">
        <v>3023</v>
      </c>
      <c r="B1490" s="8" t="s">
        <v>2716</v>
      </c>
      <c r="C1490" s="25" t="s">
        <v>63</v>
      </c>
      <c r="D1490" s="25" t="s">
        <v>88</v>
      </c>
      <c r="E1490" s="9">
        <v>8700000</v>
      </c>
      <c r="F1490" s="26">
        <v>0.72</v>
      </c>
      <c r="G1490" s="25">
        <v>70</v>
      </c>
      <c r="H1490" s="27">
        <v>2.1</v>
      </c>
      <c r="I1490" s="21" t="str">
        <f t="shared" si="92"/>
        <v>No cumple</v>
      </c>
      <c r="J1490" s="22" t="str">
        <f t="shared" si="93"/>
        <v>Sin bono</v>
      </c>
      <c r="K1490" s="23" t="str">
        <f t="shared" si="94"/>
        <v>OK</v>
      </c>
      <c r="L1490" s="24" t="str">
        <f t="shared" si="95"/>
        <v>Revisar</v>
      </c>
    </row>
    <row r="1491" spans="1:12" ht="18" customHeight="1" x14ac:dyDescent="0.3">
      <c r="A1491" s="18" t="s">
        <v>3024</v>
      </c>
      <c r="B1491" s="5" t="s">
        <v>2845</v>
      </c>
      <c r="C1491" s="18" t="s">
        <v>67</v>
      </c>
      <c r="D1491" s="18" t="s">
        <v>92</v>
      </c>
      <c r="E1491" s="6">
        <v>11400000</v>
      </c>
      <c r="F1491" s="19">
        <v>0.54</v>
      </c>
      <c r="G1491" s="18">
        <v>81</v>
      </c>
      <c r="H1491" s="20">
        <v>14.4</v>
      </c>
      <c r="I1491" s="21" t="str">
        <f t="shared" si="92"/>
        <v>No cumple</v>
      </c>
      <c r="J1491" s="22" t="str">
        <f t="shared" si="93"/>
        <v>Sin bono</v>
      </c>
      <c r="K1491" s="23" t="str">
        <f t="shared" si="94"/>
        <v>ALERTA</v>
      </c>
      <c r="L1491" s="24" t="str">
        <f t="shared" si="95"/>
        <v>Revisar</v>
      </c>
    </row>
    <row r="1492" spans="1:12" ht="18" customHeight="1" x14ac:dyDescent="0.3">
      <c r="A1492" s="25" t="s">
        <v>3025</v>
      </c>
      <c r="B1492" s="8" t="s">
        <v>3026</v>
      </c>
      <c r="C1492" s="25" t="s">
        <v>67</v>
      </c>
      <c r="D1492" s="25" t="s">
        <v>88</v>
      </c>
      <c r="E1492" s="9">
        <v>4400000</v>
      </c>
      <c r="F1492" s="26">
        <v>0.72</v>
      </c>
      <c r="G1492" s="25">
        <v>50</v>
      </c>
      <c r="H1492" s="27">
        <v>16.899999999999999</v>
      </c>
      <c r="I1492" s="21" t="str">
        <f t="shared" si="92"/>
        <v>No cumple</v>
      </c>
      <c r="J1492" s="22" t="str">
        <f t="shared" si="93"/>
        <v>Sin bono</v>
      </c>
      <c r="K1492" s="23" t="str">
        <f t="shared" si="94"/>
        <v>OK</v>
      </c>
      <c r="L1492" s="24" t="str">
        <f t="shared" si="95"/>
        <v>Revisar</v>
      </c>
    </row>
    <row r="1493" spans="1:12" ht="18" customHeight="1" x14ac:dyDescent="0.3">
      <c r="A1493" s="18" t="s">
        <v>3027</v>
      </c>
      <c r="B1493" s="5" t="s">
        <v>3028</v>
      </c>
      <c r="C1493" s="18" t="s">
        <v>77</v>
      </c>
      <c r="D1493" s="18" t="s">
        <v>60</v>
      </c>
      <c r="E1493" s="6">
        <v>11800000</v>
      </c>
      <c r="F1493" s="19">
        <v>0.62</v>
      </c>
      <c r="G1493" s="18">
        <v>61</v>
      </c>
      <c r="H1493" s="20">
        <v>1.5</v>
      </c>
      <c r="I1493" s="21" t="str">
        <f t="shared" si="92"/>
        <v>No cumple</v>
      </c>
      <c r="J1493" s="22" t="str">
        <f t="shared" si="93"/>
        <v>Sin bono</v>
      </c>
      <c r="K1493" s="23" t="str">
        <f t="shared" si="94"/>
        <v>OK</v>
      </c>
      <c r="L1493" s="24" t="str">
        <f t="shared" si="95"/>
        <v>Revisar</v>
      </c>
    </row>
    <row r="1494" spans="1:12" ht="18" customHeight="1" x14ac:dyDescent="0.3">
      <c r="A1494" s="25" t="s">
        <v>3029</v>
      </c>
      <c r="B1494" s="8" t="s">
        <v>3030</v>
      </c>
      <c r="C1494" s="25" t="s">
        <v>77</v>
      </c>
      <c r="D1494" s="25" t="s">
        <v>78</v>
      </c>
      <c r="E1494" s="9">
        <v>5100000</v>
      </c>
      <c r="F1494" s="26">
        <v>0.5</v>
      </c>
      <c r="G1494" s="25">
        <v>82</v>
      </c>
      <c r="H1494" s="27">
        <v>16.100000000000001</v>
      </c>
      <c r="I1494" s="21" t="str">
        <f t="shared" si="92"/>
        <v>No cumple</v>
      </c>
      <c r="J1494" s="22" t="str">
        <f t="shared" si="93"/>
        <v>Sin bono</v>
      </c>
      <c r="K1494" s="23" t="str">
        <f t="shared" si="94"/>
        <v>ALERTA</v>
      </c>
      <c r="L1494" s="24" t="str">
        <f t="shared" si="95"/>
        <v>Revisar</v>
      </c>
    </row>
    <row r="1495" spans="1:12" ht="18" customHeight="1" x14ac:dyDescent="0.3">
      <c r="A1495" s="18" t="s">
        <v>3031</v>
      </c>
      <c r="B1495" s="5" t="s">
        <v>3032</v>
      </c>
      <c r="C1495" s="18" t="s">
        <v>63</v>
      </c>
      <c r="D1495" s="18" t="s">
        <v>114</v>
      </c>
      <c r="E1495" s="6">
        <v>7300000</v>
      </c>
      <c r="F1495" s="19">
        <v>0.47</v>
      </c>
      <c r="G1495" s="18">
        <v>56</v>
      </c>
      <c r="H1495" s="20">
        <v>12.2</v>
      </c>
      <c r="I1495" s="21" t="str">
        <f t="shared" si="92"/>
        <v>No cumple</v>
      </c>
      <c r="J1495" s="22" t="str">
        <f t="shared" si="93"/>
        <v>Sin bono</v>
      </c>
      <c r="K1495" s="23" t="str">
        <f t="shared" si="94"/>
        <v>ALERTA</v>
      </c>
      <c r="L1495" s="24" t="str">
        <f t="shared" si="95"/>
        <v>Revisar</v>
      </c>
    </row>
    <row r="1496" spans="1:12" ht="18" customHeight="1" x14ac:dyDescent="0.3">
      <c r="A1496" s="25" t="s">
        <v>3033</v>
      </c>
      <c r="B1496" s="8" t="s">
        <v>3034</v>
      </c>
      <c r="C1496" s="25" t="s">
        <v>81</v>
      </c>
      <c r="D1496" s="25" t="s">
        <v>78</v>
      </c>
      <c r="E1496" s="9">
        <v>11500000</v>
      </c>
      <c r="F1496" s="26">
        <v>0.64</v>
      </c>
      <c r="G1496" s="25">
        <v>40</v>
      </c>
      <c r="H1496" s="27">
        <v>15</v>
      </c>
      <c r="I1496" s="21" t="str">
        <f t="shared" si="92"/>
        <v>No cumple</v>
      </c>
      <c r="J1496" s="22" t="str">
        <f t="shared" si="93"/>
        <v>Sin bono</v>
      </c>
      <c r="K1496" s="23" t="str">
        <f t="shared" si="94"/>
        <v>ALERTA</v>
      </c>
      <c r="L1496" s="24" t="str">
        <f t="shared" si="95"/>
        <v>Revisar</v>
      </c>
    </row>
    <row r="1497" spans="1:12" ht="18" customHeight="1" x14ac:dyDescent="0.3">
      <c r="A1497" s="18" t="s">
        <v>3035</v>
      </c>
      <c r="B1497" s="5" t="s">
        <v>3036</v>
      </c>
      <c r="C1497" s="18" t="s">
        <v>81</v>
      </c>
      <c r="D1497" s="18" t="s">
        <v>68</v>
      </c>
      <c r="E1497" s="6">
        <v>11300000</v>
      </c>
      <c r="F1497" s="19">
        <v>0.79</v>
      </c>
      <c r="G1497" s="18">
        <v>51</v>
      </c>
      <c r="H1497" s="20">
        <v>8.3000000000000007</v>
      </c>
      <c r="I1497" s="21" t="str">
        <f t="shared" si="92"/>
        <v>No cumple</v>
      </c>
      <c r="J1497" s="22" t="str">
        <f t="shared" si="93"/>
        <v>Sin bono</v>
      </c>
      <c r="K1497" s="23" t="str">
        <f t="shared" si="94"/>
        <v>OK</v>
      </c>
      <c r="L1497" s="24" t="str">
        <f t="shared" si="95"/>
        <v>Revisar</v>
      </c>
    </row>
    <row r="1498" spans="1:12" ht="18" customHeight="1" x14ac:dyDescent="0.3">
      <c r="A1498" s="25" t="s">
        <v>3037</v>
      </c>
      <c r="B1498" s="8" t="s">
        <v>3038</v>
      </c>
      <c r="C1498" s="25" t="s">
        <v>74</v>
      </c>
      <c r="D1498" s="25" t="s">
        <v>64</v>
      </c>
      <c r="E1498" s="9">
        <v>5100000</v>
      </c>
      <c r="F1498" s="26">
        <v>0.51</v>
      </c>
      <c r="G1498" s="25">
        <v>56</v>
      </c>
      <c r="H1498" s="27">
        <v>5.5</v>
      </c>
      <c r="I1498" s="21" t="str">
        <f t="shared" si="92"/>
        <v>No cumple</v>
      </c>
      <c r="J1498" s="22" t="str">
        <f t="shared" si="93"/>
        <v>Sin bono</v>
      </c>
      <c r="K1498" s="23" t="str">
        <f t="shared" si="94"/>
        <v>ALERTA</v>
      </c>
      <c r="L1498" s="24" t="str">
        <f t="shared" si="95"/>
        <v>Revisar</v>
      </c>
    </row>
    <row r="1499" spans="1:12" ht="18" customHeight="1" x14ac:dyDescent="0.3">
      <c r="A1499" s="18" t="s">
        <v>3039</v>
      </c>
      <c r="B1499" s="5" t="s">
        <v>3040</v>
      </c>
      <c r="C1499" s="18" t="s">
        <v>63</v>
      </c>
      <c r="D1499" s="18" t="s">
        <v>114</v>
      </c>
      <c r="E1499" s="6">
        <v>10900000</v>
      </c>
      <c r="F1499" s="19">
        <v>0.67</v>
      </c>
      <c r="G1499" s="18">
        <v>64</v>
      </c>
      <c r="H1499" s="20">
        <v>10.8</v>
      </c>
      <c r="I1499" s="21" t="str">
        <f t="shared" si="92"/>
        <v>No cumple</v>
      </c>
      <c r="J1499" s="22" t="str">
        <f t="shared" si="93"/>
        <v>Sin bono</v>
      </c>
      <c r="K1499" s="23" t="str">
        <f t="shared" si="94"/>
        <v>OK</v>
      </c>
      <c r="L1499" s="24" t="str">
        <f t="shared" si="95"/>
        <v>Revisar</v>
      </c>
    </row>
    <row r="1500" spans="1:12" ht="18" customHeight="1" x14ac:dyDescent="0.3">
      <c r="A1500" s="25" t="s">
        <v>3041</v>
      </c>
      <c r="B1500" s="8" t="s">
        <v>3042</v>
      </c>
      <c r="C1500" s="25" t="s">
        <v>63</v>
      </c>
      <c r="D1500" s="25" t="s">
        <v>64</v>
      </c>
      <c r="E1500" s="9">
        <v>11300000</v>
      </c>
      <c r="F1500" s="26">
        <v>0.56000000000000005</v>
      </c>
      <c r="G1500" s="25">
        <v>50</v>
      </c>
      <c r="H1500" s="27">
        <v>5.6</v>
      </c>
      <c r="I1500" s="21" t="str">
        <f t="shared" si="92"/>
        <v>No cumple</v>
      </c>
      <c r="J1500" s="22" t="str">
        <f t="shared" si="93"/>
        <v>Sin bono</v>
      </c>
      <c r="K1500" s="23" t="str">
        <f t="shared" si="94"/>
        <v>ALERTA</v>
      </c>
      <c r="L1500" s="24" t="str">
        <f t="shared" si="95"/>
        <v>Revisar</v>
      </c>
    </row>
    <row r="1501" spans="1:12" ht="18" customHeight="1" x14ac:dyDescent="0.3">
      <c r="A1501" s="18" t="s">
        <v>3043</v>
      </c>
      <c r="B1501" s="5" t="s">
        <v>3044</v>
      </c>
      <c r="C1501" s="18" t="s">
        <v>91</v>
      </c>
      <c r="D1501" s="18" t="s">
        <v>92</v>
      </c>
      <c r="E1501" s="6">
        <v>7600000</v>
      </c>
      <c r="F1501" s="19">
        <v>0.8</v>
      </c>
      <c r="G1501" s="18">
        <v>47</v>
      </c>
      <c r="H1501" s="20">
        <v>2</v>
      </c>
      <c r="I1501" s="21" t="str">
        <f t="shared" si="92"/>
        <v>Cumple</v>
      </c>
      <c r="J1501" s="22" t="str">
        <f t="shared" si="93"/>
        <v>Sin bono</v>
      </c>
      <c r="K1501" s="23" t="str">
        <f t="shared" si="94"/>
        <v>ALERTA</v>
      </c>
      <c r="L1501" s="24" t="str">
        <f t="shared" si="95"/>
        <v>Revisar</v>
      </c>
    </row>
    <row r="1502" spans="1:12" ht="18" customHeight="1" x14ac:dyDescent="0.3">
      <c r="A1502" s="25" t="s">
        <v>3045</v>
      </c>
      <c r="B1502" s="8" t="s">
        <v>3046</v>
      </c>
      <c r="C1502" s="25" t="s">
        <v>81</v>
      </c>
      <c r="D1502" s="25" t="s">
        <v>78</v>
      </c>
      <c r="E1502" s="9">
        <v>5700000</v>
      </c>
      <c r="F1502" s="26">
        <v>0.65</v>
      </c>
      <c r="G1502" s="25">
        <v>68</v>
      </c>
      <c r="H1502" s="27">
        <v>5.6</v>
      </c>
      <c r="I1502" s="21" t="str">
        <f t="shared" si="92"/>
        <v>No cumple</v>
      </c>
      <c r="J1502" s="22" t="str">
        <f t="shared" si="93"/>
        <v>Sin bono</v>
      </c>
      <c r="K1502" s="23" t="str">
        <f t="shared" si="94"/>
        <v>OK</v>
      </c>
      <c r="L1502" s="24" t="str">
        <f t="shared" si="95"/>
        <v>Revisar</v>
      </c>
    </row>
    <row r="1503" spans="1:12" ht="18" customHeight="1" x14ac:dyDescent="0.3">
      <c r="A1503" s="18" t="s">
        <v>3047</v>
      </c>
      <c r="B1503" s="5" t="s">
        <v>3048</v>
      </c>
      <c r="C1503" s="18" t="s">
        <v>63</v>
      </c>
      <c r="D1503" s="18" t="s">
        <v>78</v>
      </c>
      <c r="E1503" s="6">
        <v>5800000</v>
      </c>
      <c r="F1503" s="19">
        <v>0.64</v>
      </c>
      <c r="G1503" s="18">
        <v>87</v>
      </c>
      <c r="H1503" s="20">
        <v>10.199999999999999</v>
      </c>
      <c r="I1503" s="21" t="str">
        <f t="shared" si="92"/>
        <v>No cumple</v>
      </c>
      <c r="J1503" s="22" t="str">
        <f t="shared" si="93"/>
        <v>Sin bono</v>
      </c>
      <c r="K1503" s="23" t="str">
        <f t="shared" si="94"/>
        <v>OK</v>
      </c>
      <c r="L1503" s="24" t="str">
        <f t="shared" si="95"/>
        <v>Revisar</v>
      </c>
    </row>
    <row r="1504" spans="1:12" ht="18" customHeight="1" x14ac:dyDescent="0.3">
      <c r="A1504" s="25" t="s">
        <v>3049</v>
      </c>
      <c r="B1504" s="8" t="s">
        <v>3050</v>
      </c>
      <c r="C1504" s="25" t="s">
        <v>81</v>
      </c>
      <c r="D1504" s="25" t="s">
        <v>78</v>
      </c>
      <c r="E1504" s="9">
        <v>2800000</v>
      </c>
      <c r="F1504" s="26">
        <v>0.76</v>
      </c>
      <c r="G1504" s="25">
        <v>99</v>
      </c>
      <c r="H1504" s="27">
        <v>10.6</v>
      </c>
      <c r="I1504" s="21" t="str">
        <f t="shared" si="92"/>
        <v>No cumple</v>
      </c>
      <c r="J1504" s="22" t="str">
        <f t="shared" si="93"/>
        <v>Sin bono</v>
      </c>
      <c r="K1504" s="23" t="str">
        <f t="shared" si="94"/>
        <v>OK</v>
      </c>
      <c r="L1504" s="24" t="str">
        <f t="shared" si="95"/>
        <v>Revisar</v>
      </c>
    </row>
    <row r="1505" spans="1:12" ht="18" customHeight="1" x14ac:dyDescent="0.3">
      <c r="A1505" s="18" t="s">
        <v>3051</v>
      </c>
      <c r="B1505" s="5" t="s">
        <v>3052</v>
      </c>
      <c r="C1505" s="18" t="s">
        <v>77</v>
      </c>
      <c r="D1505" s="18" t="s">
        <v>60</v>
      </c>
      <c r="E1505" s="6">
        <v>5500000</v>
      </c>
      <c r="F1505" s="19">
        <v>0.99</v>
      </c>
      <c r="G1505" s="18">
        <v>92</v>
      </c>
      <c r="H1505" s="20">
        <v>0.3</v>
      </c>
      <c r="I1505" s="21" t="str">
        <f t="shared" si="92"/>
        <v>Cumple</v>
      </c>
      <c r="J1505" s="22" t="str">
        <f t="shared" si="93"/>
        <v>BONO</v>
      </c>
      <c r="K1505" s="23" t="str">
        <f t="shared" si="94"/>
        <v>OK</v>
      </c>
      <c r="L1505" s="24" t="str">
        <f t="shared" si="95"/>
        <v>Excelente</v>
      </c>
    </row>
    <row r="1506" spans="1:12" ht="18" customHeight="1" x14ac:dyDescent="0.3">
      <c r="A1506" s="25" t="s">
        <v>3053</v>
      </c>
      <c r="B1506" s="8" t="s">
        <v>3054</v>
      </c>
      <c r="C1506" s="25" t="s">
        <v>63</v>
      </c>
      <c r="D1506" s="25" t="s">
        <v>60</v>
      </c>
      <c r="E1506" s="9">
        <v>10100000</v>
      </c>
      <c r="F1506" s="26">
        <v>0.69</v>
      </c>
      <c r="G1506" s="25">
        <v>97</v>
      </c>
      <c r="H1506" s="27">
        <v>20</v>
      </c>
      <c r="I1506" s="21" t="str">
        <f t="shared" si="92"/>
        <v>No cumple</v>
      </c>
      <c r="J1506" s="22" t="str">
        <f t="shared" si="93"/>
        <v>Sin bono</v>
      </c>
      <c r="K1506" s="23" t="str">
        <f t="shared" si="94"/>
        <v>OK</v>
      </c>
      <c r="L1506" s="24" t="str">
        <f t="shared" si="95"/>
        <v>Revisar</v>
      </c>
    </row>
    <row r="1507" spans="1:12" ht="18" customHeight="1" x14ac:dyDescent="0.3">
      <c r="A1507" s="18" t="s">
        <v>3055</v>
      </c>
      <c r="B1507" s="5" t="s">
        <v>3056</v>
      </c>
      <c r="C1507" s="18" t="s">
        <v>81</v>
      </c>
      <c r="D1507" s="18" t="s">
        <v>78</v>
      </c>
      <c r="E1507" s="6">
        <v>2800000</v>
      </c>
      <c r="F1507" s="19">
        <v>0.9</v>
      </c>
      <c r="G1507" s="18">
        <v>60</v>
      </c>
      <c r="H1507" s="20">
        <v>14.8</v>
      </c>
      <c r="I1507" s="21" t="str">
        <f t="shared" si="92"/>
        <v>Cumple</v>
      </c>
      <c r="J1507" s="22" t="str">
        <f t="shared" si="93"/>
        <v>Sin bono</v>
      </c>
      <c r="K1507" s="23" t="str">
        <f t="shared" si="94"/>
        <v>OK</v>
      </c>
      <c r="L1507" s="24" t="str">
        <f t="shared" si="95"/>
        <v>Revisar</v>
      </c>
    </row>
    <row r="1508" spans="1:12" ht="18" customHeight="1" x14ac:dyDescent="0.3">
      <c r="A1508" s="25" t="s">
        <v>3057</v>
      </c>
      <c r="B1508" s="8" t="s">
        <v>3058</v>
      </c>
      <c r="C1508" s="25" t="s">
        <v>63</v>
      </c>
      <c r="D1508" s="25" t="s">
        <v>60</v>
      </c>
      <c r="E1508" s="9">
        <v>9700000</v>
      </c>
      <c r="F1508" s="26">
        <v>0.83</v>
      </c>
      <c r="G1508" s="25">
        <v>36</v>
      </c>
      <c r="H1508" s="27">
        <v>3.7</v>
      </c>
      <c r="I1508" s="21" t="str">
        <f t="shared" si="92"/>
        <v>Cumple</v>
      </c>
      <c r="J1508" s="22" t="str">
        <f t="shared" si="93"/>
        <v>Sin bono</v>
      </c>
      <c r="K1508" s="23" t="str">
        <f t="shared" si="94"/>
        <v>ALERTA</v>
      </c>
      <c r="L1508" s="24" t="str">
        <f t="shared" si="95"/>
        <v>Revisar</v>
      </c>
    </row>
    <row r="1509" spans="1:12" ht="18" customHeight="1" x14ac:dyDescent="0.3">
      <c r="A1509" s="18" t="s">
        <v>3059</v>
      </c>
      <c r="B1509" s="5" t="s">
        <v>3060</v>
      </c>
      <c r="C1509" s="18" t="s">
        <v>59</v>
      </c>
      <c r="D1509" s="18" t="s">
        <v>64</v>
      </c>
      <c r="E1509" s="6">
        <v>6400000</v>
      </c>
      <c r="F1509" s="19">
        <v>0.96</v>
      </c>
      <c r="G1509" s="18">
        <v>86</v>
      </c>
      <c r="H1509" s="20">
        <v>19.600000000000001</v>
      </c>
      <c r="I1509" s="21" t="str">
        <f t="shared" si="92"/>
        <v>Cumple</v>
      </c>
      <c r="J1509" s="22" t="str">
        <f t="shared" si="93"/>
        <v>BONO</v>
      </c>
      <c r="K1509" s="23" t="str">
        <f t="shared" si="94"/>
        <v>OK</v>
      </c>
      <c r="L1509" s="24" t="str">
        <f t="shared" si="95"/>
        <v>Excelente</v>
      </c>
    </row>
    <row r="1510" spans="1:12" ht="18" customHeight="1" x14ac:dyDescent="0.3">
      <c r="A1510" s="25" t="s">
        <v>3061</v>
      </c>
      <c r="B1510" s="8" t="s">
        <v>3062</v>
      </c>
      <c r="C1510" s="25" t="s">
        <v>59</v>
      </c>
      <c r="D1510" s="25" t="s">
        <v>114</v>
      </c>
      <c r="E1510" s="9">
        <v>5500000</v>
      </c>
      <c r="F1510" s="26">
        <v>0.61</v>
      </c>
      <c r="G1510" s="25">
        <v>65</v>
      </c>
      <c r="H1510" s="27">
        <v>10.1</v>
      </c>
      <c r="I1510" s="21" t="str">
        <f t="shared" si="92"/>
        <v>No cumple</v>
      </c>
      <c r="J1510" s="22" t="str">
        <f t="shared" si="93"/>
        <v>Sin bono</v>
      </c>
      <c r="K1510" s="23" t="str">
        <f t="shared" si="94"/>
        <v>OK</v>
      </c>
      <c r="L1510" s="24" t="str">
        <f t="shared" si="95"/>
        <v>Revisar</v>
      </c>
    </row>
    <row r="1511" spans="1:12" ht="18" customHeight="1" x14ac:dyDescent="0.3">
      <c r="A1511" s="18" t="s">
        <v>3063</v>
      </c>
      <c r="B1511" s="5" t="s">
        <v>3064</v>
      </c>
      <c r="C1511" s="18" t="s">
        <v>74</v>
      </c>
      <c r="D1511" s="18" t="s">
        <v>64</v>
      </c>
      <c r="E1511" s="6">
        <v>5800000</v>
      </c>
      <c r="F1511" s="19">
        <v>0.75</v>
      </c>
      <c r="G1511" s="18">
        <v>58</v>
      </c>
      <c r="H1511" s="20">
        <v>15.9</v>
      </c>
      <c r="I1511" s="21" t="str">
        <f t="shared" si="92"/>
        <v>No cumple</v>
      </c>
      <c r="J1511" s="22" t="str">
        <f t="shared" si="93"/>
        <v>Sin bono</v>
      </c>
      <c r="K1511" s="23" t="str">
        <f t="shared" si="94"/>
        <v>OK</v>
      </c>
      <c r="L1511" s="24" t="str">
        <f t="shared" si="95"/>
        <v>Revisar</v>
      </c>
    </row>
    <row r="1512" spans="1:12" ht="18" customHeight="1" x14ac:dyDescent="0.3">
      <c r="A1512" s="25" t="s">
        <v>3065</v>
      </c>
      <c r="B1512" s="8" t="s">
        <v>3066</v>
      </c>
      <c r="C1512" s="25" t="s">
        <v>67</v>
      </c>
      <c r="D1512" s="25" t="s">
        <v>60</v>
      </c>
      <c r="E1512" s="9">
        <v>6100000</v>
      </c>
      <c r="F1512" s="26">
        <v>0.67</v>
      </c>
      <c r="G1512" s="25">
        <v>55</v>
      </c>
      <c r="H1512" s="27">
        <v>4.5999999999999996</v>
      </c>
      <c r="I1512" s="21" t="str">
        <f t="shared" si="92"/>
        <v>No cumple</v>
      </c>
      <c r="J1512" s="22" t="str">
        <f t="shared" si="93"/>
        <v>Sin bono</v>
      </c>
      <c r="K1512" s="23" t="str">
        <f t="shared" si="94"/>
        <v>OK</v>
      </c>
      <c r="L1512" s="24" t="str">
        <f t="shared" si="95"/>
        <v>Revisar</v>
      </c>
    </row>
  </sheetData>
  <mergeCells count="4">
    <mergeCell ref="A1:L1"/>
    <mergeCell ref="A2:L2"/>
    <mergeCell ref="A4:L4"/>
    <mergeCell ref="A11:L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59999389629810485"/>
  </sheetPr>
  <dimension ref="A1:K1511"/>
  <sheetViews>
    <sheetView showGridLines="0" tabSelected="1" zoomScaleNormal="100" workbookViewId="0">
      <selection activeCell="F5" sqref="F5:K8"/>
    </sheetView>
  </sheetViews>
  <sheetFormatPr baseColWidth="10" defaultColWidth="8.6640625" defaultRowHeight="14.4" x14ac:dyDescent="0.3"/>
  <cols>
    <col min="1" max="1" width="8" customWidth="1"/>
    <col min="2" max="5" width="28" customWidth="1"/>
    <col min="6" max="11" width="16" customWidth="1"/>
  </cols>
  <sheetData>
    <row r="1" spans="1:11" ht="21.75" customHeight="1" x14ac:dyDescent="0.3">
      <c r="A1" s="30" t="s">
        <v>3078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27.75" customHeight="1" x14ac:dyDescent="0.3">
      <c r="A2" s="31" t="s">
        <v>3076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spans="1:11" ht="21.75" customHeight="1" x14ac:dyDescent="0.3">
      <c r="A4" s="38" t="s">
        <v>3079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ht="19.5" customHeight="1" x14ac:dyDescent="0.3">
      <c r="A5" s="39" t="s">
        <v>3067</v>
      </c>
      <c r="B5" s="39"/>
      <c r="C5" s="39"/>
      <c r="D5" s="39"/>
      <c r="E5" s="39"/>
      <c r="F5" s="40" t="s">
        <v>3081</v>
      </c>
      <c r="G5" s="40"/>
      <c r="H5" s="40"/>
      <c r="I5" s="40"/>
      <c r="J5" s="40"/>
      <c r="K5" s="40"/>
    </row>
    <row r="6" spans="1:11" ht="19.5" customHeight="1" x14ac:dyDescent="0.3">
      <c r="A6" s="39"/>
      <c r="B6" s="39"/>
      <c r="C6" s="39"/>
      <c r="D6" s="39"/>
      <c r="E6" s="39"/>
      <c r="F6" s="40"/>
      <c r="G6" s="40"/>
      <c r="H6" s="40"/>
      <c r="I6" s="40"/>
      <c r="J6" s="40"/>
      <c r="K6" s="40"/>
    </row>
    <row r="7" spans="1:11" ht="19.5" customHeight="1" x14ac:dyDescent="0.3">
      <c r="A7" s="39"/>
      <c r="B7" s="39"/>
      <c r="C7" s="39"/>
      <c r="D7" s="39"/>
      <c r="E7" s="39"/>
      <c r="F7" s="40"/>
      <c r="G7" s="40"/>
      <c r="H7" s="40"/>
      <c r="I7" s="40"/>
      <c r="J7" s="40"/>
      <c r="K7" s="40"/>
    </row>
    <row r="8" spans="1:11" ht="51.6" customHeight="1" x14ac:dyDescent="0.3">
      <c r="A8" s="39"/>
      <c r="B8" s="39"/>
      <c r="C8" s="39"/>
      <c r="D8" s="39"/>
      <c r="E8" s="39"/>
      <c r="F8" s="40"/>
      <c r="G8" s="40"/>
      <c r="H8" s="40"/>
      <c r="I8" s="40"/>
      <c r="J8" s="40"/>
      <c r="K8" s="40"/>
    </row>
    <row r="9" spans="1:11" ht="15" thickBot="1" x14ac:dyDescent="0.35"/>
    <row r="10" spans="1:11" ht="21.75" customHeight="1" thickBot="1" x14ac:dyDescent="0.35">
      <c r="A10" s="35" t="s">
        <v>3068</v>
      </c>
      <c r="B10" s="36"/>
      <c r="C10" s="36"/>
      <c r="D10" s="36"/>
      <c r="E10" s="36"/>
      <c r="F10" s="36"/>
      <c r="G10" s="36"/>
      <c r="H10" s="36"/>
      <c r="I10" s="36"/>
      <c r="J10" s="37"/>
    </row>
    <row r="11" spans="1:11" ht="47.4" customHeight="1" x14ac:dyDescent="0.3">
      <c r="A11" s="17" t="s">
        <v>45</v>
      </c>
      <c r="B11" s="17" t="s">
        <v>46</v>
      </c>
      <c r="C11" s="17" t="s">
        <v>47</v>
      </c>
      <c r="D11" s="17" t="s">
        <v>48</v>
      </c>
      <c r="E11" s="17" t="s">
        <v>49</v>
      </c>
      <c r="F11" s="17" t="s">
        <v>50</v>
      </c>
      <c r="G11" s="17" t="s">
        <v>51</v>
      </c>
      <c r="H11" s="17" t="s">
        <v>52</v>
      </c>
      <c r="I11" s="17" t="s">
        <v>3069</v>
      </c>
      <c r="J11" s="17" t="s">
        <v>3070</v>
      </c>
    </row>
    <row r="12" spans="1:11" ht="18" customHeight="1" x14ac:dyDescent="0.3">
      <c r="A12" s="18" t="s">
        <v>57</v>
      </c>
      <c r="B12" s="5" t="s">
        <v>58</v>
      </c>
      <c r="C12" s="18" t="s">
        <v>59</v>
      </c>
      <c r="D12" s="18" t="s">
        <v>60</v>
      </c>
      <c r="E12" s="6">
        <v>5600000</v>
      </c>
      <c r="F12" s="19">
        <v>0.53</v>
      </c>
      <c r="G12" s="18">
        <v>43</v>
      </c>
      <c r="H12" s="20">
        <v>13.5</v>
      </c>
      <c r="I12" s="24" t="str" cm="1">
        <f t="array" ref="I12">_xlfn.IFS(
   AND(F12&gt;=0,9, G12&gt;=85), "Excelente",
   AND(F12&gt;=0,8, G12&gt;=70), "Bueno",
   OR(F12&lt;0,6,  G12&lt;50),  "Alerta",
   TRUE,"Revisar")</f>
        <v>Alerta</v>
      </c>
      <c r="J12" s="28">
        <f>IF(OR(I12="Excelente",I12="Bueno"),E12*0.1,0)</f>
        <v>0</v>
      </c>
    </row>
    <row r="13" spans="1:11" ht="18" customHeight="1" x14ac:dyDescent="0.3">
      <c r="A13" s="25" t="s">
        <v>61</v>
      </c>
      <c r="B13" s="8" t="s">
        <v>62</v>
      </c>
      <c r="C13" s="25" t="s">
        <v>63</v>
      </c>
      <c r="D13" s="25" t="s">
        <v>64</v>
      </c>
      <c r="E13" s="9">
        <v>3100000</v>
      </c>
      <c r="F13" s="26">
        <v>0.5</v>
      </c>
      <c r="G13" s="25">
        <v>59</v>
      </c>
      <c r="H13" s="27">
        <v>10.1</v>
      </c>
      <c r="I13" s="24" t="str" cm="1">
        <f t="array" ref="I13">_xlfn.IFS(
   AND(F13&gt;=0,9, G13&gt;=85), "Excelente",
   AND(F13&gt;=0,8, G13&gt;=70), "Bueno",
   OR(F13&lt;0,6,  G13&lt;50),  "Alerta",
   TRUE,           "Revisar")</f>
        <v>Alerta</v>
      </c>
      <c r="J13" s="28">
        <f t="shared" ref="J13:J75" si="0">IF(OR(I13="Excelente",I13="Bueno"),E13*0.1,0)</f>
        <v>0</v>
      </c>
    </row>
    <row r="14" spans="1:11" ht="18" customHeight="1" x14ac:dyDescent="0.3">
      <c r="A14" s="18" t="s">
        <v>65</v>
      </c>
      <c r="B14" s="5" t="s">
        <v>66</v>
      </c>
      <c r="C14" s="18" t="s">
        <v>67</v>
      </c>
      <c r="D14" s="18" t="s">
        <v>68</v>
      </c>
      <c r="E14" s="6">
        <v>5600000</v>
      </c>
      <c r="F14" s="19">
        <v>0.7</v>
      </c>
      <c r="G14" s="18">
        <v>65</v>
      </c>
      <c r="H14" s="20">
        <v>16.2</v>
      </c>
      <c r="I14" s="24" t="str" cm="1">
        <f t="array" ref="I14">_xlfn.IFS(
   AND(F14&gt;=0,9, G14&gt;=85), "Excelente",
   AND(F14&gt;=0,8, G14&gt;=70), "Bueno",
   OR(F14&lt;0,6,  G14&lt;50),  "Alerta",
   TRUE,           "Revisar")</f>
        <v>Alerta</v>
      </c>
      <c r="J14" s="28">
        <f t="shared" si="0"/>
        <v>0</v>
      </c>
    </row>
    <row r="15" spans="1:11" ht="18" customHeight="1" x14ac:dyDescent="0.3">
      <c r="A15" s="25" t="s">
        <v>69</v>
      </c>
      <c r="B15" s="8" t="s">
        <v>70</v>
      </c>
      <c r="C15" s="25" t="s">
        <v>71</v>
      </c>
      <c r="D15" s="25" t="s">
        <v>68</v>
      </c>
      <c r="E15" s="9">
        <v>7100000</v>
      </c>
      <c r="F15" s="26">
        <v>0.6</v>
      </c>
      <c r="G15" s="25">
        <v>57</v>
      </c>
      <c r="H15" s="27">
        <v>19.100000000000001</v>
      </c>
      <c r="I15" s="24" t="str" cm="1">
        <f t="array" ref="I15">_xlfn.IFS(
   AND(F15&gt;=0,9, G15&gt;=85), "Excelente",
   AND(F15&gt;=0,8, G15&gt;=70), "Bueno",
   OR(F15&lt;0,6,  G15&lt;50),  "Alerta",
   TRUE,           "Revisar")</f>
        <v>Alerta</v>
      </c>
      <c r="J15" s="28">
        <f t="shared" si="0"/>
        <v>0</v>
      </c>
    </row>
    <row r="16" spans="1:11" ht="18" customHeight="1" x14ac:dyDescent="0.3">
      <c r="A16" s="18" t="s">
        <v>72</v>
      </c>
      <c r="B16" s="5" t="s">
        <v>73</v>
      </c>
      <c r="C16" s="18" t="s">
        <v>74</v>
      </c>
      <c r="D16" s="18" t="s">
        <v>68</v>
      </c>
      <c r="E16" s="6">
        <v>4000000</v>
      </c>
      <c r="F16" s="19">
        <v>0.65</v>
      </c>
      <c r="G16" s="18">
        <v>74</v>
      </c>
      <c r="H16" s="20">
        <v>12.1</v>
      </c>
      <c r="I16" s="24" t="str" cm="1">
        <f t="array" ref="I16">_xlfn.IFS(
   AND(F16&gt;=0,9, G16&gt;=85), "Excelente",
   AND(F16&gt;=0,8, G16&gt;=70), "Bueno",
   OR(F16&lt;0,6,  G16&lt;50),  "Alerta",
   TRUE,           "Revisar")</f>
        <v>Bueno</v>
      </c>
      <c r="J16" s="28">
        <f t="shared" si="0"/>
        <v>400000</v>
      </c>
    </row>
    <row r="17" spans="1:10" ht="18" customHeight="1" x14ac:dyDescent="0.3">
      <c r="A17" s="25" t="s">
        <v>75</v>
      </c>
      <c r="B17" s="8" t="s">
        <v>76</v>
      </c>
      <c r="C17" s="25" t="s">
        <v>77</v>
      </c>
      <c r="D17" s="25" t="s">
        <v>78</v>
      </c>
      <c r="E17" s="9">
        <v>7600000</v>
      </c>
      <c r="F17" s="26">
        <v>0.49</v>
      </c>
      <c r="G17" s="25">
        <v>67</v>
      </c>
      <c r="H17" s="27">
        <v>16.600000000000001</v>
      </c>
      <c r="I17" s="24" t="str" cm="1">
        <f t="array" ref="I17">_xlfn.IFS(
   AND(F17&gt;=0,9, G17&gt;=85), "Excelente",
   AND(F17&gt;=0,8, G17&gt;=70), "Bueno",
   OR(F17&lt;0,6,  G17&lt;50),  "Alerta",
   TRUE,           "Revisar")</f>
        <v>Alerta</v>
      </c>
      <c r="J17" s="28">
        <f t="shared" si="0"/>
        <v>0</v>
      </c>
    </row>
    <row r="18" spans="1:10" ht="18" customHeight="1" x14ac:dyDescent="0.3">
      <c r="A18" s="18" t="s">
        <v>79</v>
      </c>
      <c r="B18" s="5" t="s">
        <v>80</v>
      </c>
      <c r="C18" s="18" t="s">
        <v>81</v>
      </c>
      <c r="D18" s="18" t="s">
        <v>60</v>
      </c>
      <c r="E18" s="6">
        <v>11800000</v>
      </c>
      <c r="F18" s="19">
        <v>0.49</v>
      </c>
      <c r="G18" s="18">
        <v>59</v>
      </c>
      <c r="H18" s="20">
        <v>15.5</v>
      </c>
      <c r="I18" s="24" t="str" cm="1">
        <f t="array" ref="I18">_xlfn.IFS(
   AND(F18&gt;=0,9, G18&gt;=85), "Excelente",
   AND(F18&gt;=0,8, G18&gt;=70), "Bueno",
   OR(F18&lt;0,6,  G18&lt;50),  "Alerta",
   TRUE,           "Revisar")</f>
        <v>Alerta</v>
      </c>
      <c r="J18" s="28">
        <f t="shared" si="0"/>
        <v>0</v>
      </c>
    </row>
    <row r="19" spans="1:10" ht="18" customHeight="1" x14ac:dyDescent="0.3">
      <c r="A19" s="25" t="s">
        <v>82</v>
      </c>
      <c r="B19" s="8" t="s">
        <v>83</v>
      </c>
      <c r="C19" s="25" t="s">
        <v>67</v>
      </c>
      <c r="D19" s="25" t="s">
        <v>78</v>
      </c>
      <c r="E19" s="9">
        <v>7600000</v>
      </c>
      <c r="F19" s="26">
        <v>0.6</v>
      </c>
      <c r="G19" s="25">
        <v>76</v>
      </c>
      <c r="H19" s="27">
        <v>3.3</v>
      </c>
      <c r="I19" s="24" t="str" cm="1">
        <f t="array" ref="I19">_xlfn.IFS(
   AND(F19&gt;=0,9, G19&gt;=85), "Excelente",
   AND(F19&gt;=0,8, G19&gt;=70), "Bueno",
   OR(F19&lt;0,6,  G19&lt;50),  "Alerta",
   TRUE,           "Revisar")</f>
        <v>Bueno</v>
      </c>
      <c r="J19" s="28">
        <f t="shared" si="0"/>
        <v>760000</v>
      </c>
    </row>
    <row r="20" spans="1:10" ht="18" customHeight="1" x14ac:dyDescent="0.3">
      <c r="A20" s="18" t="s">
        <v>84</v>
      </c>
      <c r="B20" s="5" t="s">
        <v>85</v>
      </c>
      <c r="C20" s="18" t="s">
        <v>59</v>
      </c>
      <c r="D20" s="18" t="s">
        <v>78</v>
      </c>
      <c r="E20" s="6">
        <v>10500000</v>
      </c>
      <c r="F20" s="19">
        <v>0.8</v>
      </c>
      <c r="G20" s="18">
        <v>98</v>
      </c>
      <c r="H20" s="20">
        <v>14.6</v>
      </c>
      <c r="I20" s="24" t="str" cm="1">
        <f t="array" ref="I20">_xlfn.IFS(
   AND(F20&gt;=0,9, G20&gt;=85), "Excelente",
   AND(F20&gt;=0,8, G20&gt;=70), "Bueno",
   OR(F20&lt;0,6,  G20&lt;50),  "Alerta",
   TRUE,           "Revisar")</f>
        <v>Excelente</v>
      </c>
      <c r="J20" s="28">
        <f t="shared" si="0"/>
        <v>1050000</v>
      </c>
    </row>
    <row r="21" spans="1:10" ht="18" customHeight="1" x14ac:dyDescent="0.3">
      <c r="A21" s="25" t="s">
        <v>86</v>
      </c>
      <c r="B21" s="8" t="s">
        <v>87</v>
      </c>
      <c r="C21" s="25" t="s">
        <v>63</v>
      </c>
      <c r="D21" s="25" t="s">
        <v>88</v>
      </c>
      <c r="E21" s="9">
        <v>10900000</v>
      </c>
      <c r="F21" s="26">
        <v>0.83</v>
      </c>
      <c r="G21" s="25">
        <v>58</v>
      </c>
      <c r="H21" s="27">
        <v>13.7</v>
      </c>
      <c r="I21" s="24" t="str" cm="1">
        <f t="array" ref="I21">_xlfn.IFS(
   AND(F21&gt;=0,9, G21&gt;=85), "Excelente",
   AND(F21&gt;=0,8, G21&gt;=70), "Bueno",
   OR(F21&lt;0,6,  G21&lt;50),  "Alerta",
   TRUE,           "Revisar")</f>
        <v>Alerta</v>
      </c>
      <c r="J21" s="28">
        <f t="shared" si="0"/>
        <v>0</v>
      </c>
    </row>
    <row r="22" spans="1:10" ht="18" customHeight="1" x14ac:dyDescent="0.3">
      <c r="A22" s="18" t="s">
        <v>89</v>
      </c>
      <c r="B22" s="5" t="s">
        <v>90</v>
      </c>
      <c r="C22" s="18" t="s">
        <v>91</v>
      </c>
      <c r="D22" s="18" t="s">
        <v>92</v>
      </c>
      <c r="E22" s="6">
        <v>7900000</v>
      </c>
      <c r="F22" s="19">
        <v>0.6</v>
      </c>
      <c r="G22" s="18">
        <v>57</v>
      </c>
      <c r="H22" s="20">
        <v>18.3</v>
      </c>
      <c r="I22" s="24" t="str" cm="1">
        <f t="array" ref="I22">_xlfn.IFS(
   AND(F22&gt;=0,9, G22&gt;=85), "Excelente",
   AND(F22&gt;=0,8, G22&gt;=70), "Bueno",
   OR(F22&lt;0,6,  G22&lt;50),  "Alerta",
   TRUE,           "Revisar")</f>
        <v>Alerta</v>
      </c>
      <c r="J22" s="28">
        <f t="shared" si="0"/>
        <v>0</v>
      </c>
    </row>
    <row r="23" spans="1:10" ht="18" customHeight="1" x14ac:dyDescent="0.3">
      <c r="A23" s="25" t="s">
        <v>93</v>
      </c>
      <c r="B23" s="8" t="s">
        <v>94</v>
      </c>
      <c r="C23" s="25" t="s">
        <v>81</v>
      </c>
      <c r="D23" s="25" t="s">
        <v>60</v>
      </c>
      <c r="E23" s="9">
        <v>11100000</v>
      </c>
      <c r="F23" s="26">
        <v>0.72</v>
      </c>
      <c r="G23" s="25">
        <v>88</v>
      </c>
      <c r="H23" s="27">
        <v>2.9</v>
      </c>
      <c r="I23" s="24" t="str" cm="1">
        <f t="array" ref="I23">_xlfn.IFS(
   AND(F23&gt;=0,9, G23&gt;=85), "Excelente",
   AND(F23&gt;=0,8, G23&gt;=70), "Bueno",
   OR(F23&lt;0,6,  G23&lt;50),  "Alerta",
   TRUE,           "Revisar")</f>
        <v>Excelente</v>
      </c>
      <c r="J23" s="28">
        <f t="shared" si="0"/>
        <v>1110000</v>
      </c>
    </row>
    <row r="24" spans="1:10" ht="18" customHeight="1" x14ac:dyDescent="0.3">
      <c r="A24" s="18" t="s">
        <v>95</v>
      </c>
      <c r="B24" s="5" t="s">
        <v>96</v>
      </c>
      <c r="C24" s="18" t="s">
        <v>59</v>
      </c>
      <c r="D24" s="18" t="s">
        <v>68</v>
      </c>
      <c r="E24" s="6">
        <v>10200000</v>
      </c>
      <c r="F24" s="19">
        <v>0.67</v>
      </c>
      <c r="G24" s="18">
        <v>58</v>
      </c>
      <c r="H24" s="20">
        <v>19.899999999999999</v>
      </c>
      <c r="I24" s="24" t="str" cm="1">
        <f t="array" ref="I24">_xlfn.IFS(
   AND(F24&gt;=0,9, G24&gt;=85), "Excelente",
   AND(F24&gt;=0,8, G24&gt;=70), "Bueno",
   OR(F24&lt;0,6,  G24&lt;50),  "Alerta",
   TRUE,           "Revisar")</f>
        <v>Alerta</v>
      </c>
      <c r="J24" s="28">
        <f t="shared" si="0"/>
        <v>0</v>
      </c>
    </row>
    <row r="25" spans="1:10" ht="18" customHeight="1" x14ac:dyDescent="0.3">
      <c r="A25" s="25" t="s">
        <v>97</v>
      </c>
      <c r="B25" s="8" t="s">
        <v>98</v>
      </c>
      <c r="C25" s="25" t="s">
        <v>77</v>
      </c>
      <c r="D25" s="25" t="s">
        <v>78</v>
      </c>
      <c r="E25" s="9">
        <v>3400000</v>
      </c>
      <c r="F25" s="26">
        <v>0.92</v>
      </c>
      <c r="G25" s="25">
        <v>49</v>
      </c>
      <c r="H25" s="27">
        <v>12.5</v>
      </c>
      <c r="I25" s="24" t="str" cm="1">
        <f t="array" ref="I25">_xlfn.IFS(
   AND(F25&gt;=0,9, G25&gt;=85), "Excelente",
   AND(F25&gt;=0,8, G25&gt;=70), "Bueno",
   OR(F25&lt;0,6,  G25&lt;50),  "Alerta",
   TRUE,           "Revisar")</f>
        <v>Alerta</v>
      </c>
      <c r="J25" s="28">
        <f t="shared" si="0"/>
        <v>0</v>
      </c>
    </row>
    <row r="26" spans="1:10" ht="18" customHeight="1" x14ac:dyDescent="0.3">
      <c r="A26" s="18" t="s">
        <v>99</v>
      </c>
      <c r="B26" s="5" t="s">
        <v>100</v>
      </c>
      <c r="C26" s="18" t="s">
        <v>74</v>
      </c>
      <c r="D26" s="18" t="s">
        <v>68</v>
      </c>
      <c r="E26" s="6">
        <v>7600000</v>
      </c>
      <c r="F26" s="19">
        <v>0.78</v>
      </c>
      <c r="G26" s="18">
        <v>89</v>
      </c>
      <c r="H26" s="20">
        <v>10.6</v>
      </c>
      <c r="I26" s="24" t="str" cm="1">
        <f t="array" ref="I26">_xlfn.IFS(
   AND(F26&gt;=0,9, G26&gt;=85), "Excelente",
   AND(F26&gt;=0,8, G26&gt;=70), "Bueno",
   OR(F26&lt;0,6,  G26&lt;50),  "Alerta",
   TRUE,           "Revisar")</f>
        <v>Excelente</v>
      </c>
      <c r="J26" s="28">
        <f t="shared" si="0"/>
        <v>760000</v>
      </c>
    </row>
    <row r="27" spans="1:10" ht="18" customHeight="1" x14ac:dyDescent="0.3">
      <c r="A27" s="25" t="s">
        <v>101</v>
      </c>
      <c r="B27" s="8" t="s">
        <v>102</v>
      </c>
      <c r="C27" s="25" t="s">
        <v>91</v>
      </c>
      <c r="D27" s="25" t="s">
        <v>78</v>
      </c>
      <c r="E27" s="9">
        <v>11500000</v>
      </c>
      <c r="F27" s="26">
        <v>0.94</v>
      </c>
      <c r="G27" s="25">
        <v>64</v>
      </c>
      <c r="H27" s="27">
        <v>15.4</v>
      </c>
      <c r="I27" s="24" t="str" cm="1">
        <f t="array" ref="I27">_xlfn.IFS(
   AND(F27&gt;=0,9, G27&gt;=85), "Excelente",
   AND(F27&gt;=0,8, G27&gt;=70), "Bueno",
   OR(F27&lt;0,6,  G27&lt;50),  "Alerta",
   TRUE,           "Revisar")</f>
        <v>Alerta</v>
      </c>
      <c r="J27" s="28">
        <f t="shared" si="0"/>
        <v>0</v>
      </c>
    </row>
    <row r="28" spans="1:10" ht="18" customHeight="1" x14ac:dyDescent="0.3">
      <c r="A28" s="18" t="s">
        <v>103</v>
      </c>
      <c r="B28" s="5" t="s">
        <v>104</v>
      </c>
      <c r="C28" s="18" t="s">
        <v>71</v>
      </c>
      <c r="D28" s="18" t="s">
        <v>105</v>
      </c>
      <c r="E28" s="6">
        <v>2800000</v>
      </c>
      <c r="F28" s="19">
        <v>0.97</v>
      </c>
      <c r="G28" s="18">
        <v>63</v>
      </c>
      <c r="H28" s="20">
        <v>19.399999999999999</v>
      </c>
      <c r="I28" s="24" t="str" cm="1">
        <f t="array" ref="I28">_xlfn.IFS(
   AND(F28&gt;=0,9, G28&gt;=85), "Excelente",
   AND(F28&gt;=0,8, G28&gt;=70), "Bueno",
   OR(F28&lt;0,6,  G28&lt;50),  "Alerta",
   TRUE,           "Revisar")</f>
        <v>Alerta</v>
      </c>
      <c r="J28" s="28">
        <f t="shared" si="0"/>
        <v>0</v>
      </c>
    </row>
    <row r="29" spans="1:10" ht="18" customHeight="1" x14ac:dyDescent="0.3">
      <c r="A29" s="25" t="s">
        <v>106</v>
      </c>
      <c r="B29" s="8" t="s">
        <v>107</v>
      </c>
      <c r="C29" s="25" t="s">
        <v>74</v>
      </c>
      <c r="D29" s="25" t="s">
        <v>88</v>
      </c>
      <c r="E29" s="9">
        <v>10900000</v>
      </c>
      <c r="F29" s="26">
        <v>0.73</v>
      </c>
      <c r="G29" s="25">
        <v>55</v>
      </c>
      <c r="H29" s="27">
        <v>3.1</v>
      </c>
      <c r="I29" s="24" t="str" cm="1">
        <f t="array" ref="I29">_xlfn.IFS(
   AND(F29&gt;=0,9, G29&gt;=85), "Excelente",
   AND(F29&gt;=0,8, G29&gt;=70), "Bueno",
   OR(F29&lt;0,6,  G29&lt;50),  "Alerta",
   TRUE,           "Revisar")</f>
        <v>Alerta</v>
      </c>
      <c r="J29" s="28">
        <f t="shared" si="0"/>
        <v>0</v>
      </c>
    </row>
    <row r="30" spans="1:10" ht="18" customHeight="1" x14ac:dyDescent="0.3">
      <c r="A30" s="18" t="s">
        <v>108</v>
      </c>
      <c r="B30" s="5" t="s">
        <v>109</v>
      </c>
      <c r="C30" s="18" t="s">
        <v>91</v>
      </c>
      <c r="D30" s="18" t="s">
        <v>92</v>
      </c>
      <c r="E30" s="6">
        <v>9000000</v>
      </c>
      <c r="F30" s="19">
        <v>0.46</v>
      </c>
      <c r="G30" s="18">
        <v>76</v>
      </c>
      <c r="H30" s="20">
        <v>17.600000000000001</v>
      </c>
      <c r="I30" s="24" t="str" cm="1">
        <f t="array" ref="I30">_xlfn.IFS(
   AND(F30&gt;=0,9, G30&gt;=85), "Excelente",
   AND(F30&gt;=0,8, G30&gt;=70), "Bueno",
   OR(F30&lt;0,6,  G30&lt;50),  "Alerta",
   TRUE,           "Revisar")</f>
        <v>Bueno</v>
      </c>
      <c r="J30" s="28">
        <f t="shared" si="0"/>
        <v>900000</v>
      </c>
    </row>
    <row r="31" spans="1:10" ht="18" customHeight="1" x14ac:dyDescent="0.3">
      <c r="A31" s="25" t="s">
        <v>110</v>
      </c>
      <c r="B31" s="8" t="s">
        <v>111</v>
      </c>
      <c r="C31" s="25" t="s">
        <v>91</v>
      </c>
      <c r="D31" s="25" t="s">
        <v>60</v>
      </c>
      <c r="E31" s="9">
        <v>10000000</v>
      </c>
      <c r="F31" s="26">
        <v>0.97</v>
      </c>
      <c r="G31" s="25">
        <v>40</v>
      </c>
      <c r="H31" s="27">
        <v>14.6</v>
      </c>
      <c r="I31" s="24" t="str" cm="1">
        <f t="array" ref="I31">_xlfn.IFS(
   AND(F31&gt;=0,9, G31&gt;=85), "Excelente",
   AND(F31&gt;=0,8, G31&gt;=70), "Bueno",
   OR(F31&lt;0,6,  G31&lt;50),  "Alerta",
   TRUE,           "Revisar")</f>
        <v>Alerta</v>
      </c>
      <c r="J31" s="28">
        <f t="shared" si="0"/>
        <v>0</v>
      </c>
    </row>
    <row r="32" spans="1:10" ht="18" customHeight="1" x14ac:dyDescent="0.3">
      <c r="A32" s="18" t="s">
        <v>112</v>
      </c>
      <c r="B32" s="5" t="s">
        <v>113</v>
      </c>
      <c r="C32" s="18" t="s">
        <v>71</v>
      </c>
      <c r="D32" s="18" t="s">
        <v>114</v>
      </c>
      <c r="E32" s="6">
        <v>11200000</v>
      </c>
      <c r="F32" s="19">
        <v>0.71</v>
      </c>
      <c r="G32" s="18">
        <v>100</v>
      </c>
      <c r="H32" s="20">
        <v>3.3</v>
      </c>
      <c r="I32" s="24" t="str" cm="1">
        <f t="array" ref="I32">_xlfn.IFS(
   AND(F32&gt;=0,9, G32&gt;=85), "Excelente",
   AND(F32&gt;=0,8, G32&gt;=70), "Bueno",
   OR(F32&lt;0,6,  G32&lt;50),  "Alerta",
   TRUE,           "Revisar")</f>
        <v>Excelente</v>
      </c>
      <c r="J32" s="28">
        <f t="shared" si="0"/>
        <v>1120000</v>
      </c>
    </row>
    <row r="33" spans="1:10" ht="18" customHeight="1" x14ac:dyDescent="0.3">
      <c r="A33" s="25" t="s">
        <v>115</v>
      </c>
      <c r="B33" s="8" t="s">
        <v>116</v>
      </c>
      <c r="C33" s="25" t="s">
        <v>63</v>
      </c>
      <c r="D33" s="25" t="s">
        <v>60</v>
      </c>
      <c r="E33" s="9">
        <v>9700000</v>
      </c>
      <c r="F33" s="26">
        <v>0.87</v>
      </c>
      <c r="G33" s="25">
        <v>55</v>
      </c>
      <c r="H33" s="27">
        <v>14.3</v>
      </c>
      <c r="I33" s="24" t="str" cm="1">
        <f t="array" ref="I33">_xlfn.IFS(
   AND(F33&gt;=0,9, G33&gt;=85), "Excelente",
   AND(F33&gt;=0,8, G33&gt;=70), "Bueno",
   OR(F33&lt;0,6,  G33&lt;50),  "Alerta",
   TRUE,           "Revisar")</f>
        <v>Alerta</v>
      </c>
      <c r="J33" s="28">
        <f t="shared" si="0"/>
        <v>0</v>
      </c>
    </row>
    <row r="34" spans="1:10" ht="18" customHeight="1" x14ac:dyDescent="0.3">
      <c r="A34" s="18" t="s">
        <v>117</v>
      </c>
      <c r="B34" s="5" t="s">
        <v>118</v>
      </c>
      <c r="C34" s="18" t="s">
        <v>81</v>
      </c>
      <c r="D34" s="18" t="s">
        <v>105</v>
      </c>
      <c r="E34" s="6">
        <v>9400000</v>
      </c>
      <c r="F34" s="19">
        <v>0.7</v>
      </c>
      <c r="G34" s="18">
        <v>61</v>
      </c>
      <c r="H34" s="20">
        <v>4.5</v>
      </c>
      <c r="I34" s="24" t="str" cm="1">
        <f t="array" ref="I34">_xlfn.IFS(
   AND(F34&gt;=0,9, G34&gt;=85), "Excelente",
   AND(F34&gt;=0,8, G34&gt;=70), "Bueno",
   OR(F34&lt;0,6,  G34&lt;50),  "Alerta",
   TRUE,           "Revisar")</f>
        <v>Alerta</v>
      </c>
      <c r="J34" s="28">
        <f t="shared" si="0"/>
        <v>0</v>
      </c>
    </row>
    <row r="35" spans="1:10" ht="18" customHeight="1" x14ac:dyDescent="0.3">
      <c r="A35" s="25" t="s">
        <v>119</v>
      </c>
      <c r="B35" s="8" t="s">
        <v>120</v>
      </c>
      <c r="C35" s="25" t="s">
        <v>67</v>
      </c>
      <c r="D35" s="25" t="s">
        <v>60</v>
      </c>
      <c r="E35" s="9">
        <v>2800000</v>
      </c>
      <c r="F35" s="26">
        <v>0.49</v>
      </c>
      <c r="G35" s="25">
        <v>37</v>
      </c>
      <c r="H35" s="27">
        <v>4.5999999999999996</v>
      </c>
      <c r="I35" s="24" t="str" cm="1">
        <f t="array" ref="I35">_xlfn.IFS(
   AND(F35&gt;=0,9, G35&gt;=85), "Excelente",
   AND(F35&gt;=0,8, G35&gt;=70), "Bueno",
   OR(F35&lt;0,6,  G35&lt;50),  "Alerta",
   TRUE,           "Revisar")</f>
        <v>Alerta</v>
      </c>
      <c r="J35" s="28">
        <f t="shared" si="0"/>
        <v>0</v>
      </c>
    </row>
    <row r="36" spans="1:10" ht="18" customHeight="1" x14ac:dyDescent="0.3">
      <c r="A36" s="18" t="s">
        <v>121</v>
      </c>
      <c r="B36" s="5" t="s">
        <v>122</v>
      </c>
      <c r="C36" s="18" t="s">
        <v>81</v>
      </c>
      <c r="D36" s="18" t="s">
        <v>78</v>
      </c>
      <c r="E36" s="6">
        <v>9300000</v>
      </c>
      <c r="F36" s="19">
        <v>0.57999999999999996</v>
      </c>
      <c r="G36" s="18">
        <v>92</v>
      </c>
      <c r="H36" s="20">
        <v>4.3</v>
      </c>
      <c r="I36" s="24" t="str" cm="1">
        <f t="array" ref="I36">_xlfn.IFS(
   AND(F36&gt;=0,9, G36&gt;=85), "Excelente",
   AND(F36&gt;=0,8, G36&gt;=70), "Bueno",
   OR(F36&lt;0,6,  G36&lt;50),  "Alerta",
   TRUE,           "Revisar")</f>
        <v>Excelente</v>
      </c>
      <c r="J36" s="28">
        <f t="shared" si="0"/>
        <v>930000</v>
      </c>
    </row>
    <row r="37" spans="1:10" ht="18" customHeight="1" x14ac:dyDescent="0.3">
      <c r="A37" s="25" t="s">
        <v>123</v>
      </c>
      <c r="B37" s="8" t="s">
        <v>124</v>
      </c>
      <c r="C37" s="25" t="s">
        <v>77</v>
      </c>
      <c r="D37" s="25" t="s">
        <v>60</v>
      </c>
      <c r="E37" s="9">
        <v>8800000</v>
      </c>
      <c r="F37" s="26">
        <v>0.89</v>
      </c>
      <c r="G37" s="25">
        <v>54</v>
      </c>
      <c r="H37" s="27">
        <v>1.9</v>
      </c>
      <c r="I37" s="24" t="str" cm="1">
        <f t="array" ref="I37">_xlfn.IFS(
   AND(F37&gt;=0,9, G37&gt;=85), "Excelente",
   AND(F37&gt;=0,8, G37&gt;=70), "Bueno",
   OR(F37&lt;0,6,  G37&lt;50),  "Alerta",
   TRUE,           "Revisar")</f>
        <v>Alerta</v>
      </c>
      <c r="J37" s="28">
        <f t="shared" si="0"/>
        <v>0</v>
      </c>
    </row>
    <row r="38" spans="1:10" ht="18" customHeight="1" x14ac:dyDescent="0.3">
      <c r="A38" s="18" t="s">
        <v>125</v>
      </c>
      <c r="B38" s="5" t="s">
        <v>126</v>
      </c>
      <c r="C38" s="18" t="s">
        <v>63</v>
      </c>
      <c r="D38" s="18" t="s">
        <v>68</v>
      </c>
      <c r="E38" s="6">
        <v>8700000</v>
      </c>
      <c r="F38" s="19">
        <v>0.93</v>
      </c>
      <c r="G38" s="18">
        <v>36</v>
      </c>
      <c r="H38" s="20">
        <v>13.5</v>
      </c>
      <c r="I38" s="24" t="str" cm="1">
        <f t="array" ref="I38">_xlfn.IFS(
   AND(F38&gt;=0,9, G38&gt;=85), "Excelente",
   AND(F38&gt;=0,8, G38&gt;=70), "Bueno",
   OR(F38&lt;0,6,  G38&lt;50),  "Alerta",
   TRUE,           "Revisar")</f>
        <v>Alerta</v>
      </c>
      <c r="J38" s="28">
        <f t="shared" si="0"/>
        <v>0</v>
      </c>
    </row>
    <row r="39" spans="1:10" ht="18" customHeight="1" x14ac:dyDescent="0.3">
      <c r="A39" s="25" t="s">
        <v>127</v>
      </c>
      <c r="B39" s="8" t="s">
        <v>128</v>
      </c>
      <c r="C39" s="25" t="s">
        <v>63</v>
      </c>
      <c r="D39" s="25" t="s">
        <v>92</v>
      </c>
      <c r="E39" s="9">
        <v>4100000</v>
      </c>
      <c r="F39" s="26">
        <v>0.59</v>
      </c>
      <c r="G39" s="25">
        <v>54</v>
      </c>
      <c r="H39" s="27">
        <v>10.7</v>
      </c>
      <c r="I39" s="24" t="str" cm="1">
        <f t="array" ref="I39">_xlfn.IFS(
   AND(F39&gt;=0,9, G39&gt;=85), "Excelente",
   AND(F39&gt;=0,8, G39&gt;=70), "Bueno",
   OR(F39&lt;0,6,  G39&lt;50),  "Alerta",
   TRUE,           "Revisar")</f>
        <v>Alerta</v>
      </c>
      <c r="J39" s="28">
        <f t="shared" si="0"/>
        <v>0</v>
      </c>
    </row>
    <row r="40" spans="1:10" ht="18" customHeight="1" x14ac:dyDescent="0.3">
      <c r="A40" s="18" t="s">
        <v>129</v>
      </c>
      <c r="B40" s="5" t="s">
        <v>130</v>
      </c>
      <c r="C40" s="18" t="s">
        <v>71</v>
      </c>
      <c r="D40" s="18" t="s">
        <v>88</v>
      </c>
      <c r="E40" s="6">
        <v>8700000</v>
      </c>
      <c r="F40" s="19">
        <v>0.59</v>
      </c>
      <c r="G40" s="18">
        <v>39</v>
      </c>
      <c r="H40" s="20">
        <v>8.9</v>
      </c>
      <c r="I40" s="24" t="str" cm="1">
        <f t="array" ref="I40">_xlfn.IFS(
   AND(F40&gt;=0,9, G40&gt;=85), "Excelente",
   AND(F40&gt;=0,8, G40&gt;=70), "Bueno",
   OR(F40&lt;0,6,  G40&lt;50),  "Alerta",
   TRUE,           "Revisar")</f>
        <v>Alerta</v>
      </c>
      <c r="J40" s="28">
        <f t="shared" si="0"/>
        <v>0</v>
      </c>
    </row>
    <row r="41" spans="1:10" ht="18" customHeight="1" x14ac:dyDescent="0.3">
      <c r="A41" s="25" t="s">
        <v>131</v>
      </c>
      <c r="B41" s="8" t="s">
        <v>132</v>
      </c>
      <c r="C41" s="25" t="s">
        <v>91</v>
      </c>
      <c r="D41" s="25" t="s">
        <v>64</v>
      </c>
      <c r="E41" s="9">
        <v>3900000</v>
      </c>
      <c r="F41" s="26">
        <v>0.96</v>
      </c>
      <c r="G41" s="25">
        <v>60</v>
      </c>
      <c r="H41" s="27">
        <v>3.3</v>
      </c>
      <c r="I41" s="24" t="str" cm="1">
        <f t="array" ref="I41">_xlfn.IFS(
   AND(F41&gt;=0,9, G41&gt;=85), "Excelente",
   AND(F41&gt;=0,8, G41&gt;=70), "Bueno",
   OR(F41&lt;0,6,  G41&lt;50),  "Alerta",
   TRUE,           "Revisar")</f>
        <v>Alerta</v>
      </c>
      <c r="J41" s="28">
        <f t="shared" si="0"/>
        <v>0</v>
      </c>
    </row>
    <row r="42" spans="1:10" ht="18" customHeight="1" x14ac:dyDescent="0.3">
      <c r="A42" s="18" t="s">
        <v>133</v>
      </c>
      <c r="B42" s="5" t="s">
        <v>134</v>
      </c>
      <c r="C42" s="18" t="s">
        <v>67</v>
      </c>
      <c r="D42" s="18" t="s">
        <v>68</v>
      </c>
      <c r="E42" s="6">
        <v>3500000</v>
      </c>
      <c r="F42" s="19">
        <v>0.54</v>
      </c>
      <c r="G42" s="18">
        <v>30</v>
      </c>
      <c r="H42" s="20">
        <v>19.7</v>
      </c>
      <c r="I42" s="24" t="str" cm="1">
        <f t="array" ref="I42">_xlfn.IFS(
   AND(F42&gt;=0,9, G42&gt;=85), "Excelente",
   AND(F42&gt;=0,8, G42&gt;=70), "Bueno",
   OR(F42&lt;0,6,  G42&lt;50),  "Alerta",
   TRUE,           "Revisar")</f>
        <v>Alerta</v>
      </c>
      <c r="J42" s="28">
        <f t="shared" si="0"/>
        <v>0</v>
      </c>
    </row>
    <row r="43" spans="1:10" ht="18" customHeight="1" x14ac:dyDescent="0.3">
      <c r="A43" s="25" t="s">
        <v>135</v>
      </c>
      <c r="B43" s="8" t="s">
        <v>136</v>
      </c>
      <c r="C43" s="25" t="s">
        <v>77</v>
      </c>
      <c r="D43" s="25" t="s">
        <v>88</v>
      </c>
      <c r="E43" s="9">
        <v>8200000</v>
      </c>
      <c r="F43" s="26">
        <v>0.83</v>
      </c>
      <c r="G43" s="25">
        <v>92</v>
      </c>
      <c r="H43" s="27">
        <v>3.1</v>
      </c>
      <c r="I43" s="24" t="str" cm="1">
        <f t="array" ref="I43">_xlfn.IFS(
   AND(F43&gt;=0,9, G43&gt;=85), "Excelente",
   AND(F43&gt;=0,8, G43&gt;=70), "Bueno",
   OR(F43&lt;0,6,  G43&lt;50),  "Alerta",
   TRUE,           "Revisar")</f>
        <v>Excelente</v>
      </c>
      <c r="J43" s="28">
        <f t="shared" si="0"/>
        <v>820000</v>
      </c>
    </row>
    <row r="44" spans="1:10" ht="18" customHeight="1" x14ac:dyDescent="0.3">
      <c r="A44" s="18" t="s">
        <v>137</v>
      </c>
      <c r="B44" s="5" t="s">
        <v>138</v>
      </c>
      <c r="C44" s="18" t="s">
        <v>91</v>
      </c>
      <c r="D44" s="18" t="s">
        <v>64</v>
      </c>
      <c r="E44" s="6">
        <v>6800000</v>
      </c>
      <c r="F44" s="19">
        <v>0.48</v>
      </c>
      <c r="G44" s="18">
        <v>91</v>
      </c>
      <c r="H44" s="20">
        <v>10.1</v>
      </c>
      <c r="I44" s="24" t="str" cm="1">
        <f t="array" ref="I44">_xlfn.IFS(
   AND(F44&gt;=0,9, G44&gt;=85), "Excelente",
   AND(F44&gt;=0,8, G44&gt;=70), "Bueno",
   OR(F44&lt;0,6,  G44&lt;50),  "Alerta",
   TRUE,           "Revisar")</f>
        <v>Excelente</v>
      </c>
      <c r="J44" s="28">
        <f t="shared" si="0"/>
        <v>680000</v>
      </c>
    </row>
    <row r="45" spans="1:10" ht="18" customHeight="1" x14ac:dyDescent="0.3">
      <c r="A45" s="25" t="s">
        <v>139</v>
      </c>
      <c r="B45" s="8" t="s">
        <v>140</v>
      </c>
      <c r="C45" s="25" t="s">
        <v>91</v>
      </c>
      <c r="D45" s="25" t="s">
        <v>78</v>
      </c>
      <c r="E45" s="9">
        <v>5100000</v>
      </c>
      <c r="F45" s="26">
        <v>0.49</v>
      </c>
      <c r="G45" s="25">
        <v>38</v>
      </c>
      <c r="H45" s="27">
        <v>13.5</v>
      </c>
      <c r="I45" s="24" t="str" cm="1">
        <f t="array" ref="I45">_xlfn.IFS(
   AND(F45&gt;=0,9, G45&gt;=85), "Excelente",
   AND(F45&gt;=0,8, G45&gt;=70), "Bueno",
   OR(F45&lt;0,6,  G45&lt;50),  "Alerta",
   TRUE,           "Revisar")</f>
        <v>Alerta</v>
      </c>
      <c r="J45" s="28">
        <f t="shared" si="0"/>
        <v>0</v>
      </c>
    </row>
    <row r="46" spans="1:10" ht="18" customHeight="1" x14ac:dyDescent="0.3">
      <c r="A46" s="18" t="s">
        <v>141</v>
      </c>
      <c r="B46" s="5" t="s">
        <v>142</v>
      </c>
      <c r="C46" s="18" t="s">
        <v>74</v>
      </c>
      <c r="D46" s="18" t="s">
        <v>60</v>
      </c>
      <c r="E46" s="6">
        <v>10200000</v>
      </c>
      <c r="F46" s="19">
        <v>0.78</v>
      </c>
      <c r="G46" s="18">
        <v>40</v>
      </c>
      <c r="H46" s="20">
        <v>8.4</v>
      </c>
      <c r="I46" s="24" t="str" cm="1">
        <f t="array" ref="I46">_xlfn.IFS(
   AND(F46&gt;=0,9, G46&gt;=85), "Excelente",
   AND(F46&gt;=0,8, G46&gt;=70), "Bueno",
   OR(F46&lt;0,6,  G46&lt;50),  "Alerta",
   TRUE,           "Revisar")</f>
        <v>Alerta</v>
      </c>
      <c r="J46" s="28">
        <f t="shared" si="0"/>
        <v>0</v>
      </c>
    </row>
    <row r="47" spans="1:10" ht="18" customHeight="1" x14ac:dyDescent="0.3">
      <c r="A47" s="25" t="s">
        <v>143</v>
      </c>
      <c r="B47" s="8" t="s">
        <v>144</v>
      </c>
      <c r="C47" s="25" t="s">
        <v>81</v>
      </c>
      <c r="D47" s="25" t="s">
        <v>88</v>
      </c>
      <c r="E47" s="9">
        <v>5400000</v>
      </c>
      <c r="F47" s="26">
        <v>0.82</v>
      </c>
      <c r="G47" s="25">
        <v>70</v>
      </c>
      <c r="H47" s="27">
        <v>4.8</v>
      </c>
      <c r="I47" s="24" t="str" cm="1">
        <f t="array" ref="I47">_xlfn.IFS(
   AND(F47&gt;=0,9, G47&gt;=85), "Excelente",
   AND(F47&gt;=0,8, G47&gt;=70), "Bueno",
   OR(F47&lt;0,6,  G47&lt;50),  "Alerta",
   TRUE,           "Revisar")</f>
        <v>Bueno</v>
      </c>
      <c r="J47" s="28">
        <f t="shared" si="0"/>
        <v>540000</v>
      </c>
    </row>
    <row r="48" spans="1:10" ht="18" customHeight="1" x14ac:dyDescent="0.3">
      <c r="A48" s="18" t="s">
        <v>145</v>
      </c>
      <c r="B48" s="5" t="s">
        <v>146</v>
      </c>
      <c r="C48" s="18" t="s">
        <v>59</v>
      </c>
      <c r="D48" s="18" t="s">
        <v>105</v>
      </c>
      <c r="E48" s="6">
        <v>6800000</v>
      </c>
      <c r="F48" s="19">
        <v>0.96</v>
      </c>
      <c r="G48" s="18">
        <v>39</v>
      </c>
      <c r="H48" s="20">
        <v>0.2</v>
      </c>
      <c r="I48" s="24" t="str" cm="1">
        <f t="array" ref="I48">_xlfn.IFS(
   AND(F48&gt;=0,9, G48&gt;=85), "Excelente",
   AND(F48&gt;=0,8, G48&gt;=70), "Bueno",
   OR(F48&lt;0,6,  G48&lt;50),  "Alerta",
   TRUE,           "Revisar")</f>
        <v>Alerta</v>
      </c>
      <c r="J48" s="28">
        <f t="shared" si="0"/>
        <v>0</v>
      </c>
    </row>
    <row r="49" spans="1:10" ht="18" customHeight="1" x14ac:dyDescent="0.3">
      <c r="A49" s="25" t="s">
        <v>147</v>
      </c>
      <c r="B49" s="8" t="s">
        <v>148</v>
      </c>
      <c r="C49" s="25" t="s">
        <v>74</v>
      </c>
      <c r="D49" s="25" t="s">
        <v>78</v>
      </c>
      <c r="E49" s="9">
        <v>9600000</v>
      </c>
      <c r="F49" s="26">
        <v>0.56999999999999995</v>
      </c>
      <c r="G49" s="25">
        <v>63</v>
      </c>
      <c r="H49" s="27">
        <v>2.6</v>
      </c>
      <c r="I49" s="24" t="str" cm="1">
        <f t="array" ref="I49">_xlfn.IFS(
   AND(F49&gt;=0,9, G49&gt;=85), "Excelente",
   AND(F49&gt;=0,8, G49&gt;=70), "Bueno",
   OR(F49&lt;0,6,  G49&lt;50),  "Alerta",
   TRUE,           "Revisar")</f>
        <v>Alerta</v>
      </c>
      <c r="J49" s="28">
        <f t="shared" si="0"/>
        <v>0</v>
      </c>
    </row>
    <row r="50" spans="1:10" ht="18" customHeight="1" x14ac:dyDescent="0.3">
      <c r="A50" s="18" t="s">
        <v>149</v>
      </c>
      <c r="B50" s="5" t="s">
        <v>150</v>
      </c>
      <c r="C50" s="18" t="s">
        <v>74</v>
      </c>
      <c r="D50" s="18" t="s">
        <v>60</v>
      </c>
      <c r="E50" s="6">
        <v>7500000</v>
      </c>
      <c r="F50" s="19">
        <v>0.61</v>
      </c>
      <c r="G50" s="18">
        <v>86</v>
      </c>
      <c r="H50" s="20">
        <v>16.7</v>
      </c>
      <c r="I50" s="24" t="str" cm="1">
        <f t="array" ref="I50">_xlfn.IFS(
   AND(F50&gt;=0,9, G50&gt;=85), "Excelente",
   AND(F50&gt;=0,8, G50&gt;=70), "Bueno",
   OR(F50&lt;0,6,  G50&lt;50),  "Alerta",
   TRUE,           "Revisar")</f>
        <v>Excelente</v>
      </c>
      <c r="J50" s="28">
        <f t="shared" si="0"/>
        <v>750000</v>
      </c>
    </row>
    <row r="51" spans="1:10" ht="18" customHeight="1" x14ac:dyDescent="0.3">
      <c r="A51" s="25" t="s">
        <v>151</v>
      </c>
      <c r="B51" s="8" t="s">
        <v>152</v>
      </c>
      <c r="C51" s="25" t="s">
        <v>91</v>
      </c>
      <c r="D51" s="25" t="s">
        <v>88</v>
      </c>
      <c r="E51" s="9">
        <v>11200000</v>
      </c>
      <c r="F51" s="26">
        <v>0.51</v>
      </c>
      <c r="G51" s="25">
        <v>47</v>
      </c>
      <c r="H51" s="27">
        <v>5.3</v>
      </c>
      <c r="I51" s="24" t="str" cm="1">
        <f t="array" ref="I51">_xlfn.IFS(
   AND(F51&gt;=0,9, G51&gt;=85), "Excelente",
   AND(F51&gt;=0,8, G51&gt;=70), "Bueno",
   OR(F51&lt;0,6,  G51&lt;50),  "Alerta",
   TRUE,           "Revisar")</f>
        <v>Alerta</v>
      </c>
      <c r="J51" s="28">
        <f t="shared" si="0"/>
        <v>0</v>
      </c>
    </row>
    <row r="52" spans="1:10" ht="18" customHeight="1" x14ac:dyDescent="0.3">
      <c r="A52" s="18" t="s">
        <v>153</v>
      </c>
      <c r="B52" s="5" t="s">
        <v>154</v>
      </c>
      <c r="C52" s="18" t="s">
        <v>71</v>
      </c>
      <c r="D52" s="18" t="s">
        <v>88</v>
      </c>
      <c r="E52" s="6">
        <v>6400000</v>
      </c>
      <c r="F52" s="19">
        <v>0.78</v>
      </c>
      <c r="G52" s="18">
        <v>73</v>
      </c>
      <c r="H52" s="20">
        <v>4.0999999999999996</v>
      </c>
      <c r="I52" s="24" t="str" cm="1">
        <f t="array" ref="I52">_xlfn.IFS(
   AND(F52&gt;=0,9, G52&gt;=85), "Excelente",
   AND(F52&gt;=0,8, G52&gt;=70), "Bueno",
   OR(F52&lt;0,6,  G52&lt;50),  "Alerta",
   TRUE,           "Revisar")</f>
        <v>Bueno</v>
      </c>
      <c r="J52" s="28">
        <f t="shared" si="0"/>
        <v>640000</v>
      </c>
    </row>
    <row r="53" spans="1:10" ht="18" customHeight="1" x14ac:dyDescent="0.3">
      <c r="A53" s="25" t="s">
        <v>155</v>
      </c>
      <c r="B53" s="8" t="s">
        <v>156</v>
      </c>
      <c r="C53" s="25" t="s">
        <v>77</v>
      </c>
      <c r="D53" s="25" t="s">
        <v>88</v>
      </c>
      <c r="E53" s="9">
        <v>3400000</v>
      </c>
      <c r="F53" s="26">
        <v>0.5</v>
      </c>
      <c r="G53" s="25">
        <v>84</v>
      </c>
      <c r="H53" s="27">
        <v>16.600000000000001</v>
      </c>
      <c r="I53" s="24" t="str" cm="1">
        <f t="array" ref="I53">_xlfn.IFS(
   AND(F53&gt;=0,9, G53&gt;=85), "Excelente",
   AND(F53&gt;=0,8, G53&gt;=70), "Bueno",
   OR(F53&lt;0,6,  G53&lt;50),  "Alerta",
   TRUE,           "Revisar")</f>
        <v>Bueno</v>
      </c>
      <c r="J53" s="28">
        <f t="shared" si="0"/>
        <v>340000</v>
      </c>
    </row>
    <row r="54" spans="1:10" ht="18" customHeight="1" x14ac:dyDescent="0.3">
      <c r="A54" s="18" t="s">
        <v>157</v>
      </c>
      <c r="B54" s="5" t="s">
        <v>158</v>
      </c>
      <c r="C54" s="18" t="s">
        <v>81</v>
      </c>
      <c r="D54" s="18" t="s">
        <v>114</v>
      </c>
      <c r="E54" s="6">
        <v>10900000</v>
      </c>
      <c r="F54" s="19">
        <v>0.99</v>
      </c>
      <c r="G54" s="18">
        <v>50</v>
      </c>
      <c r="H54" s="20">
        <v>14.8</v>
      </c>
      <c r="I54" s="24" t="str" cm="1">
        <f t="array" ref="I54">_xlfn.IFS(
   AND(F54&gt;=0,9, G54&gt;=85), "Excelente",
   AND(F54&gt;=0,8, G54&gt;=70), "Bueno",
   OR(F54&lt;0,6,  G54&lt;50),  "Alerta",
   TRUE,           "Revisar")</f>
        <v>Alerta</v>
      </c>
      <c r="J54" s="28">
        <f t="shared" si="0"/>
        <v>0</v>
      </c>
    </row>
    <row r="55" spans="1:10" ht="18" customHeight="1" x14ac:dyDescent="0.3">
      <c r="A55" s="25" t="s">
        <v>159</v>
      </c>
      <c r="B55" s="8" t="s">
        <v>160</v>
      </c>
      <c r="C55" s="25" t="s">
        <v>63</v>
      </c>
      <c r="D55" s="25" t="s">
        <v>64</v>
      </c>
      <c r="E55" s="9">
        <v>4200000</v>
      </c>
      <c r="F55" s="26">
        <v>0.49</v>
      </c>
      <c r="G55" s="25">
        <v>49</v>
      </c>
      <c r="H55" s="27">
        <v>10.9</v>
      </c>
      <c r="I55" s="24" t="str" cm="1">
        <f t="array" ref="I55">_xlfn.IFS(
   AND(F55&gt;=0,9, G55&gt;=85), "Excelente",
   AND(F55&gt;=0,8, G55&gt;=70), "Bueno",
   OR(F55&lt;0,6,  G55&lt;50),  "Alerta",
   TRUE,           "Revisar")</f>
        <v>Alerta</v>
      </c>
      <c r="J55" s="28">
        <f t="shared" si="0"/>
        <v>0</v>
      </c>
    </row>
    <row r="56" spans="1:10" ht="18" customHeight="1" x14ac:dyDescent="0.3">
      <c r="A56" s="18" t="s">
        <v>161</v>
      </c>
      <c r="B56" s="5" t="s">
        <v>162</v>
      </c>
      <c r="C56" s="18" t="s">
        <v>71</v>
      </c>
      <c r="D56" s="18" t="s">
        <v>68</v>
      </c>
      <c r="E56" s="6">
        <v>4400000</v>
      </c>
      <c r="F56" s="19">
        <v>0.47</v>
      </c>
      <c r="G56" s="18">
        <v>76</v>
      </c>
      <c r="H56" s="20">
        <v>18</v>
      </c>
      <c r="I56" s="24" t="str" cm="1">
        <f t="array" ref="I56">_xlfn.IFS(
   AND(F56&gt;=0,9, G56&gt;=85), "Excelente",
   AND(F56&gt;=0,8, G56&gt;=70), "Bueno",
   OR(F56&lt;0,6,  G56&lt;50),  "Alerta",
   TRUE,           "Revisar")</f>
        <v>Bueno</v>
      </c>
      <c r="J56" s="28">
        <f t="shared" si="0"/>
        <v>440000</v>
      </c>
    </row>
    <row r="57" spans="1:10" ht="18" customHeight="1" x14ac:dyDescent="0.3">
      <c r="A57" s="25" t="s">
        <v>163</v>
      </c>
      <c r="B57" s="8" t="s">
        <v>164</v>
      </c>
      <c r="C57" s="25" t="s">
        <v>81</v>
      </c>
      <c r="D57" s="25" t="s">
        <v>60</v>
      </c>
      <c r="E57" s="9">
        <v>11500000</v>
      </c>
      <c r="F57" s="26">
        <v>0.59</v>
      </c>
      <c r="G57" s="25">
        <v>43</v>
      </c>
      <c r="H57" s="27">
        <v>7.1</v>
      </c>
      <c r="I57" s="24" t="str" cm="1">
        <f t="array" ref="I57">_xlfn.IFS(
   AND(F57&gt;=0,9, G57&gt;=85), "Excelente",
   AND(F57&gt;=0,8, G57&gt;=70), "Bueno",
   OR(F57&lt;0,6,  G57&lt;50),  "Alerta",
   TRUE,           "Revisar")</f>
        <v>Alerta</v>
      </c>
      <c r="J57" s="28">
        <f t="shared" si="0"/>
        <v>0</v>
      </c>
    </row>
    <row r="58" spans="1:10" ht="18" customHeight="1" x14ac:dyDescent="0.3">
      <c r="A58" s="18" t="s">
        <v>165</v>
      </c>
      <c r="B58" s="5" t="s">
        <v>166</v>
      </c>
      <c r="C58" s="18" t="s">
        <v>63</v>
      </c>
      <c r="D58" s="18" t="s">
        <v>114</v>
      </c>
      <c r="E58" s="6">
        <v>5800000</v>
      </c>
      <c r="F58" s="19">
        <v>0.93</v>
      </c>
      <c r="G58" s="18">
        <v>52</v>
      </c>
      <c r="H58" s="20">
        <v>17.600000000000001</v>
      </c>
      <c r="I58" s="24" t="str" cm="1">
        <f t="array" ref="I58">_xlfn.IFS(
   AND(F58&gt;=0,9, G58&gt;=85), "Excelente",
   AND(F58&gt;=0,8, G58&gt;=70), "Bueno",
   OR(F58&lt;0,6,  G58&lt;50),  "Alerta",
   TRUE,           "Revisar")</f>
        <v>Alerta</v>
      </c>
      <c r="J58" s="28">
        <f t="shared" si="0"/>
        <v>0</v>
      </c>
    </row>
    <row r="59" spans="1:10" ht="18" customHeight="1" x14ac:dyDescent="0.3">
      <c r="A59" s="25" t="s">
        <v>167</v>
      </c>
      <c r="B59" s="8" t="s">
        <v>168</v>
      </c>
      <c r="C59" s="25" t="s">
        <v>81</v>
      </c>
      <c r="D59" s="25" t="s">
        <v>68</v>
      </c>
      <c r="E59" s="9">
        <v>11300000</v>
      </c>
      <c r="F59" s="26">
        <v>0.93</v>
      </c>
      <c r="G59" s="25">
        <v>61</v>
      </c>
      <c r="H59" s="27">
        <v>5.3</v>
      </c>
      <c r="I59" s="24" t="str" cm="1">
        <f t="array" ref="I59">_xlfn.IFS(
   AND(F59&gt;=0,9, G59&gt;=85), "Excelente",
   AND(F59&gt;=0,8, G59&gt;=70), "Bueno",
   OR(F59&lt;0,6,  G59&lt;50),  "Alerta",
   TRUE,           "Revisar")</f>
        <v>Alerta</v>
      </c>
      <c r="J59" s="28">
        <f t="shared" si="0"/>
        <v>0</v>
      </c>
    </row>
    <row r="60" spans="1:10" ht="18" customHeight="1" x14ac:dyDescent="0.3">
      <c r="A60" s="18" t="s">
        <v>169</v>
      </c>
      <c r="B60" s="5" t="s">
        <v>170</v>
      </c>
      <c r="C60" s="18" t="s">
        <v>91</v>
      </c>
      <c r="D60" s="18" t="s">
        <v>105</v>
      </c>
      <c r="E60" s="6">
        <v>5600000</v>
      </c>
      <c r="F60" s="19">
        <v>0.56000000000000005</v>
      </c>
      <c r="G60" s="18">
        <v>88</v>
      </c>
      <c r="H60" s="20">
        <v>7</v>
      </c>
      <c r="I60" s="24" t="str" cm="1">
        <f t="array" ref="I60">_xlfn.IFS(
   AND(F60&gt;=0,9, G60&gt;=85), "Excelente",
   AND(F60&gt;=0,8, G60&gt;=70), "Bueno",
   OR(F60&lt;0,6,  G60&lt;50),  "Alerta",
   TRUE,           "Revisar")</f>
        <v>Excelente</v>
      </c>
      <c r="J60" s="28">
        <f t="shared" si="0"/>
        <v>560000</v>
      </c>
    </row>
    <row r="61" spans="1:10" ht="18" customHeight="1" x14ac:dyDescent="0.3">
      <c r="A61" s="25" t="s">
        <v>171</v>
      </c>
      <c r="B61" s="8" t="s">
        <v>172</v>
      </c>
      <c r="C61" s="25" t="s">
        <v>91</v>
      </c>
      <c r="D61" s="25" t="s">
        <v>60</v>
      </c>
      <c r="E61" s="9">
        <v>7900000</v>
      </c>
      <c r="F61" s="26">
        <v>0.63</v>
      </c>
      <c r="G61" s="25">
        <v>38</v>
      </c>
      <c r="H61" s="27">
        <v>19.3</v>
      </c>
      <c r="I61" s="24" t="str" cm="1">
        <f t="array" ref="I61">_xlfn.IFS(
   AND(F61&gt;=0,9, G61&gt;=85), "Excelente",
   AND(F61&gt;=0,8, G61&gt;=70), "Bueno",
   OR(F61&lt;0,6,  G61&lt;50),  "Alerta",
   TRUE,           "Revisar")</f>
        <v>Alerta</v>
      </c>
      <c r="J61" s="28">
        <f t="shared" si="0"/>
        <v>0</v>
      </c>
    </row>
    <row r="62" spans="1:10" ht="18" customHeight="1" x14ac:dyDescent="0.3">
      <c r="A62" s="18" t="s">
        <v>173</v>
      </c>
      <c r="B62" s="5" t="s">
        <v>174</v>
      </c>
      <c r="C62" s="18" t="s">
        <v>63</v>
      </c>
      <c r="D62" s="18" t="s">
        <v>92</v>
      </c>
      <c r="E62" s="6">
        <v>3100000</v>
      </c>
      <c r="F62" s="19">
        <v>0.51</v>
      </c>
      <c r="G62" s="18">
        <v>63</v>
      </c>
      <c r="H62" s="20">
        <v>3.6</v>
      </c>
      <c r="I62" s="24" t="str" cm="1">
        <f t="array" ref="I62">_xlfn.IFS(
   AND(F62&gt;=0,9, G62&gt;=85), "Excelente",
   AND(F62&gt;=0,8, G62&gt;=70), "Bueno",
   OR(F62&lt;0,6,  G62&lt;50),  "Alerta",
   TRUE,           "Revisar")</f>
        <v>Alerta</v>
      </c>
      <c r="J62" s="28">
        <f t="shared" si="0"/>
        <v>0</v>
      </c>
    </row>
    <row r="63" spans="1:10" ht="18" customHeight="1" x14ac:dyDescent="0.3">
      <c r="A63" s="25" t="s">
        <v>175</v>
      </c>
      <c r="B63" s="8" t="s">
        <v>176</v>
      </c>
      <c r="C63" s="25" t="s">
        <v>74</v>
      </c>
      <c r="D63" s="25" t="s">
        <v>68</v>
      </c>
      <c r="E63" s="9">
        <v>7200000</v>
      </c>
      <c r="F63" s="26">
        <v>0.85</v>
      </c>
      <c r="G63" s="25">
        <v>70</v>
      </c>
      <c r="H63" s="27">
        <v>8.6999999999999993</v>
      </c>
      <c r="I63" s="24" t="str" cm="1">
        <f t="array" ref="I63">_xlfn.IFS(
   AND(F63&gt;=0,9, G63&gt;=85), "Excelente",
   AND(F63&gt;=0,8, G63&gt;=70), "Bueno",
   OR(F63&lt;0,6,  G63&lt;50),  "Alerta",
   TRUE,           "Revisar")</f>
        <v>Bueno</v>
      </c>
      <c r="J63" s="28">
        <f t="shared" si="0"/>
        <v>720000</v>
      </c>
    </row>
    <row r="64" spans="1:10" ht="18" customHeight="1" x14ac:dyDescent="0.3">
      <c r="A64" s="18" t="s">
        <v>177</v>
      </c>
      <c r="B64" s="5" t="s">
        <v>178</v>
      </c>
      <c r="C64" s="18" t="s">
        <v>63</v>
      </c>
      <c r="D64" s="18" t="s">
        <v>60</v>
      </c>
      <c r="E64" s="6">
        <v>6000000</v>
      </c>
      <c r="F64" s="19">
        <v>0.47</v>
      </c>
      <c r="G64" s="18">
        <v>85</v>
      </c>
      <c r="H64" s="20">
        <v>0</v>
      </c>
      <c r="I64" s="24" t="str" cm="1">
        <f t="array" ref="I64">_xlfn.IFS(
   AND(F64&gt;=0,9, G64&gt;=85), "Excelente",
   AND(F64&gt;=0,8, G64&gt;=70), "Bueno",
   OR(F64&lt;0,6,  G64&lt;50),  "Alerta",
   TRUE,           "Revisar")</f>
        <v>Excelente</v>
      </c>
      <c r="J64" s="28">
        <f t="shared" si="0"/>
        <v>600000</v>
      </c>
    </row>
    <row r="65" spans="1:10" ht="18" customHeight="1" x14ac:dyDescent="0.3">
      <c r="A65" s="25" t="s">
        <v>179</v>
      </c>
      <c r="B65" s="8" t="s">
        <v>180</v>
      </c>
      <c r="C65" s="25" t="s">
        <v>67</v>
      </c>
      <c r="D65" s="25" t="s">
        <v>92</v>
      </c>
      <c r="E65" s="9">
        <v>8300000</v>
      </c>
      <c r="F65" s="26">
        <v>0.49</v>
      </c>
      <c r="G65" s="25">
        <v>72</v>
      </c>
      <c r="H65" s="27">
        <v>12.5</v>
      </c>
      <c r="I65" s="24" t="str" cm="1">
        <f t="array" ref="I65">_xlfn.IFS(
   AND(F65&gt;=0,9, G65&gt;=85), "Excelente",
   AND(F65&gt;=0,8, G65&gt;=70), "Bueno",
   OR(F65&lt;0,6,  G65&lt;50),  "Alerta",
   TRUE,           "Revisar")</f>
        <v>Bueno</v>
      </c>
      <c r="J65" s="28">
        <f t="shared" si="0"/>
        <v>830000</v>
      </c>
    </row>
    <row r="66" spans="1:10" ht="18" customHeight="1" x14ac:dyDescent="0.3">
      <c r="A66" s="18" t="s">
        <v>181</v>
      </c>
      <c r="B66" s="5" t="s">
        <v>182</v>
      </c>
      <c r="C66" s="18" t="s">
        <v>59</v>
      </c>
      <c r="D66" s="18" t="s">
        <v>88</v>
      </c>
      <c r="E66" s="6">
        <v>11300000</v>
      </c>
      <c r="F66" s="19">
        <v>0.67</v>
      </c>
      <c r="G66" s="18">
        <v>81</v>
      </c>
      <c r="H66" s="20">
        <v>13.9</v>
      </c>
      <c r="I66" s="24" t="str" cm="1">
        <f t="array" ref="I66">_xlfn.IFS(
   AND(F66&gt;=0,9, G66&gt;=85), "Excelente",
   AND(F66&gt;=0,8, G66&gt;=70), "Bueno",
   OR(F66&lt;0,6,  G66&lt;50),  "Alerta",
   TRUE,           "Revisar")</f>
        <v>Bueno</v>
      </c>
      <c r="J66" s="28">
        <f t="shared" si="0"/>
        <v>1130000</v>
      </c>
    </row>
    <row r="67" spans="1:10" ht="18" customHeight="1" x14ac:dyDescent="0.3">
      <c r="A67" s="25" t="s">
        <v>183</v>
      </c>
      <c r="B67" s="8" t="s">
        <v>184</v>
      </c>
      <c r="C67" s="25" t="s">
        <v>67</v>
      </c>
      <c r="D67" s="25" t="s">
        <v>68</v>
      </c>
      <c r="E67" s="9">
        <v>11300000</v>
      </c>
      <c r="F67" s="26">
        <v>0.97</v>
      </c>
      <c r="G67" s="25">
        <v>52</v>
      </c>
      <c r="H67" s="27">
        <v>12.3</v>
      </c>
      <c r="I67" s="24" t="str" cm="1">
        <f t="array" ref="I67">_xlfn.IFS(
   AND(F67&gt;=0,9, G67&gt;=85), "Excelente",
   AND(F67&gt;=0,8, G67&gt;=70), "Bueno",
   OR(F67&lt;0,6,  G67&lt;50),  "Alerta",
   TRUE,           "Revisar")</f>
        <v>Alerta</v>
      </c>
      <c r="J67" s="28">
        <f t="shared" si="0"/>
        <v>0</v>
      </c>
    </row>
    <row r="68" spans="1:10" ht="18" customHeight="1" x14ac:dyDescent="0.3">
      <c r="A68" s="18" t="s">
        <v>185</v>
      </c>
      <c r="B68" s="5" t="s">
        <v>186</v>
      </c>
      <c r="C68" s="18" t="s">
        <v>91</v>
      </c>
      <c r="D68" s="18" t="s">
        <v>88</v>
      </c>
      <c r="E68" s="6">
        <v>6400000</v>
      </c>
      <c r="F68" s="19">
        <v>0.56999999999999995</v>
      </c>
      <c r="G68" s="18">
        <v>71</v>
      </c>
      <c r="H68" s="20">
        <v>9.3000000000000007</v>
      </c>
      <c r="I68" s="24" t="str" cm="1">
        <f t="array" ref="I68">_xlfn.IFS(
   AND(F68&gt;=0,9, G68&gt;=85), "Excelente",
   AND(F68&gt;=0,8, G68&gt;=70), "Bueno",
   OR(F68&lt;0,6,  G68&lt;50),  "Alerta",
   TRUE,           "Revisar")</f>
        <v>Bueno</v>
      </c>
      <c r="J68" s="28">
        <f t="shared" si="0"/>
        <v>640000</v>
      </c>
    </row>
    <row r="69" spans="1:10" ht="18" customHeight="1" x14ac:dyDescent="0.3">
      <c r="A69" s="25" t="s">
        <v>187</v>
      </c>
      <c r="B69" s="8" t="s">
        <v>188</v>
      </c>
      <c r="C69" s="25" t="s">
        <v>67</v>
      </c>
      <c r="D69" s="25" t="s">
        <v>105</v>
      </c>
      <c r="E69" s="9">
        <v>4900000</v>
      </c>
      <c r="F69" s="26">
        <v>0.81</v>
      </c>
      <c r="G69" s="25">
        <v>66</v>
      </c>
      <c r="H69" s="27">
        <v>10.3</v>
      </c>
      <c r="I69" s="24" t="str" cm="1">
        <f t="array" ref="I69">_xlfn.IFS(
   AND(F69&gt;=0,9, G69&gt;=85), "Excelente",
   AND(F69&gt;=0,8, G69&gt;=70), "Bueno",
   OR(F69&lt;0,6,  G69&lt;50),  "Alerta",
   TRUE,           "Revisar")</f>
        <v>Alerta</v>
      </c>
      <c r="J69" s="28">
        <f t="shared" si="0"/>
        <v>0</v>
      </c>
    </row>
    <row r="70" spans="1:10" ht="18" customHeight="1" x14ac:dyDescent="0.3">
      <c r="A70" s="18" t="s">
        <v>189</v>
      </c>
      <c r="B70" s="5" t="s">
        <v>190</v>
      </c>
      <c r="C70" s="18" t="s">
        <v>74</v>
      </c>
      <c r="D70" s="18" t="s">
        <v>60</v>
      </c>
      <c r="E70" s="6">
        <v>11400000</v>
      </c>
      <c r="F70" s="19">
        <v>0.62</v>
      </c>
      <c r="G70" s="18">
        <v>55</v>
      </c>
      <c r="H70" s="20">
        <v>2.9</v>
      </c>
      <c r="I70" s="24" t="str" cm="1">
        <f t="array" ref="I70">_xlfn.IFS(
   AND(F70&gt;=0,9, G70&gt;=85), "Excelente",
   AND(F70&gt;=0,8, G70&gt;=70), "Bueno",
   OR(F70&lt;0,6,  G70&lt;50),  "Alerta",
   TRUE,           "Revisar")</f>
        <v>Alerta</v>
      </c>
      <c r="J70" s="28">
        <f t="shared" si="0"/>
        <v>0</v>
      </c>
    </row>
    <row r="71" spans="1:10" ht="18" customHeight="1" x14ac:dyDescent="0.3">
      <c r="A71" s="25" t="s">
        <v>191</v>
      </c>
      <c r="B71" s="8" t="s">
        <v>192</v>
      </c>
      <c r="C71" s="25" t="s">
        <v>77</v>
      </c>
      <c r="D71" s="25" t="s">
        <v>78</v>
      </c>
      <c r="E71" s="9">
        <v>8600000</v>
      </c>
      <c r="F71" s="26">
        <v>0.68</v>
      </c>
      <c r="G71" s="25">
        <v>54</v>
      </c>
      <c r="H71" s="27">
        <v>14.4</v>
      </c>
      <c r="I71" s="24" t="str" cm="1">
        <f t="array" ref="I71">_xlfn.IFS(
   AND(F71&gt;=0,9, G71&gt;=85), "Excelente",
   AND(F71&gt;=0,8, G71&gt;=70), "Bueno",
   OR(F71&lt;0,6,  G71&lt;50),  "Alerta",
   TRUE,           "Revisar")</f>
        <v>Alerta</v>
      </c>
      <c r="J71" s="28">
        <f t="shared" si="0"/>
        <v>0</v>
      </c>
    </row>
    <row r="72" spans="1:10" ht="18" customHeight="1" x14ac:dyDescent="0.3">
      <c r="A72" s="18" t="s">
        <v>193</v>
      </c>
      <c r="B72" s="5" t="s">
        <v>194</v>
      </c>
      <c r="C72" s="18" t="s">
        <v>63</v>
      </c>
      <c r="D72" s="18" t="s">
        <v>60</v>
      </c>
      <c r="E72" s="6">
        <v>4600000</v>
      </c>
      <c r="F72" s="19">
        <v>0.81</v>
      </c>
      <c r="G72" s="18">
        <v>30</v>
      </c>
      <c r="H72" s="20">
        <v>17.899999999999999</v>
      </c>
      <c r="I72" s="24" t="str" cm="1">
        <f t="array" ref="I72">_xlfn.IFS(
   AND(F72&gt;=0,9, G72&gt;=85), "Excelente",
   AND(F72&gt;=0,8, G72&gt;=70), "Bueno",
   OR(F72&lt;0,6,  G72&lt;50),  "Alerta",
   TRUE,           "Revisar")</f>
        <v>Alerta</v>
      </c>
      <c r="J72" s="28">
        <f t="shared" si="0"/>
        <v>0</v>
      </c>
    </row>
    <row r="73" spans="1:10" ht="18" customHeight="1" x14ac:dyDescent="0.3">
      <c r="A73" s="25" t="s">
        <v>195</v>
      </c>
      <c r="B73" s="8" t="s">
        <v>196</v>
      </c>
      <c r="C73" s="25" t="s">
        <v>63</v>
      </c>
      <c r="D73" s="25" t="s">
        <v>60</v>
      </c>
      <c r="E73" s="9">
        <v>5000000</v>
      </c>
      <c r="F73" s="26">
        <v>0.89</v>
      </c>
      <c r="G73" s="25">
        <v>96</v>
      </c>
      <c r="H73" s="27">
        <v>9.3000000000000007</v>
      </c>
      <c r="I73" s="24" t="str" cm="1">
        <f t="array" ref="I73">_xlfn.IFS(
   AND(F73&gt;=0,9, G73&gt;=85), "Excelente",
   AND(F73&gt;=0,8, G73&gt;=70), "Bueno",
   OR(F73&lt;0,6,  G73&lt;50),  "Alerta",
   TRUE,           "Revisar")</f>
        <v>Excelente</v>
      </c>
      <c r="J73" s="28">
        <f t="shared" si="0"/>
        <v>500000</v>
      </c>
    </row>
    <row r="74" spans="1:10" ht="18" customHeight="1" x14ac:dyDescent="0.3">
      <c r="A74" s="18" t="s">
        <v>197</v>
      </c>
      <c r="B74" s="5" t="s">
        <v>198</v>
      </c>
      <c r="C74" s="18" t="s">
        <v>74</v>
      </c>
      <c r="D74" s="18" t="s">
        <v>105</v>
      </c>
      <c r="E74" s="6">
        <v>4500000</v>
      </c>
      <c r="F74" s="19">
        <v>0.89</v>
      </c>
      <c r="G74" s="18">
        <v>97</v>
      </c>
      <c r="H74" s="20">
        <v>19.8</v>
      </c>
      <c r="I74" s="24" t="str" cm="1">
        <f t="array" ref="I74">_xlfn.IFS(
   AND(F74&gt;=0,9, G74&gt;=85), "Excelente",
   AND(F74&gt;=0,8, G74&gt;=70), "Bueno",
   OR(F74&lt;0,6,  G74&lt;50),  "Alerta",
   TRUE,           "Revisar")</f>
        <v>Excelente</v>
      </c>
      <c r="J74" s="28">
        <f t="shared" si="0"/>
        <v>450000</v>
      </c>
    </row>
    <row r="75" spans="1:10" ht="18" customHeight="1" x14ac:dyDescent="0.3">
      <c r="A75" s="25" t="s">
        <v>199</v>
      </c>
      <c r="B75" s="8" t="s">
        <v>200</v>
      </c>
      <c r="C75" s="25" t="s">
        <v>77</v>
      </c>
      <c r="D75" s="25" t="s">
        <v>68</v>
      </c>
      <c r="E75" s="9">
        <v>9800000</v>
      </c>
      <c r="F75" s="26">
        <v>0.7</v>
      </c>
      <c r="G75" s="25">
        <v>50</v>
      </c>
      <c r="H75" s="27">
        <v>14.9</v>
      </c>
      <c r="I75" s="24" t="str" cm="1">
        <f t="array" ref="I75">_xlfn.IFS(
   AND(F75&gt;=0,9, G75&gt;=85), "Excelente",
   AND(F75&gt;=0,8, G75&gt;=70), "Bueno",
   OR(F75&lt;0,6,  G75&lt;50),  "Alerta",
   TRUE,           "Revisar")</f>
        <v>Alerta</v>
      </c>
      <c r="J75" s="28">
        <f t="shared" si="0"/>
        <v>0</v>
      </c>
    </row>
    <row r="76" spans="1:10" ht="18" customHeight="1" x14ac:dyDescent="0.3">
      <c r="A76" s="18" t="s">
        <v>201</v>
      </c>
      <c r="B76" s="5" t="s">
        <v>202</v>
      </c>
      <c r="C76" s="18" t="s">
        <v>59</v>
      </c>
      <c r="D76" s="18" t="s">
        <v>60</v>
      </c>
      <c r="E76" s="6">
        <v>10900000</v>
      </c>
      <c r="F76" s="19">
        <v>0.6</v>
      </c>
      <c r="G76" s="18">
        <v>96</v>
      </c>
      <c r="H76" s="20">
        <v>9.6999999999999993</v>
      </c>
      <c r="I76" s="24" t="str" cm="1">
        <f t="array" ref="I76">_xlfn.IFS(
   AND(F76&gt;=0,9, G76&gt;=85), "Excelente",
   AND(F76&gt;=0,8, G76&gt;=70), "Bueno",
   OR(F76&lt;0,6,  G76&lt;50),  "Alerta",
   TRUE,           "Revisar")</f>
        <v>Excelente</v>
      </c>
      <c r="J76" s="28">
        <f t="shared" ref="J76:J139" si="1">IF(OR(I76="Excelente",I76="Bueno"),E76*0.1,0)</f>
        <v>1090000</v>
      </c>
    </row>
    <row r="77" spans="1:10" ht="18" customHeight="1" x14ac:dyDescent="0.3">
      <c r="A77" s="25" t="s">
        <v>203</v>
      </c>
      <c r="B77" s="8" t="s">
        <v>204</v>
      </c>
      <c r="C77" s="25" t="s">
        <v>77</v>
      </c>
      <c r="D77" s="25" t="s">
        <v>78</v>
      </c>
      <c r="E77" s="9">
        <v>11900000</v>
      </c>
      <c r="F77" s="26">
        <v>0.61</v>
      </c>
      <c r="G77" s="25">
        <v>64</v>
      </c>
      <c r="H77" s="27">
        <v>6.7</v>
      </c>
      <c r="I77" s="24" t="str" cm="1">
        <f t="array" ref="I77">_xlfn.IFS(
   AND(F77&gt;=0,9, G77&gt;=85), "Excelente",
   AND(F77&gt;=0,8, G77&gt;=70), "Bueno",
   OR(F77&lt;0,6,  G77&lt;50),  "Alerta",
   TRUE,           "Revisar")</f>
        <v>Alerta</v>
      </c>
      <c r="J77" s="28">
        <f t="shared" si="1"/>
        <v>0</v>
      </c>
    </row>
    <row r="78" spans="1:10" ht="18" customHeight="1" x14ac:dyDescent="0.3">
      <c r="A78" s="18" t="s">
        <v>205</v>
      </c>
      <c r="B78" s="5" t="s">
        <v>206</v>
      </c>
      <c r="C78" s="18" t="s">
        <v>67</v>
      </c>
      <c r="D78" s="18" t="s">
        <v>68</v>
      </c>
      <c r="E78" s="6">
        <v>11600000</v>
      </c>
      <c r="F78" s="19">
        <v>0.53</v>
      </c>
      <c r="G78" s="18">
        <v>57</v>
      </c>
      <c r="H78" s="20">
        <v>1.3</v>
      </c>
      <c r="I78" s="24" t="str" cm="1">
        <f t="array" ref="I78">_xlfn.IFS(
   AND(F78&gt;=0,9, G78&gt;=85), "Excelente",
   AND(F78&gt;=0,8, G78&gt;=70), "Bueno",
   OR(F78&lt;0,6,  G78&lt;50),  "Alerta",
   TRUE,           "Revisar")</f>
        <v>Alerta</v>
      </c>
      <c r="J78" s="28">
        <f t="shared" si="1"/>
        <v>0</v>
      </c>
    </row>
    <row r="79" spans="1:10" ht="18" customHeight="1" x14ac:dyDescent="0.3">
      <c r="A79" s="25" t="s">
        <v>207</v>
      </c>
      <c r="B79" s="8" t="s">
        <v>208</v>
      </c>
      <c r="C79" s="25" t="s">
        <v>77</v>
      </c>
      <c r="D79" s="25" t="s">
        <v>68</v>
      </c>
      <c r="E79" s="9">
        <v>3500000</v>
      </c>
      <c r="F79" s="26">
        <v>0.56000000000000005</v>
      </c>
      <c r="G79" s="25">
        <v>83</v>
      </c>
      <c r="H79" s="27">
        <v>7.8</v>
      </c>
      <c r="I79" s="24" t="str" cm="1">
        <f t="array" ref="I79">_xlfn.IFS(
   AND(F79&gt;=0,9, G79&gt;=85), "Excelente",
   AND(F79&gt;=0,8, G79&gt;=70), "Bueno",
   OR(F79&lt;0,6,  G79&lt;50),  "Alerta",
   TRUE,           "Revisar")</f>
        <v>Bueno</v>
      </c>
      <c r="J79" s="28">
        <f t="shared" si="1"/>
        <v>350000</v>
      </c>
    </row>
    <row r="80" spans="1:10" ht="18" customHeight="1" x14ac:dyDescent="0.3">
      <c r="A80" s="18" t="s">
        <v>209</v>
      </c>
      <c r="B80" s="5" t="s">
        <v>210</v>
      </c>
      <c r="C80" s="18" t="s">
        <v>91</v>
      </c>
      <c r="D80" s="18" t="s">
        <v>68</v>
      </c>
      <c r="E80" s="6">
        <v>8900000</v>
      </c>
      <c r="F80" s="19">
        <v>0.45</v>
      </c>
      <c r="G80" s="18">
        <v>75</v>
      </c>
      <c r="H80" s="20">
        <v>6</v>
      </c>
      <c r="I80" s="24" t="str" cm="1">
        <f t="array" ref="I80">_xlfn.IFS(
   AND(F80&gt;=0,9, G80&gt;=85), "Excelente",
   AND(F80&gt;=0,8, G80&gt;=70), "Bueno",
   OR(F80&lt;0,6,  G80&lt;50),  "Alerta",
   TRUE,           "Revisar")</f>
        <v>Bueno</v>
      </c>
      <c r="J80" s="28">
        <f t="shared" si="1"/>
        <v>890000</v>
      </c>
    </row>
    <row r="81" spans="1:10" ht="18" customHeight="1" x14ac:dyDescent="0.3">
      <c r="A81" s="25" t="s">
        <v>211</v>
      </c>
      <c r="B81" s="8" t="s">
        <v>212</v>
      </c>
      <c r="C81" s="25" t="s">
        <v>63</v>
      </c>
      <c r="D81" s="25" t="s">
        <v>60</v>
      </c>
      <c r="E81" s="9">
        <v>9000000</v>
      </c>
      <c r="F81" s="26">
        <v>0.56999999999999995</v>
      </c>
      <c r="G81" s="25">
        <v>85</v>
      </c>
      <c r="H81" s="27">
        <v>9.6999999999999993</v>
      </c>
      <c r="I81" s="24" t="str" cm="1">
        <f t="array" ref="I81">_xlfn.IFS(
   AND(F81&gt;=0,9, G81&gt;=85), "Excelente",
   AND(F81&gt;=0,8, G81&gt;=70), "Bueno",
   OR(F81&lt;0,6,  G81&lt;50),  "Alerta",
   TRUE,           "Revisar")</f>
        <v>Excelente</v>
      </c>
      <c r="J81" s="28">
        <f t="shared" si="1"/>
        <v>900000</v>
      </c>
    </row>
    <row r="82" spans="1:10" ht="18" customHeight="1" x14ac:dyDescent="0.3">
      <c r="A82" s="18" t="s">
        <v>213</v>
      </c>
      <c r="B82" s="5" t="s">
        <v>214</v>
      </c>
      <c r="C82" s="18" t="s">
        <v>63</v>
      </c>
      <c r="D82" s="18" t="s">
        <v>114</v>
      </c>
      <c r="E82" s="6">
        <v>8700000</v>
      </c>
      <c r="F82" s="19">
        <v>0.96</v>
      </c>
      <c r="G82" s="18">
        <v>98</v>
      </c>
      <c r="H82" s="20">
        <v>0.5</v>
      </c>
      <c r="I82" s="24" t="str" cm="1">
        <f t="array" ref="I82">_xlfn.IFS(
   AND(F82&gt;=0,9, G82&gt;=85), "Excelente",
   AND(F82&gt;=0,8, G82&gt;=70), "Bueno",
   OR(F82&lt;0,6,  G82&lt;50),  "Alerta",
   TRUE,           "Revisar")</f>
        <v>Excelente</v>
      </c>
      <c r="J82" s="28">
        <f t="shared" si="1"/>
        <v>870000</v>
      </c>
    </row>
    <row r="83" spans="1:10" ht="18" customHeight="1" x14ac:dyDescent="0.3">
      <c r="A83" s="25" t="s">
        <v>215</v>
      </c>
      <c r="B83" s="8" t="s">
        <v>216</v>
      </c>
      <c r="C83" s="25" t="s">
        <v>91</v>
      </c>
      <c r="D83" s="25" t="s">
        <v>78</v>
      </c>
      <c r="E83" s="9">
        <v>11000000</v>
      </c>
      <c r="F83" s="26">
        <v>0.69</v>
      </c>
      <c r="G83" s="25">
        <v>89</v>
      </c>
      <c r="H83" s="27">
        <v>3.6</v>
      </c>
      <c r="I83" s="24" t="str" cm="1">
        <f t="array" ref="I83">_xlfn.IFS(
   AND(F83&gt;=0,9, G83&gt;=85), "Excelente",
   AND(F83&gt;=0,8, G83&gt;=70), "Bueno",
   OR(F83&lt;0,6,  G83&lt;50),  "Alerta",
   TRUE,           "Revisar")</f>
        <v>Excelente</v>
      </c>
      <c r="J83" s="28">
        <f t="shared" si="1"/>
        <v>1100000</v>
      </c>
    </row>
    <row r="84" spans="1:10" ht="18" customHeight="1" x14ac:dyDescent="0.3">
      <c r="A84" s="18" t="s">
        <v>217</v>
      </c>
      <c r="B84" s="5" t="s">
        <v>218</v>
      </c>
      <c r="C84" s="18" t="s">
        <v>81</v>
      </c>
      <c r="D84" s="18" t="s">
        <v>60</v>
      </c>
      <c r="E84" s="6">
        <v>8600000</v>
      </c>
      <c r="F84" s="19">
        <v>0.63</v>
      </c>
      <c r="G84" s="18">
        <v>78</v>
      </c>
      <c r="H84" s="20">
        <v>5.6</v>
      </c>
      <c r="I84" s="24" t="str" cm="1">
        <f t="array" ref="I84">_xlfn.IFS(
   AND(F84&gt;=0,9, G84&gt;=85), "Excelente",
   AND(F84&gt;=0,8, G84&gt;=70), "Bueno",
   OR(F84&lt;0,6,  G84&lt;50),  "Alerta",
   TRUE,           "Revisar")</f>
        <v>Bueno</v>
      </c>
      <c r="J84" s="28">
        <f t="shared" si="1"/>
        <v>860000</v>
      </c>
    </row>
    <row r="85" spans="1:10" ht="18" customHeight="1" x14ac:dyDescent="0.3">
      <c r="A85" s="25" t="s">
        <v>219</v>
      </c>
      <c r="B85" s="8" t="s">
        <v>220</v>
      </c>
      <c r="C85" s="25" t="s">
        <v>74</v>
      </c>
      <c r="D85" s="25" t="s">
        <v>105</v>
      </c>
      <c r="E85" s="9">
        <v>3000000</v>
      </c>
      <c r="F85" s="26">
        <v>0.86</v>
      </c>
      <c r="G85" s="25">
        <v>36</v>
      </c>
      <c r="H85" s="27">
        <v>20</v>
      </c>
      <c r="I85" s="24" t="str" cm="1">
        <f t="array" ref="I85">_xlfn.IFS(
   AND(F85&gt;=0,9, G85&gt;=85), "Excelente",
   AND(F85&gt;=0,8, G85&gt;=70), "Bueno",
   OR(F85&lt;0,6,  G85&lt;50),  "Alerta",
   TRUE,           "Revisar")</f>
        <v>Alerta</v>
      </c>
      <c r="J85" s="28">
        <f t="shared" si="1"/>
        <v>0</v>
      </c>
    </row>
    <row r="86" spans="1:10" ht="18" customHeight="1" x14ac:dyDescent="0.3">
      <c r="A86" s="18" t="s">
        <v>221</v>
      </c>
      <c r="B86" s="5" t="s">
        <v>222</v>
      </c>
      <c r="C86" s="18" t="s">
        <v>74</v>
      </c>
      <c r="D86" s="18" t="s">
        <v>64</v>
      </c>
      <c r="E86" s="6">
        <v>3100000</v>
      </c>
      <c r="F86" s="19">
        <v>0.97</v>
      </c>
      <c r="G86" s="18">
        <v>55</v>
      </c>
      <c r="H86" s="20">
        <v>16.8</v>
      </c>
      <c r="I86" s="24" t="str" cm="1">
        <f t="array" ref="I86">_xlfn.IFS(
   AND(F86&gt;=0,9, G86&gt;=85), "Excelente",
   AND(F86&gt;=0,8, G86&gt;=70), "Bueno",
   OR(F86&lt;0,6,  G86&lt;50),  "Alerta",
   TRUE,           "Revisar")</f>
        <v>Alerta</v>
      </c>
      <c r="J86" s="28">
        <f t="shared" si="1"/>
        <v>0</v>
      </c>
    </row>
    <row r="87" spans="1:10" ht="18" customHeight="1" x14ac:dyDescent="0.3">
      <c r="A87" s="25" t="s">
        <v>223</v>
      </c>
      <c r="B87" s="8" t="s">
        <v>224</v>
      </c>
      <c r="C87" s="25" t="s">
        <v>67</v>
      </c>
      <c r="D87" s="25" t="s">
        <v>114</v>
      </c>
      <c r="E87" s="9">
        <v>8800000</v>
      </c>
      <c r="F87" s="26">
        <v>0.82</v>
      </c>
      <c r="G87" s="25">
        <v>57</v>
      </c>
      <c r="H87" s="27">
        <v>9.3000000000000007</v>
      </c>
      <c r="I87" s="24" t="str" cm="1">
        <f t="array" ref="I87">_xlfn.IFS(
   AND(F87&gt;=0,9, G87&gt;=85), "Excelente",
   AND(F87&gt;=0,8, G87&gt;=70), "Bueno",
   OR(F87&lt;0,6,  G87&lt;50),  "Alerta",
   TRUE,           "Revisar")</f>
        <v>Alerta</v>
      </c>
      <c r="J87" s="28">
        <f t="shared" si="1"/>
        <v>0</v>
      </c>
    </row>
    <row r="88" spans="1:10" ht="18" customHeight="1" x14ac:dyDescent="0.3">
      <c r="A88" s="18" t="s">
        <v>225</v>
      </c>
      <c r="B88" s="5" t="s">
        <v>226</v>
      </c>
      <c r="C88" s="18" t="s">
        <v>81</v>
      </c>
      <c r="D88" s="18" t="s">
        <v>114</v>
      </c>
      <c r="E88" s="6">
        <v>10500000</v>
      </c>
      <c r="F88" s="19">
        <v>0.78</v>
      </c>
      <c r="G88" s="18">
        <v>44</v>
      </c>
      <c r="H88" s="20">
        <v>15.6</v>
      </c>
      <c r="I88" s="24" t="str" cm="1">
        <f t="array" ref="I88">_xlfn.IFS(
   AND(F88&gt;=0,9, G88&gt;=85), "Excelente",
   AND(F88&gt;=0,8, G88&gt;=70), "Bueno",
   OR(F88&lt;0,6,  G88&lt;50),  "Alerta",
   TRUE,           "Revisar")</f>
        <v>Alerta</v>
      </c>
      <c r="J88" s="28">
        <f t="shared" si="1"/>
        <v>0</v>
      </c>
    </row>
    <row r="89" spans="1:10" ht="18" customHeight="1" x14ac:dyDescent="0.3">
      <c r="A89" s="25" t="s">
        <v>227</v>
      </c>
      <c r="B89" s="8" t="s">
        <v>228</v>
      </c>
      <c r="C89" s="25" t="s">
        <v>74</v>
      </c>
      <c r="D89" s="25" t="s">
        <v>64</v>
      </c>
      <c r="E89" s="9">
        <v>6700000</v>
      </c>
      <c r="F89" s="26">
        <v>0.77</v>
      </c>
      <c r="G89" s="25">
        <v>78</v>
      </c>
      <c r="H89" s="27">
        <v>7.9</v>
      </c>
      <c r="I89" s="24" t="str" cm="1">
        <f t="array" ref="I89">_xlfn.IFS(
   AND(F89&gt;=0,9, G89&gt;=85), "Excelente",
   AND(F89&gt;=0,8, G89&gt;=70), "Bueno",
   OR(F89&lt;0,6,  G89&lt;50),  "Alerta",
   TRUE,           "Revisar")</f>
        <v>Bueno</v>
      </c>
      <c r="J89" s="28">
        <f t="shared" si="1"/>
        <v>670000</v>
      </c>
    </row>
    <row r="90" spans="1:10" ht="18" customHeight="1" x14ac:dyDescent="0.3">
      <c r="A90" s="18" t="s">
        <v>229</v>
      </c>
      <c r="B90" s="5" t="s">
        <v>230</v>
      </c>
      <c r="C90" s="18" t="s">
        <v>67</v>
      </c>
      <c r="D90" s="18" t="s">
        <v>78</v>
      </c>
      <c r="E90" s="6">
        <v>11700000</v>
      </c>
      <c r="F90" s="19">
        <v>0.87</v>
      </c>
      <c r="G90" s="18">
        <v>45</v>
      </c>
      <c r="H90" s="20">
        <v>15.9</v>
      </c>
      <c r="I90" s="24" t="str" cm="1">
        <f t="array" ref="I90">_xlfn.IFS(
   AND(F90&gt;=0,9, G90&gt;=85), "Excelente",
   AND(F90&gt;=0,8, G90&gt;=70), "Bueno",
   OR(F90&lt;0,6,  G90&lt;50),  "Alerta",
   TRUE,           "Revisar")</f>
        <v>Alerta</v>
      </c>
      <c r="J90" s="28">
        <f t="shared" si="1"/>
        <v>0</v>
      </c>
    </row>
    <row r="91" spans="1:10" ht="18" customHeight="1" x14ac:dyDescent="0.3">
      <c r="A91" s="25" t="s">
        <v>231</v>
      </c>
      <c r="B91" s="8" t="s">
        <v>232</v>
      </c>
      <c r="C91" s="25" t="s">
        <v>91</v>
      </c>
      <c r="D91" s="25" t="s">
        <v>92</v>
      </c>
      <c r="E91" s="9">
        <v>9600000</v>
      </c>
      <c r="F91" s="26">
        <v>0.69</v>
      </c>
      <c r="G91" s="25">
        <v>77</v>
      </c>
      <c r="H91" s="27">
        <v>1.4</v>
      </c>
      <c r="I91" s="24" t="str" cm="1">
        <f t="array" ref="I91">_xlfn.IFS(
   AND(F91&gt;=0,9, G91&gt;=85), "Excelente",
   AND(F91&gt;=0,8, G91&gt;=70), "Bueno",
   OR(F91&lt;0,6,  G91&lt;50),  "Alerta",
   TRUE,           "Revisar")</f>
        <v>Bueno</v>
      </c>
      <c r="J91" s="28">
        <f t="shared" si="1"/>
        <v>960000</v>
      </c>
    </row>
    <row r="92" spans="1:10" ht="18" customHeight="1" x14ac:dyDescent="0.3">
      <c r="A92" s="18" t="s">
        <v>233</v>
      </c>
      <c r="B92" s="5" t="s">
        <v>234</v>
      </c>
      <c r="C92" s="18" t="s">
        <v>77</v>
      </c>
      <c r="D92" s="18" t="s">
        <v>78</v>
      </c>
      <c r="E92" s="6">
        <v>8300000</v>
      </c>
      <c r="F92" s="19">
        <v>0.98</v>
      </c>
      <c r="G92" s="18">
        <v>88</v>
      </c>
      <c r="H92" s="20">
        <v>14.1</v>
      </c>
      <c r="I92" s="24" t="str" cm="1">
        <f t="array" ref="I92">_xlfn.IFS(
   AND(F92&gt;=0,9, G92&gt;=85), "Excelente",
   AND(F92&gt;=0,8, G92&gt;=70), "Bueno",
   OR(F92&lt;0,6,  G92&lt;50),  "Alerta",
   TRUE,           "Revisar")</f>
        <v>Excelente</v>
      </c>
      <c r="J92" s="28">
        <f t="shared" si="1"/>
        <v>830000</v>
      </c>
    </row>
    <row r="93" spans="1:10" ht="18" customHeight="1" x14ac:dyDescent="0.3">
      <c r="A93" s="25" t="s">
        <v>235</v>
      </c>
      <c r="B93" s="8" t="s">
        <v>236</v>
      </c>
      <c r="C93" s="25" t="s">
        <v>59</v>
      </c>
      <c r="D93" s="25" t="s">
        <v>105</v>
      </c>
      <c r="E93" s="9">
        <v>8700000</v>
      </c>
      <c r="F93" s="26">
        <v>0.69</v>
      </c>
      <c r="G93" s="25">
        <v>64</v>
      </c>
      <c r="H93" s="27">
        <v>6.4</v>
      </c>
      <c r="I93" s="24" t="str" cm="1">
        <f t="array" ref="I93">_xlfn.IFS(
   AND(F93&gt;=0,9, G93&gt;=85), "Excelente",
   AND(F93&gt;=0,8, G93&gt;=70), "Bueno",
   OR(F93&lt;0,6,  G93&lt;50),  "Alerta",
   TRUE,           "Revisar")</f>
        <v>Alerta</v>
      </c>
      <c r="J93" s="28">
        <f t="shared" si="1"/>
        <v>0</v>
      </c>
    </row>
    <row r="94" spans="1:10" ht="18" customHeight="1" x14ac:dyDescent="0.3">
      <c r="A94" s="18" t="s">
        <v>237</v>
      </c>
      <c r="B94" s="5" t="s">
        <v>238</v>
      </c>
      <c r="C94" s="18" t="s">
        <v>74</v>
      </c>
      <c r="D94" s="18" t="s">
        <v>88</v>
      </c>
      <c r="E94" s="6">
        <v>8500000</v>
      </c>
      <c r="F94" s="19">
        <v>0.57999999999999996</v>
      </c>
      <c r="G94" s="18">
        <v>89</v>
      </c>
      <c r="H94" s="20">
        <v>11.4</v>
      </c>
      <c r="I94" s="24" t="str" cm="1">
        <f t="array" ref="I94">_xlfn.IFS(
   AND(F94&gt;=0,9, G94&gt;=85), "Excelente",
   AND(F94&gt;=0,8, G94&gt;=70), "Bueno",
   OR(F94&lt;0,6,  G94&lt;50),  "Alerta",
   TRUE,           "Revisar")</f>
        <v>Excelente</v>
      </c>
      <c r="J94" s="28">
        <f t="shared" si="1"/>
        <v>850000</v>
      </c>
    </row>
    <row r="95" spans="1:10" ht="18" customHeight="1" x14ac:dyDescent="0.3">
      <c r="A95" s="25" t="s">
        <v>239</v>
      </c>
      <c r="B95" s="8" t="s">
        <v>240</v>
      </c>
      <c r="C95" s="25" t="s">
        <v>81</v>
      </c>
      <c r="D95" s="25" t="s">
        <v>114</v>
      </c>
      <c r="E95" s="9">
        <v>9000000</v>
      </c>
      <c r="F95" s="26">
        <v>0.56999999999999995</v>
      </c>
      <c r="G95" s="25">
        <v>63</v>
      </c>
      <c r="H95" s="27">
        <v>6.8</v>
      </c>
      <c r="I95" s="24" t="str" cm="1">
        <f t="array" ref="I95">_xlfn.IFS(
   AND(F95&gt;=0,9, G95&gt;=85), "Excelente",
   AND(F95&gt;=0,8, G95&gt;=70), "Bueno",
   OR(F95&lt;0,6,  G95&lt;50),  "Alerta",
   TRUE,           "Revisar")</f>
        <v>Alerta</v>
      </c>
      <c r="J95" s="28">
        <f t="shared" si="1"/>
        <v>0</v>
      </c>
    </row>
    <row r="96" spans="1:10" ht="18" customHeight="1" x14ac:dyDescent="0.3">
      <c r="A96" s="18" t="s">
        <v>241</v>
      </c>
      <c r="B96" s="5" t="s">
        <v>242</v>
      </c>
      <c r="C96" s="18" t="s">
        <v>59</v>
      </c>
      <c r="D96" s="18" t="s">
        <v>64</v>
      </c>
      <c r="E96" s="6">
        <v>9400000</v>
      </c>
      <c r="F96" s="19">
        <v>0.97</v>
      </c>
      <c r="G96" s="18">
        <v>40</v>
      </c>
      <c r="H96" s="20">
        <v>4.8</v>
      </c>
      <c r="I96" s="24" t="str" cm="1">
        <f t="array" ref="I96">_xlfn.IFS(
   AND(F96&gt;=0,9, G96&gt;=85), "Excelente",
   AND(F96&gt;=0,8, G96&gt;=70), "Bueno",
   OR(F96&lt;0,6,  G96&lt;50),  "Alerta",
   TRUE,           "Revisar")</f>
        <v>Alerta</v>
      </c>
      <c r="J96" s="28">
        <f t="shared" si="1"/>
        <v>0</v>
      </c>
    </row>
    <row r="97" spans="1:10" ht="18" customHeight="1" x14ac:dyDescent="0.3">
      <c r="A97" s="25" t="s">
        <v>243</v>
      </c>
      <c r="B97" s="8" t="s">
        <v>244</v>
      </c>
      <c r="C97" s="25" t="s">
        <v>67</v>
      </c>
      <c r="D97" s="25" t="s">
        <v>105</v>
      </c>
      <c r="E97" s="9">
        <v>11000000</v>
      </c>
      <c r="F97" s="26">
        <v>0.84</v>
      </c>
      <c r="G97" s="25">
        <v>87</v>
      </c>
      <c r="H97" s="27">
        <v>15.9</v>
      </c>
      <c r="I97" s="24" t="str" cm="1">
        <f t="array" ref="I97">_xlfn.IFS(
   AND(F97&gt;=0,9, G97&gt;=85), "Excelente",
   AND(F97&gt;=0,8, G97&gt;=70), "Bueno",
   OR(F97&lt;0,6,  G97&lt;50),  "Alerta",
   TRUE,           "Revisar")</f>
        <v>Excelente</v>
      </c>
      <c r="J97" s="28">
        <f t="shared" si="1"/>
        <v>1100000</v>
      </c>
    </row>
    <row r="98" spans="1:10" ht="18" customHeight="1" x14ac:dyDescent="0.3">
      <c r="A98" s="18" t="s">
        <v>245</v>
      </c>
      <c r="B98" s="5" t="s">
        <v>246</v>
      </c>
      <c r="C98" s="18" t="s">
        <v>67</v>
      </c>
      <c r="D98" s="18" t="s">
        <v>68</v>
      </c>
      <c r="E98" s="6">
        <v>11600000</v>
      </c>
      <c r="F98" s="19">
        <v>0.57999999999999996</v>
      </c>
      <c r="G98" s="18">
        <v>77</v>
      </c>
      <c r="H98" s="20">
        <v>9.5</v>
      </c>
      <c r="I98" s="24" t="str" cm="1">
        <f t="array" ref="I98">_xlfn.IFS(
   AND(F98&gt;=0,9, G98&gt;=85), "Excelente",
   AND(F98&gt;=0,8, G98&gt;=70), "Bueno",
   OR(F98&lt;0,6,  G98&lt;50),  "Alerta",
   TRUE,           "Revisar")</f>
        <v>Bueno</v>
      </c>
      <c r="J98" s="28">
        <f t="shared" si="1"/>
        <v>1160000</v>
      </c>
    </row>
    <row r="99" spans="1:10" ht="18" customHeight="1" x14ac:dyDescent="0.3">
      <c r="A99" s="25" t="s">
        <v>247</v>
      </c>
      <c r="B99" s="8" t="s">
        <v>248</v>
      </c>
      <c r="C99" s="25" t="s">
        <v>63</v>
      </c>
      <c r="D99" s="25" t="s">
        <v>92</v>
      </c>
      <c r="E99" s="9">
        <v>7300000</v>
      </c>
      <c r="F99" s="26">
        <v>0.84</v>
      </c>
      <c r="G99" s="25">
        <v>64</v>
      </c>
      <c r="H99" s="27">
        <v>6.1</v>
      </c>
      <c r="I99" s="24" t="str" cm="1">
        <f t="array" ref="I99">_xlfn.IFS(
   AND(F99&gt;=0,9, G99&gt;=85), "Excelente",
   AND(F99&gt;=0,8, G99&gt;=70), "Bueno",
   OR(F99&lt;0,6,  G99&lt;50),  "Alerta",
   TRUE,           "Revisar")</f>
        <v>Alerta</v>
      </c>
      <c r="J99" s="28">
        <f t="shared" si="1"/>
        <v>0</v>
      </c>
    </row>
    <row r="100" spans="1:10" ht="18" customHeight="1" x14ac:dyDescent="0.3">
      <c r="A100" s="18" t="s">
        <v>249</v>
      </c>
      <c r="B100" s="5" t="s">
        <v>250</v>
      </c>
      <c r="C100" s="18" t="s">
        <v>67</v>
      </c>
      <c r="D100" s="18" t="s">
        <v>92</v>
      </c>
      <c r="E100" s="6">
        <v>4300000</v>
      </c>
      <c r="F100" s="19">
        <v>0.86</v>
      </c>
      <c r="G100" s="18">
        <v>53</v>
      </c>
      <c r="H100" s="20">
        <v>3.8</v>
      </c>
      <c r="I100" s="24" t="str" cm="1">
        <f t="array" ref="I100">_xlfn.IFS(
   AND(F100&gt;=0,9, G100&gt;=85), "Excelente",
   AND(F100&gt;=0,8, G100&gt;=70), "Bueno",
   OR(F100&lt;0,6,  G100&lt;50),  "Alerta",
   TRUE,           "Revisar")</f>
        <v>Alerta</v>
      </c>
      <c r="J100" s="28">
        <f t="shared" si="1"/>
        <v>0</v>
      </c>
    </row>
    <row r="101" spans="1:10" ht="18" customHeight="1" x14ac:dyDescent="0.3">
      <c r="A101" s="25" t="s">
        <v>251</v>
      </c>
      <c r="B101" s="8" t="s">
        <v>252</v>
      </c>
      <c r="C101" s="25" t="s">
        <v>59</v>
      </c>
      <c r="D101" s="25" t="s">
        <v>78</v>
      </c>
      <c r="E101" s="9">
        <v>5200000</v>
      </c>
      <c r="F101" s="26">
        <v>0.61</v>
      </c>
      <c r="G101" s="25">
        <v>76</v>
      </c>
      <c r="H101" s="27">
        <v>3.6</v>
      </c>
      <c r="I101" s="24" t="str" cm="1">
        <f t="array" ref="I101">_xlfn.IFS(
   AND(F101&gt;=0,9, G101&gt;=85), "Excelente",
   AND(F101&gt;=0,8, G101&gt;=70), "Bueno",
   OR(F101&lt;0,6,  G101&lt;50),  "Alerta",
   TRUE,           "Revisar")</f>
        <v>Bueno</v>
      </c>
      <c r="J101" s="28">
        <f t="shared" si="1"/>
        <v>520000</v>
      </c>
    </row>
    <row r="102" spans="1:10" ht="18" customHeight="1" x14ac:dyDescent="0.3">
      <c r="A102" s="18" t="s">
        <v>253</v>
      </c>
      <c r="B102" s="5" t="s">
        <v>254</v>
      </c>
      <c r="C102" s="18" t="s">
        <v>71</v>
      </c>
      <c r="D102" s="18" t="s">
        <v>88</v>
      </c>
      <c r="E102" s="6">
        <v>3300000</v>
      </c>
      <c r="F102" s="19">
        <v>0.99</v>
      </c>
      <c r="G102" s="18">
        <v>100</v>
      </c>
      <c r="H102" s="20">
        <v>5.8</v>
      </c>
      <c r="I102" s="24" t="str" cm="1">
        <f t="array" ref="I102">_xlfn.IFS(
   AND(F102&gt;=0,9, G102&gt;=85), "Excelente",
   AND(F102&gt;=0,8, G102&gt;=70), "Bueno",
   OR(F102&lt;0,6,  G102&lt;50),  "Alerta",
   TRUE,           "Revisar")</f>
        <v>Excelente</v>
      </c>
      <c r="J102" s="28">
        <f t="shared" si="1"/>
        <v>330000</v>
      </c>
    </row>
    <row r="103" spans="1:10" ht="18" customHeight="1" x14ac:dyDescent="0.3">
      <c r="A103" s="25" t="s">
        <v>255</v>
      </c>
      <c r="B103" s="8" t="s">
        <v>256</v>
      </c>
      <c r="C103" s="25" t="s">
        <v>77</v>
      </c>
      <c r="D103" s="25" t="s">
        <v>78</v>
      </c>
      <c r="E103" s="9">
        <v>2900000</v>
      </c>
      <c r="F103" s="26">
        <v>0.77</v>
      </c>
      <c r="G103" s="25">
        <v>90</v>
      </c>
      <c r="H103" s="27">
        <v>9.6</v>
      </c>
      <c r="I103" s="24" t="str" cm="1">
        <f t="array" ref="I103">_xlfn.IFS(
   AND(F103&gt;=0,9, G103&gt;=85), "Excelente",
   AND(F103&gt;=0,8, G103&gt;=70), "Bueno",
   OR(F103&lt;0,6,  G103&lt;50),  "Alerta",
   TRUE,           "Revisar")</f>
        <v>Excelente</v>
      </c>
      <c r="J103" s="28">
        <f t="shared" si="1"/>
        <v>290000</v>
      </c>
    </row>
    <row r="104" spans="1:10" ht="18" customHeight="1" x14ac:dyDescent="0.3">
      <c r="A104" s="18" t="s">
        <v>257</v>
      </c>
      <c r="B104" s="5" t="s">
        <v>258</v>
      </c>
      <c r="C104" s="18" t="s">
        <v>91</v>
      </c>
      <c r="D104" s="18" t="s">
        <v>88</v>
      </c>
      <c r="E104" s="6">
        <v>8900000</v>
      </c>
      <c r="F104" s="19">
        <v>0.51</v>
      </c>
      <c r="G104" s="18">
        <v>38</v>
      </c>
      <c r="H104" s="20">
        <v>8</v>
      </c>
      <c r="I104" s="24" t="str" cm="1">
        <f t="array" ref="I104">_xlfn.IFS(
   AND(F104&gt;=0,9, G104&gt;=85), "Excelente",
   AND(F104&gt;=0,8, G104&gt;=70), "Bueno",
   OR(F104&lt;0,6,  G104&lt;50),  "Alerta",
   TRUE,           "Revisar")</f>
        <v>Alerta</v>
      </c>
      <c r="J104" s="28">
        <f t="shared" si="1"/>
        <v>0</v>
      </c>
    </row>
    <row r="105" spans="1:10" ht="18" customHeight="1" x14ac:dyDescent="0.3">
      <c r="A105" s="25" t="s">
        <v>259</v>
      </c>
      <c r="B105" s="8" t="s">
        <v>260</v>
      </c>
      <c r="C105" s="25" t="s">
        <v>91</v>
      </c>
      <c r="D105" s="25" t="s">
        <v>114</v>
      </c>
      <c r="E105" s="9">
        <v>4700000</v>
      </c>
      <c r="F105" s="26">
        <v>0.9</v>
      </c>
      <c r="G105" s="25">
        <v>68</v>
      </c>
      <c r="H105" s="27">
        <v>1.7</v>
      </c>
      <c r="I105" s="24" t="str" cm="1">
        <f t="array" ref="I105">_xlfn.IFS(
   AND(F105&gt;=0,9, G105&gt;=85), "Excelente",
   AND(F105&gt;=0,8, G105&gt;=70), "Bueno",
   OR(F105&lt;0,6,  G105&lt;50),  "Alerta",
   TRUE,           "Revisar")</f>
        <v>Alerta</v>
      </c>
      <c r="J105" s="28">
        <f t="shared" si="1"/>
        <v>0</v>
      </c>
    </row>
    <row r="106" spans="1:10" ht="18" customHeight="1" x14ac:dyDescent="0.3">
      <c r="A106" s="18" t="s">
        <v>261</v>
      </c>
      <c r="B106" s="5" t="s">
        <v>262</v>
      </c>
      <c r="C106" s="18" t="s">
        <v>63</v>
      </c>
      <c r="D106" s="18" t="s">
        <v>60</v>
      </c>
      <c r="E106" s="6">
        <v>9400000</v>
      </c>
      <c r="F106" s="19">
        <v>0.66</v>
      </c>
      <c r="G106" s="18">
        <v>86</v>
      </c>
      <c r="H106" s="20">
        <v>5.9</v>
      </c>
      <c r="I106" s="24" t="str" cm="1">
        <f t="array" ref="I106">_xlfn.IFS(
   AND(F106&gt;=0,9, G106&gt;=85), "Excelente",
   AND(F106&gt;=0,8, G106&gt;=70), "Bueno",
   OR(F106&lt;0,6,  G106&lt;50),  "Alerta",
   TRUE,           "Revisar")</f>
        <v>Excelente</v>
      </c>
      <c r="J106" s="28">
        <f t="shared" si="1"/>
        <v>940000</v>
      </c>
    </row>
    <row r="107" spans="1:10" ht="18" customHeight="1" x14ac:dyDescent="0.3">
      <c r="A107" s="25" t="s">
        <v>263</v>
      </c>
      <c r="B107" s="8" t="s">
        <v>264</v>
      </c>
      <c r="C107" s="25" t="s">
        <v>59</v>
      </c>
      <c r="D107" s="25" t="s">
        <v>64</v>
      </c>
      <c r="E107" s="9">
        <v>10600000</v>
      </c>
      <c r="F107" s="26">
        <v>0.98</v>
      </c>
      <c r="G107" s="25">
        <v>42</v>
      </c>
      <c r="H107" s="27">
        <v>19</v>
      </c>
      <c r="I107" s="24" t="str" cm="1">
        <f t="array" ref="I107">_xlfn.IFS(
   AND(F107&gt;=0,9, G107&gt;=85), "Excelente",
   AND(F107&gt;=0,8, G107&gt;=70), "Bueno",
   OR(F107&lt;0,6,  G107&lt;50),  "Alerta",
   TRUE,           "Revisar")</f>
        <v>Alerta</v>
      </c>
      <c r="J107" s="28">
        <f t="shared" si="1"/>
        <v>0</v>
      </c>
    </row>
    <row r="108" spans="1:10" ht="18" customHeight="1" x14ac:dyDescent="0.3">
      <c r="A108" s="18" t="s">
        <v>265</v>
      </c>
      <c r="B108" s="5" t="s">
        <v>266</v>
      </c>
      <c r="C108" s="18" t="s">
        <v>67</v>
      </c>
      <c r="D108" s="18" t="s">
        <v>88</v>
      </c>
      <c r="E108" s="6">
        <v>11200000</v>
      </c>
      <c r="F108" s="19">
        <v>0.49</v>
      </c>
      <c r="G108" s="18">
        <v>60</v>
      </c>
      <c r="H108" s="20">
        <v>3.5</v>
      </c>
      <c r="I108" s="24" t="str" cm="1">
        <f t="array" ref="I108">_xlfn.IFS(
   AND(F108&gt;=0,9, G108&gt;=85), "Excelente",
   AND(F108&gt;=0,8, G108&gt;=70), "Bueno",
   OR(F108&lt;0,6,  G108&lt;50),  "Alerta",
   TRUE,           "Revisar")</f>
        <v>Alerta</v>
      </c>
      <c r="J108" s="28">
        <f t="shared" si="1"/>
        <v>0</v>
      </c>
    </row>
    <row r="109" spans="1:10" ht="18" customHeight="1" x14ac:dyDescent="0.3">
      <c r="A109" s="25" t="s">
        <v>267</v>
      </c>
      <c r="B109" s="8" t="s">
        <v>268</v>
      </c>
      <c r="C109" s="25" t="s">
        <v>91</v>
      </c>
      <c r="D109" s="25" t="s">
        <v>68</v>
      </c>
      <c r="E109" s="9">
        <v>8500000</v>
      </c>
      <c r="F109" s="26">
        <v>0.83</v>
      </c>
      <c r="G109" s="25">
        <v>90</v>
      </c>
      <c r="H109" s="27">
        <v>5.8</v>
      </c>
      <c r="I109" s="24" t="str" cm="1">
        <f t="array" ref="I109">_xlfn.IFS(
   AND(F109&gt;=0,9, G109&gt;=85), "Excelente",
   AND(F109&gt;=0,8, G109&gt;=70), "Bueno",
   OR(F109&lt;0,6,  G109&lt;50),  "Alerta",
   TRUE,           "Revisar")</f>
        <v>Excelente</v>
      </c>
      <c r="J109" s="28">
        <f t="shared" si="1"/>
        <v>850000</v>
      </c>
    </row>
    <row r="110" spans="1:10" ht="18" customHeight="1" x14ac:dyDescent="0.3">
      <c r="A110" s="18" t="s">
        <v>269</v>
      </c>
      <c r="B110" s="5" t="s">
        <v>270</v>
      </c>
      <c r="C110" s="18" t="s">
        <v>59</v>
      </c>
      <c r="D110" s="18" t="s">
        <v>105</v>
      </c>
      <c r="E110" s="6">
        <v>3700000</v>
      </c>
      <c r="F110" s="19">
        <v>0.83</v>
      </c>
      <c r="G110" s="18">
        <v>63</v>
      </c>
      <c r="H110" s="20">
        <v>15.8</v>
      </c>
      <c r="I110" s="24" t="str" cm="1">
        <f t="array" ref="I110">_xlfn.IFS(
   AND(F110&gt;=0,9, G110&gt;=85), "Excelente",
   AND(F110&gt;=0,8, G110&gt;=70), "Bueno",
   OR(F110&lt;0,6,  G110&lt;50),  "Alerta",
   TRUE,           "Revisar")</f>
        <v>Alerta</v>
      </c>
      <c r="J110" s="28">
        <f t="shared" si="1"/>
        <v>0</v>
      </c>
    </row>
    <row r="111" spans="1:10" ht="18" customHeight="1" x14ac:dyDescent="0.3">
      <c r="A111" s="25" t="s">
        <v>271</v>
      </c>
      <c r="B111" s="8" t="s">
        <v>272</v>
      </c>
      <c r="C111" s="25" t="s">
        <v>67</v>
      </c>
      <c r="D111" s="25" t="s">
        <v>68</v>
      </c>
      <c r="E111" s="9">
        <v>4200000</v>
      </c>
      <c r="F111" s="26">
        <v>0.75</v>
      </c>
      <c r="G111" s="25">
        <v>49</v>
      </c>
      <c r="H111" s="27">
        <v>18.2</v>
      </c>
      <c r="I111" s="24" t="str" cm="1">
        <f t="array" ref="I111">_xlfn.IFS(
   AND(F111&gt;=0,9, G111&gt;=85), "Excelente",
   AND(F111&gt;=0,8, G111&gt;=70), "Bueno",
   OR(F111&lt;0,6,  G111&lt;50),  "Alerta",
   TRUE,           "Revisar")</f>
        <v>Alerta</v>
      </c>
      <c r="J111" s="28">
        <f t="shared" si="1"/>
        <v>0</v>
      </c>
    </row>
    <row r="112" spans="1:10" ht="18" customHeight="1" x14ac:dyDescent="0.3">
      <c r="A112" s="18" t="s">
        <v>273</v>
      </c>
      <c r="B112" s="5" t="s">
        <v>274</v>
      </c>
      <c r="C112" s="18" t="s">
        <v>91</v>
      </c>
      <c r="D112" s="18" t="s">
        <v>114</v>
      </c>
      <c r="E112" s="6">
        <v>6700000</v>
      </c>
      <c r="F112" s="19">
        <v>0.78</v>
      </c>
      <c r="G112" s="18">
        <v>66</v>
      </c>
      <c r="H112" s="20">
        <v>8.8000000000000007</v>
      </c>
      <c r="I112" s="24" t="str" cm="1">
        <f t="array" ref="I112">_xlfn.IFS(
   AND(F112&gt;=0,9, G112&gt;=85), "Excelente",
   AND(F112&gt;=0,8, G112&gt;=70), "Bueno",
   OR(F112&lt;0,6,  G112&lt;50),  "Alerta",
   TRUE,           "Revisar")</f>
        <v>Alerta</v>
      </c>
      <c r="J112" s="28">
        <f t="shared" si="1"/>
        <v>0</v>
      </c>
    </row>
    <row r="113" spans="1:10" ht="18" customHeight="1" x14ac:dyDescent="0.3">
      <c r="A113" s="25" t="s">
        <v>275</v>
      </c>
      <c r="B113" s="8" t="s">
        <v>276</v>
      </c>
      <c r="C113" s="25" t="s">
        <v>59</v>
      </c>
      <c r="D113" s="25" t="s">
        <v>68</v>
      </c>
      <c r="E113" s="9">
        <v>6200000</v>
      </c>
      <c r="F113" s="26">
        <v>0.73</v>
      </c>
      <c r="G113" s="25">
        <v>93</v>
      </c>
      <c r="H113" s="27">
        <v>8.8000000000000007</v>
      </c>
      <c r="I113" s="24" t="str" cm="1">
        <f t="array" ref="I113">_xlfn.IFS(
   AND(F113&gt;=0,9, G113&gt;=85), "Excelente",
   AND(F113&gt;=0,8, G113&gt;=70), "Bueno",
   OR(F113&lt;0,6,  G113&lt;50),  "Alerta",
   TRUE,           "Revisar")</f>
        <v>Excelente</v>
      </c>
      <c r="J113" s="28">
        <f t="shared" si="1"/>
        <v>620000</v>
      </c>
    </row>
    <row r="114" spans="1:10" ht="18" customHeight="1" x14ac:dyDescent="0.3">
      <c r="A114" s="18" t="s">
        <v>277</v>
      </c>
      <c r="B114" s="5" t="s">
        <v>278</v>
      </c>
      <c r="C114" s="18" t="s">
        <v>63</v>
      </c>
      <c r="D114" s="18" t="s">
        <v>92</v>
      </c>
      <c r="E114" s="6">
        <v>10500000</v>
      </c>
      <c r="F114" s="19">
        <v>0.59</v>
      </c>
      <c r="G114" s="18">
        <v>41</v>
      </c>
      <c r="H114" s="20">
        <v>4.5999999999999996</v>
      </c>
      <c r="I114" s="24" t="str" cm="1">
        <f t="array" ref="I114">_xlfn.IFS(
   AND(F114&gt;=0,9, G114&gt;=85), "Excelente",
   AND(F114&gt;=0,8, G114&gt;=70), "Bueno",
   OR(F114&lt;0,6,  G114&lt;50),  "Alerta",
   TRUE,           "Revisar")</f>
        <v>Alerta</v>
      </c>
      <c r="J114" s="28">
        <f t="shared" si="1"/>
        <v>0</v>
      </c>
    </row>
    <row r="115" spans="1:10" ht="18" customHeight="1" x14ac:dyDescent="0.3">
      <c r="A115" s="25" t="s">
        <v>279</v>
      </c>
      <c r="B115" s="8" t="s">
        <v>280</v>
      </c>
      <c r="C115" s="25" t="s">
        <v>91</v>
      </c>
      <c r="D115" s="25" t="s">
        <v>88</v>
      </c>
      <c r="E115" s="9">
        <v>10100000</v>
      </c>
      <c r="F115" s="26">
        <v>0.47</v>
      </c>
      <c r="G115" s="25">
        <v>52</v>
      </c>
      <c r="H115" s="27">
        <v>9.4</v>
      </c>
      <c r="I115" s="24" t="str" cm="1">
        <f t="array" ref="I115">_xlfn.IFS(
   AND(F115&gt;=0,9, G115&gt;=85), "Excelente",
   AND(F115&gt;=0,8, G115&gt;=70), "Bueno",
   OR(F115&lt;0,6,  G115&lt;50),  "Alerta",
   TRUE,           "Revisar")</f>
        <v>Alerta</v>
      </c>
      <c r="J115" s="28">
        <f t="shared" si="1"/>
        <v>0</v>
      </c>
    </row>
    <row r="116" spans="1:10" ht="18" customHeight="1" x14ac:dyDescent="0.3">
      <c r="A116" s="18" t="s">
        <v>281</v>
      </c>
      <c r="B116" s="5" t="s">
        <v>282</v>
      </c>
      <c r="C116" s="18" t="s">
        <v>59</v>
      </c>
      <c r="D116" s="18" t="s">
        <v>114</v>
      </c>
      <c r="E116" s="6">
        <v>10200000</v>
      </c>
      <c r="F116" s="19">
        <v>0.69</v>
      </c>
      <c r="G116" s="18">
        <v>92</v>
      </c>
      <c r="H116" s="20">
        <v>19.399999999999999</v>
      </c>
      <c r="I116" s="24" t="str" cm="1">
        <f t="array" ref="I116">_xlfn.IFS(
   AND(F116&gt;=0,9, G116&gt;=85), "Excelente",
   AND(F116&gt;=0,8, G116&gt;=70), "Bueno",
   OR(F116&lt;0,6,  G116&lt;50),  "Alerta",
   TRUE,           "Revisar")</f>
        <v>Excelente</v>
      </c>
      <c r="J116" s="28">
        <f t="shared" si="1"/>
        <v>1020000</v>
      </c>
    </row>
    <row r="117" spans="1:10" ht="18" customHeight="1" x14ac:dyDescent="0.3">
      <c r="A117" s="25" t="s">
        <v>283</v>
      </c>
      <c r="B117" s="8" t="s">
        <v>284</v>
      </c>
      <c r="C117" s="25" t="s">
        <v>63</v>
      </c>
      <c r="D117" s="25" t="s">
        <v>92</v>
      </c>
      <c r="E117" s="9">
        <v>6900000</v>
      </c>
      <c r="F117" s="26">
        <v>0.82</v>
      </c>
      <c r="G117" s="25">
        <v>50</v>
      </c>
      <c r="H117" s="27">
        <v>6.6</v>
      </c>
      <c r="I117" s="24" t="str" cm="1">
        <f t="array" ref="I117">_xlfn.IFS(
   AND(F117&gt;=0,9, G117&gt;=85), "Excelente",
   AND(F117&gt;=0,8, G117&gt;=70), "Bueno",
   OR(F117&lt;0,6,  G117&lt;50),  "Alerta",
   TRUE,           "Revisar")</f>
        <v>Alerta</v>
      </c>
      <c r="J117" s="28">
        <f t="shared" si="1"/>
        <v>0</v>
      </c>
    </row>
    <row r="118" spans="1:10" ht="18" customHeight="1" x14ac:dyDescent="0.3">
      <c r="A118" s="18" t="s">
        <v>285</v>
      </c>
      <c r="B118" s="5" t="s">
        <v>286</v>
      </c>
      <c r="C118" s="18" t="s">
        <v>63</v>
      </c>
      <c r="D118" s="18" t="s">
        <v>64</v>
      </c>
      <c r="E118" s="6">
        <v>8600000</v>
      </c>
      <c r="F118" s="19">
        <v>0.5</v>
      </c>
      <c r="G118" s="18">
        <v>62</v>
      </c>
      <c r="H118" s="20">
        <v>6.5</v>
      </c>
      <c r="I118" s="24" t="str" cm="1">
        <f t="array" ref="I118">_xlfn.IFS(
   AND(F118&gt;=0,9, G118&gt;=85), "Excelente",
   AND(F118&gt;=0,8, G118&gt;=70), "Bueno",
   OR(F118&lt;0,6,  G118&lt;50),  "Alerta",
   TRUE,           "Revisar")</f>
        <v>Alerta</v>
      </c>
      <c r="J118" s="28">
        <f t="shared" si="1"/>
        <v>0</v>
      </c>
    </row>
    <row r="119" spans="1:10" ht="18" customHeight="1" x14ac:dyDescent="0.3">
      <c r="A119" s="25" t="s">
        <v>287</v>
      </c>
      <c r="B119" s="8" t="s">
        <v>288</v>
      </c>
      <c r="C119" s="25" t="s">
        <v>91</v>
      </c>
      <c r="D119" s="25" t="s">
        <v>105</v>
      </c>
      <c r="E119" s="9">
        <v>8000000</v>
      </c>
      <c r="F119" s="26">
        <v>0.48</v>
      </c>
      <c r="G119" s="25">
        <v>96</v>
      </c>
      <c r="H119" s="27">
        <v>7.2</v>
      </c>
      <c r="I119" s="24" t="str" cm="1">
        <f t="array" ref="I119">_xlfn.IFS(
   AND(F119&gt;=0,9, G119&gt;=85), "Excelente",
   AND(F119&gt;=0,8, G119&gt;=70), "Bueno",
   OR(F119&lt;0,6,  G119&lt;50),  "Alerta",
   TRUE,           "Revisar")</f>
        <v>Excelente</v>
      </c>
      <c r="J119" s="28">
        <f t="shared" si="1"/>
        <v>800000</v>
      </c>
    </row>
    <row r="120" spans="1:10" ht="18" customHeight="1" x14ac:dyDescent="0.3">
      <c r="A120" s="18" t="s">
        <v>289</v>
      </c>
      <c r="B120" s="5" t="s">
        <v>290</v>
      </c>
      <c r="C120" s="18" t="s">
        <v>77</v>
      </c>
      <c r="D120" s="18" t="s">
        <v>64</v>
      </c>
      <c r="E120" s="6">
        <v>5400000</v>
      </c>
      <c r="F120" s="19">
        <v>0.6</v>
      </c>
      <c r="G120" s="18">
        <v>46</v>
      </c>
      <c r="H120" s="20">
        <v>18.600000000000001</v>
      </c>
      <c r="I120" s="24" t="str" cm="1">
        <f t="array" ref="I120">_xlfn.IFS(
   AND(F120&gt;=0,9, G120&gt;=85), "Excelente",
   AND(F120&gt;=0,8, G120&gt;=70), "Bueno",
   OR(F120&lt;0,6,  G120&lt;50),  "Alerta",
   TRUE,           "Revisar")</f>
        <v>Alerta</v>
      </c>
      <c r="J120" s="28">
        <f t="shared" si="1"/>
        <v>0</v>
      </c>
    </row>
    <row r="121" spans="1:10" ht="18" customHeight="1" x14ac:dyDescent="0.3">
      <c r="A121" s="25" t="s">
        <v>291</v>
      </c>
      <c r="B121" s="8" t="s">
        <v>292</v>
      </c>
      <c r="C121" s="25" t="s">
        <v>77</v>
      </c>
      <c r="D121" s="25" t="s">
        <v>78</v>
      </c>
      <c r="E121" s="9">
        <v>3100000</v>
      </c>
      <c r="F121" s="26">
        <v>0.99</v>
      </c>
      <c r="G121" s="25">
        <v>60</v>
      </c>
      <c r="H121" s="27">
        <v>14.2</v>
      </c>
      <c r="I121" s="24" t="str" cm="1">
        <f t="array" ref="I121">_xlfn.IFS(
   AND(F121&gt;=0,9, G121&gt;=85), "Excelente",
   AND(F121&gt;=0,8, G121&gt;=70), "Bueno",
   OR(F121&lt;0,6,  G121&lt;50),  "Alerta",
   TRUE,           "Revisar")</f>
        <v>Alerta</v>
      </c>
      <c r="J121" s="28">
        <f t="shared" si="1"/>
        <v>0</v>
      </c>
    </row>
    <row r="122" spans="1:10" ht="18" customHeight="1" x14ac:dyDescent="0.3">
      <c r="A122" s="18" t="s">
        <v>293</v>
      </c>
      <c r="B122" s="5" t="s">
        <v>294</v>
      </c>
      <c r="C122" s="18" t="s">
        <v>91</v>
      </c>
      <c r="D122" s="18" t="s">
        <v>68</v>
      </c>
      <c r="E122" s="6">
        <v>3900000</v>
      </c>
      <c r="F122" s="19">
        <v>0.56999999999999995</v>
      </c>
      <c r="G122" s="18">
        <v>44</v>
      </c>
      <c r="H122" s="20">
        <v>9.1999999999999993</v>
      </c>
      <c r="I122" s="24" t="str" cm="1">
        <f t="array" ref="I122">_xlfn.IFS(
   AND(F122&gt;=0,9, G122&gt;=85), "Excelente",
   AND(F122&gt;=0,8, G122&gt;=70), "Bueno",
   OR(F122&lt;0,6,  G122&lt;50),  "Alerta",
   TRUE,           "Revisar")</f>
        <v>Alerta</v>
      </c>
      <c r="J122" s="28">
        <f t="shared" si="1"/>
        <v>0</v>
      </c>
    </row>
    <row r="123" spans="1:10" ht="18" customHeight="1" x14ac:dyDescent="0.3">
      <c r="A123" s="25" t="s">
        <v>295</v>
      </c>
      <c r="B123" s="8" t="s">
        <v>296</v>
      </c>
      <c r="C123" s="25" t="s">
        <v>71</v>
      </c>
      <c r="D123" s="25" t="s">
        <v>105</v>
      </c>
      <c r="E123" s="9">
        <v>11900000</v>
      </c>
      <c r="F123" s="26">
        <v>0.61</v>
      </c>
      <c r="G123" s="25">
        <v>64</v>
      </c>
      <c r="H123" s="27">
        <v>8.3000000000000007</v>
      </c>
      <c r="I123" s="24" t="str" cm="1">
        <f t="array" ref="I123">_xlfn.IFS(
   AND(F123&gt;=0,9, G123&gt;=85), "Excelente",
   AND(F123&gt;=0,8, G123&gt;=70), "Bueno",
   OR(F123&lt;0,6,  G123&lt;50),  "Alerta",
   TRUE,           "Revisar")</f>
        <v>Alerta</v>
      </c>
      <c r="J123" s="28">
        <f t="shared" si="1"/>
        <v>0</v>
      </c>
    </row>
    <row r="124" spans="1:10" ht="18" customHeight="1" x14ac:dyDescent="0.3">
      <c r="A124" s="18" t="s">
        <v>297</v>
      </c>
      <c r="B124" s="5" t="s">
        <v>298</v>
      </c>
      <c r="C124" s="18" t="s">
        <v>67</v>
      </c>
      <c r="D124" s="18" t="s">
        <v>105</v>
      </c>
      <c r="E124" s="6">
        <v>9800000</v>
      </c>
      <c r="F124" s="19">
        <v>0.53</v>
      </c>
      <c r="G124" s="18">
        <v>54</v>
      </c>
      <c r="H124" s="20">
        <v>18.399999999999999</v>
      </c>
      <c r="I124" s="24" t="str" cm="1">
        <f t="array" ref="I124">_xlfn.IFS(
   AND(F124&gt;=0,9, G124&gt;=85), "Excelente",
   AND(F124&gt;=0,8, G124&gt;=70), "Bueno",
   OR(F124&lt;0,6,  G124&lt;50),  "Alerta",
   TRUE,           "Revisar")</f>
        <v>Alerta</v>
      </c>
      <c r="J124" s="28">
        <f t="shared" si="1"/>
        <v>0</v>
      </c>
    </row>
    <row r="125" spans="1:10" ht="18" customHeight="1" x14ac:dyDescent="0.3">
      <c r="A125" s="25" t="s">
        <v>299</v>
      </c>
      <c r="B125" s="8" t="s">
        <v>300</v>
      </c>
      <c r="C125" s="25" t="s">
        <v>71</v>
      </c>
      <c r="D125" s="25" t="s">
        <v>78</v>
      </c>
      <c r="E125" s="9">
        <v>6300000</v>
      </c>
      <c r="F125" s="26">
        <v>0.87</v>
      </c>
      <c r="G125" s="25">
        <v>83</v>
      </c>
      <c r="H125" s="27">
        <v>6.8</v>
      </c>
      <c r="I125" s="24" t="str" cm="1">
        <f t="array" ref="I125">_xlfn.IFS(
   AND(F125&gt;=0,9, G125&gt;=85), "Excelente",
   AND(F125&gt;=0,8, G125&gt;=70), "Bueno",
   OR(F125&lt;0,6,  G125&lt;50),  "Alerta",
   TRUE,           "Revisar")</f>
        <v>Bueno</v>
      </c>
      <c r="J125" s="28">
        <f t="shared" si="1"/>
        <v>630000</v>
      </c>
    </row>
    <row r="126" spans="1:10" ht="18" customHeight="1" x14ac:dyDescent="0.3">
      <c r="A126" s="18" t="s">
        <v>301</v>
      </c>
      <c r="B126" s="5" t="s">
        <v>302</v>
      </c>
      <c r="C126" s="18" t="s">
        <v>91</v>
      </c>
      <c r="D126" s="18" t="s">
        <v>88</v>
      </c>
      <c r="E126" s="6">
        <v>12000000</v>
      </c>
      <c r="F126" s="19">
        <v>0.61</v>
      </c>
      <c r="G126" s="18">
        <v>92</v>
      </c>
      <c r="H126" s="20">
        <v>17.3</v>
      </c>
      <c r="I126" s="24" t="str" cm="1">
        <f t="array" ref="I126">_xlfn.IFS(
   AND(F126&gt;=0,9, G126&gt;=85), "Excelente",
   AND(F126&gt;=0,8, G126&gt;=70), "Bueno",
   OR(F126&lt;0,6,  G126&lt;50),  "Alerta",
   TRUE,           "Revisar")</f>
        <v>Excelente</v>
      </c>
      <c r="J126" s="28">
        <f t="shared" si="1"/>
        <v>1200000</v>
      </c>
    </row>
    <row r="127" spans="1:10" ht="18" customHeight="1" x14ac:dyDescent="0.3">
      <c r="A127" s="25" t="s">
        <v>303</v>
      </c>
      <c r="B127" s="8" t="s">
        <v>304</v>
      </c>
      <c r="C127" s="25" t="s">
        <v>77</v>
      </c>
      <c r="D127" s="25" t="s">
        <v>92</v>
      </c>
      <c r="E127" s="9">
        <v>7000000</v>
      </c>
      <c r="F127" s="26">
        <v>0.75</v>
      </c>
      <c r="G127" s="25">
        <v>99</v>
      </c>
      <c r="H127" s="27">
        <v>7.5</v>
      </c>
      <c r="I127" s="24" t="str" cm="1">
        <f t="array" ref="I127">_xlfn.IFS(
   AND(F127&gt;=0,9, G127&gt;=85), "Excelente",
   AND(F127&gt;=0,8, G127&gt;=70), "Bueno",
   OR(F127&lt;0,6,  G127&lt;50),  "Alerta",
   TRUE,           "Revisar")</f>
        <v>Excelente</v>
      </c>
      <c r="J127" s="28">
        <f t="shared" si="1"/>
        <v>700000</v>
      </c>
    </row>
    <row r="128" spans="1:10" ht="18" customHeight="1" x14ac:dyDescent="0.3">
      <c r="A128" s="18" t="s">
        <v>305</v>
      </c>
      <c r="B128" s="5" t="s">
        <v>306</v>
      </c>
      <c r="C128" s="18" t="s">
        <v>67</v>
      </c>
      <c r="D128" s="18" t="s">
        <v>60</v>
      </c>
      <c r="E128" s="6">
        <v>10100000</v>
      </c>
      <c r="F128" s="19">
        <v>0.66</v>
      </c>
      <c r="G128" s="18">
        <v>82</v>
      </c>
      <c r="H128" s="20">
        <v>0.9</v>
      </c>
      <c r="I128" s="24" t="str" cm="1">
        <f t="array" ref="I128">_xlfn.IFS(
   AND(F128&gt;=0,9, G128&gt;=85), "Excelente",
   AND(F128&gt;=0,8, G128&gt;=70), "Bueno",
   OR(F128&lt;0,6,  G128&lt;50),  "Alerta",
   TRUE,           "Revisar")</f>
        <v>Bueno</v>
      </c>
      <c r="J128" s="28">
        <f t="shared" si="1"/>
        <v>1010000</v>
      </c>
    </row>
    <row r="129" spans="1:10" ht="18" customHeight="1" x14ac:dyDescent="0.3">
      <c r="A129" s="25" t="s">
        <v>307</v>
      </c>
      <c r="B129" s="8" t="s">
        <v>308</v>
      </c>
      <c r="C129" s="25" t="s">
        <v>63</v>
      </c>
      <c r="D129" s="25" t="s">
        <v>68</v>
      </c>
      <c r="E129" s="9">
        <v>11200000</v>
      </c>
      <c r="F129" s="26">
        <v>0.89</v>
      </c>
      <c r="G129" s="25">
        <v>49</v>
      </c>
      <c r="H129" s="27">
        <v>9.9</v>
      </c>
      <c r="I129" s="24" t="str" cm="1">
        <f t="array" ref="I129">_xlfn.IFS(
   AND(F129&gt;=0,9, G129&gt;=85), "Excelente",
   AND(F129&gt;=0,8, G129&gt;=70), "Bueno",
   OR(F129&lt;0,6,  G129&lt;50),  "Alerta",
   TRUE,           "Revisar")</f>
        <v>Alerta</v>
      </c>
      <c r="J129" s="28">
        <f t="shared" si="1"/>
        <v>0</v>
      </c>
    </row>
    <row r="130" spans="1:10" ht="18" customHeight="1" x14ac:dyDescent="0.3">
      <c r="A130" s="18" t="s">
        <v>309</v>
      </c>
      <c r="B130" s="5" t="s">
        <v>310</v>
      </c>
      <c r="C130" s="18" t="s">
        <v>81</v>
      </c>
      <c r="D130" s="18" t="s">
        <v>78</v>
      </c>
      <c r="E130" s="6">
        <v>8400000</v>
      </c>
      <c r="F130" s="19">
        <v>0.5</v>
      </c>
      <c r="G130" s="18">
        <v>88</v>
      </c>
      <c r="H130" s="20">
        <v>0.3</v>
      </c>
      <c r="I130" s="24" t="str" cm="1">
        <f t="array" ref="I130">_xlfn.IFS(
   AND(F130&gt;=0,9, G130&gt;=85), "Excelente",
   AND(F130&gt;=0,8, G130&gt;=70), "Bueno",
   OR(F130&lt;0,6,  G130&lt;50),  "Alerta",
   TRUE,           "Revisar")</f>
        <v>Excelente</v>
      </c>
      <c r="J130" s="28">
        <f t="shared" si="1"/>
        <v>840000</v>
      </c>
    </row>
    <row r="131" spans="1:10" ht="18" customHeight="1" x14ac:dyDescent="0.3">
      <c r="A131" s="25" t="s">
        <v>311</v>
      </c>
      <c r="B131" s="8" t="s">
        <v>312</v>
      </c>
      <c r="C131" s="25" t="s">
        <v>71</v>
      </c>
      <c r="D131" s="25" t="s">
        <v>78</v>
      </c>
      <c r="E131" s="9">
        <v>8800000</v>
      </c>
      <c r="F131" s="26">
        <v>0.88</v>
      </c>
      <c r="G131" s="25">
        <v>63</v>
      </c>
      <c r="H131" s="27">
        <v>6.8</v>
      </c>
      <c r="I131" s="24" t="str" cm="1">
        <f t="array" ref="I131">_xlfn.IFS(
   AND(F131&gt;=0,9, G131&gt;=85), "Excelente",
   AND(F131&gt;=0,8, G131&gt;=70), "Bueno",
   OR(F131&lt;0,6,  G131&lt;50),  "Alerta",
   TRUE,           "Revisar")</f>
        <v>Alerta</v>
      </c>
      <c r="J131" s="28">
        <f t="shared" si="1"/>
        <v>0</v>
      </c>
    </row>
    <row r="132" spans="1:10" ht="18" customHeight="1" x14ac:dyDescent="0.3">
      <c r="A132" s="18" t="s">
        <v>313</v>
      </c>
      <c r="B132" s="5" t="s">
        <v>314</v>
      </c>
      <c r="C132" s="18" t="s">
        <v>74</v>
      </c>
      <c r="D132" s="18" t="s">
        <v>92</v>
      </c>
      <c r="E132" s="6">
        <v>11400000</v>
      </c>
      <c r="F132" s="19">
        <v>0.92</v>
      </c>
      <c r="G132" s="18">
        <v>78</v>
      </c>
      <c r="H132" s="20">
        <v>19.100000000000001</v>
      </c>
      <c r="I132" s="24" t="str" cm="1">
        <f t="array" ref="I132">_xlfn.IFS(
   AND(F132&gt;=0,9, G132&gt;=85), "Excelente",
   AND(F132&gt;=0,8, G132&gt;=70), "Bueno",
   OR(F132&lt;0,6,  G132&lt;50),  "Alerta",
   TRUE,           "Revisar")</f>
        <v>Bueno</v>
      </c>
      <c r="J132" s="28">
        <f t="shared" si="1"/>
        <v>1140000</v>
      </c>
    </row>
    <row r="133" spans="1:10" ht="18" customHeight="1" x14ac:dyDescent="0.3">
      <c r="A133" s="25" t="s">
        <v>315</v>
      </c>
      <c r="B133" s="8" t="s">
        <v>316</v>
      </c>
      <c r="C133" s="25" t="s">
        <v>91</v>
      </c>
      <c r="D133" s="25" t="s">
        <v>78</v>
      </c>
      <c r="E133" s="9">
        <v>5800000</v>
      </c>
      <c r="F133" s="26">
        <v>0.8</v>
      </c>
      <c r="G133" s="25">
        <v>66</v>
      </c>
      <c r="H133" s="27">
        <v>19.899999999999999</v>
      </c>
      <c r="I133" s="24" t="str" cm="1">
        <f t="array" ref="I133">_xlfn.IFS(
   AND(F133&gt;=0,9, G133&gt;=85), "Excelente",
   AND(F133&gt;=0,8, G133&gt;=70), "Bueno",
   OR(F133&lt;0,6,  G133&lt;50),  "Alerta",
   TRUE,           "Revisar")</f>
        <v>Alerta</v>
      </c>
      <c r="J133" s="28">
        <f t="shared" si="1"/>
        <v>0</v>
      </c>
    </row>
    <row r="134" spans="1:10" ht="18" customHeight="1" x14ac:dyDescent="0.3">
      <c r="A134" s="18" t="s">
        <v>317</v>
      </c>
      <c r="B134" s="5" t="s">
        <v>318</v>
      </c>
      <c r="C134" s="18" t="s">
        <v>74</v>
      </c>
      <c r="D134" s="18" t="s">
        <v>78</v>
      </c>
      <c r="E134" s="6">
        <v>8400000</v>
      </c>
      <c r="F134" s="19">
        <v>0.54</v>
      </c>
      <c r="G134" s="18">
        <v>68</v>
      </c>
      <c r="H134" s="20">
        <v>18.100000000000001</v>
      </c>
      <c r="I134" s="24" t="str" cm="1">
        <f t="array" ref="I134">_xlfn.IFS(
   AND(F134&gt;=0,9, G134&gt;=85), "Excelente",
   AND(F134&gt;=0,8, G134&gt;=70), "Bueno",
   OR(F134&lt;0,6,  G134&lt;50),  "Alerta",
   TRUE,           "Revisar")</f>
        <v>Alerta</v>
      </c>
      <c r="J134" s="28">
        <f t="shared" si="1"/>
        <v>0</v>
      </c>
    </row>
    <row r="135" spans="1:10" ht="18" customHeight="1" x14ac:dyDescent="0.3">
      <c r="A135" s="25" t="s">
        <v>319</v>
      </c>
      <c r="B135" s="8" t="s">
        <v>320</v>
      </c>
      <c r="C135" s="25" t="s">
        <v>91</v>
      </c>
      <c r="D135" s="25" t="s">
        <v>88</v>
      </c>
      <c r="E135" s="9">
        <v>7300000</v>
      </c>
      <c r="F135" s="26">
        <v>0.66</v>
      </c>
      <c r="G135" s="25">
        <v>48</v>
      </c>
      <c r="H135" s="27">
        <v>4.9000000000000004</v>
      </c>
      <c r="I135" s="24" t="str" cm="1">
        <f t="array" ref="I135">_xlfn.IFS(
   AND(F135&gt;=0,9, G135&gt;=85), "Excelente",
   AND(F135&gt;=0,8, G135&gt;=70), "Bueno",
   OR(F135&lt;0,6,  G135&lt;50),  "Alerta",
   TRUE,           "Revisar")</f>
        <v>Alerta</v>
      </c>
      <c r="J135" s="28">
        <f t="shared" si="1"/>
        <v>0</v>
      </c>
    </row>
    <row r="136" spans="1:10" ht="18" customHeight="1" x14ac:dyDescent="0.3">
      <c r="A136" s="18" t="s">
        <v>321</v>
      </c>
      <c r="B136" s="5" t="s">
        <v>322</v>
      </c>
      <c r="C136" s="18" t="s">
        <v>71</v>
      </c>
      <c r="D136" s="18" t="s">
        <v>114</v>
      </c>
      <c r="E136" s="6">
        <v>5000000</v>
      </c>
      <c r="F136" s="19">
        <v>0.49</v>
      </c>
      <c r="G136" s="18">
        <v>78</v>
      </c>
      <c r="H136" s="20">
        <v>12.4</v>
      </c>
      <c r="I136" s="24" t="str" cm="1">
        <f t="array" ref="I136">_xlfn.IFS(
   AND(F136&gt;=0,9, G136&gt;=85), "Excelente",
   AND(F136&gt;=0,8, G136&gt;=70), "Bueno",
   OR(F136&lt;0,6,  G136&lt;50),  "Alerta",
   TRUE,           "Revisar")</f>
        <v>Bueno</v>
      </c>
      <c r="J136" s="28">
        <f t="shared" si="1"/>
        <v>500000</v>
      </c>
    </row>
    <row r="137" spans="1:10" ht="18" customHeight="1" x14ac:dyDescent="0.3">
      <c r="A137" s="25" t="s">
        <v>323</v>
      </c>
      <c r="B137" s="8" t="s">
        <v>324</v>
      </c>
      <c r="C137" s="25" t="s">
        <v>71</v>
      </c>
      <c r="D137" s="25" t="s">
        <v>60</v>
      </c>
      <c r="E137" s="9">
        <v>8700000</v>
      </c>
      <c r="F137" s="26">
        <v>0.8</v>
      </c>
      <c r="G137" s="25">
        <v>88</v>
      </c>
      <c r="H137" s="27">
        <v>5.0999999999999996</v>
      </c>
      <c r="I137" s="24" t="str" cm="1">
        <f t="array" ref="I137">_xlfn.IFS(
   AND(F137&gt;=0,9, G137&gt;=85), "Excelente",
   AND(F137&gt;=0,8, G137&gt;=70), "Bueno",
   OR(F137&lt;0,6,  G137&lt;50),  "Alerta",
   TRUE,           "Revisar")</f>
        <v>Excelente</v>
      </c>
      <c r="J137" s="28">
        <f t="shared" si="1"/>
        <v>870000</v>
      </c>
    </row>
    <row r="138" spans="1:10" ht="18" customHeight="1" x14ac:dyDescent="0.3">
      <c r="A138" s="18" t="s">
        <v>325</v>
      </c>
      <c r="B138" s="5" t="s">
        <v>326</v>
      </c>
      <c r="C138" s="18" t="s">
        <v>77</v>
      </c>
      <c r="D138" s="18" t="s">
        <v>88</v>
      </c>
      <c r="E138" s="6">
        <v>11400000</v>
      </c>
      <c r="F138" s="19">
        <v>0.75</v>
      </c>
      <c r="G138" s="18">
        <v>39</v>
      </c>
      <c r="H138" s="20">
        <v>8.8000000000000007</v>
      </c>
      <c r="I138" s="24" t="str" cm="1">
        <f t="array" ref="I138">_xlfn.IFS(
   AND(F138&gt;=0,9, G138&gt;=85), "Excelente",
   AND(F138&gt;=0,8, G138&gt;=70), "Bueno",
   OR(F138&lt;0,6,  G138&lt;50),  "Alerta",
   TRUE,           "Revisar")</f>
        <v>Alerta</v>
      </c>
      <c r="J138" s="28">
        <f t="shared" si="1"/>
        <v>0</v>
      </c>
    </row>
    <row r="139" spans="1:10" ht="18" customHeight="1" x14ac:dyDescent="0.3">
      <c r="A139" s="25" t="s">
        <v>327</v>
      </c>
      <c r="B139" s="8" t="s">
        <v>328</v>
      </c>
      <c r="C139" s="25" t="s">
        <v>59</v>
      </c>
      <c r="D139" s="25" t="s">
        <v>68</v>
      </c>
      <c r="E139" s="9">
        <v>11600000</v>
      </c>
      <c r="F139" s="26">
        <v>0.59</v>
      </c>
      <c r="G139" s="25">
        <v>68</v>
      </c>
      <c r="H139" s="27">
        <v>4</v>
      </c>
      <c r="I139" s="24" t="str" cm="1">
        <f t="array" ref="I139">_xlfn.IFS(
   AND(F139&gt;=0,9, G139&gt;=85), "Excelente",
   AND(F139&gt;=0,8, G139&gt;=70), "Bueno",
   OR(F139&lt;0,6,  G139&lt;50),  "Alerta",
   TRUE,           "Revisar")</f>
        <v>Alerta</v>
      </c>
      <c r="J139" s="28">
        <f t="shared" si="1"/>
        <v>0</v>
      </c>
    </row>
    <row r="140" spans="1:10" ht="18" customHeight="1" x14ac:dyDescent="0.3">
      <c r="A140" s="18" t="s">
        <v>329</v>
      </c>
      <c r="B140" s="5" t="s">
        <v>330</v>
      </c>
      <c r="C140" s="18" t="s">
        <v>67</v>
      </c>
      <c r="D140" s="18" t="s">
        <v>68</v>
      </c>
      <c r="E140" s="6">
        <v>10100000</v>
      </c>
      <c r="F140" s="19">
        <v>0.65</v>
      </c>
      <c r="G140" s="18">
        <v>67</v>
      </c>
      <c r="H140" s="20">
        <v>19.899999999999999</v>
      </c>
      <c r="I140" s="24" t="str" cm="1">
        <f t="array" ref="I140">_xlfn.IFS(
   AND(F140&gt;=0,9, G140&gt;=85), "Excelente",
   AND(F140&gt;=0,8, G140&gt;=70), "Bueno",
   OR(F140&lt;0,6,  G140&lt;50),  "Alerta",
   TRUE,           "Revisar")</f>
        <v>Alerta</v>
      </c>
      <c r="J140" s="28">
        <f t="shared" ref="J140:J203" si="2">IF(OR(I140="Excelente",I140="Bueno"),E140*0.1,0)</f>
        <v>0</v>
      </c>
    </row>
    <row r="141" spans="1:10" ht="18" customHeight="1" x14ac:dyDescent="0.3">
      <c r="A141" s="25" t="s">
        <v>331</v>
      </c>
      <c r="B141" s="8" t="s">
        <v>332</v>
      </c>
      <c r="C141" s="25" t="s">
        <v>63</v>
      </c>
      <c r="D141" s="25" t="s">
        <v>88</v>
      </c>
      <c r="E141" s="9">
        <v>2900000</v>
      </c>
      <c r="F141" s="26">
        <v>0.76</v>
      </c>
      <c r="G141" s="25">
        <v>36</v>
      </c>
      <c r="H141" s="27">
        <v>18.2</v>
      </c>
      <c r="I141" s="24" t="str" cm="1">
        <f t="array" ref="I141">_xlfn.IFS(
   AND(F141&gt;=0,9, G141&gt;=85), "Excelente",
   AND(F141&gt;=0,8, G141&gt;=70), "Bueno",
   OR(F141&lt;0,6,  G141&lt;50),  "Alerta",
   TRUE,           "Revisar")</f>
        <v>Alerta</v>
      </c>
      <c r="J141" s="28">
        <f t="shared" si="2"/>
        <v>0</v>
      </c>
    </row>
    <row r="142" spans="1:10" ht="18" customHeight="1" x14ac:dyDescent="0.3">
      <c r="A142" s="18" t="s">
        <v>333</v>
      </c>
      <c r="B142" s="5" t="s">
        <v>334</v>
      </c>
      <c r="C142" s="18" t="s">
        <v>59</v>
      </c>
      <c r="D142" s="18" t="s">
        <v>60</v>
      </c>
      <c r="E142" s="6">
        <v>10500000</v>
      </c>
      <c r="F142" s="19">
        <v>0.89</v>
      </c>
      <c r="G142" s="18">
        <v>58</v>
      </c>
      <c r="H142" s="20">
        <v>12.7</v>
      </c>
      <c r="I142" s="24" t="str" cm="1">
        <f t="array" ref="I142">_xlfn.IFS(
   AND(F142&gt;=0,9, G142&gt;=85), "Excelente",
   AND(F142&gt;=0,8, G142&gt;=70), "Bueno",
   OR(F142&lt;0,6,  G142&lt;50),  "Alerta",
   TRUE,           "Revisar")</f>
        <v>Alerta</v>
      </c>
      <c r="J142" s="28">
        <f t="shared" si="2"/>
        <v>0</v>
      </c>
    </row>
    <row r="143" spans="1:10" ht="18" customHeight="1" x14ac:dyDescent="0.3">
      <c r="A143" s="25" t="s">
        <v>335</v>
      </c>
      <c r="B143" s="8" t="s">
        <v>336</v>
      </c>
      <c r="C143" s="25" t="s">
        <v>71</v>
      </c>
      <c r="D143" s="25" t="s">
        <v>78</v>
      </c>
      <c r="E143" s="9">
        <v>10800000</v>
      </c>
      <c r="F143" s="26">
        <v>0.81</v>
      </c>
      <c r="G143" s="25">
        <v>69</v>
      </c>
      <c r="H143" s="27">
        <v>15.8</v>
      </c>
      <c r="I143" s="24" t="str" cm="1">
        <f t="array" ref="I143">_xlfn.IFS(
   AND(F143&gt;=0,9, G143&gt;=85), "Excelente",
   AND(F143&gt;=0,8, G143&gt;=70), "Bueno",
   OR(F143&lt;0,6,  G143&lt;50),  "Alerta",
   TRUE,           "Revisar")</f>
        <v>Alerta</v>
      </c>
      <c r="J143" s="28">
        <f t="shared" si="2"/>
        <v>0</v>
      </c>
    </row>
    <row r="144" spans="1:10" ht="18" customHeight="1" x14ac:dyDescent="0.3">
      <c r="A144" s="18" t="s">
        <v>337</v>
      </c>
      <c r="B144" s="5" t="s">
        <v>338</v>
      </c>
      <c r="C144" s="18" t="s">
        <v>81</v>
      </c>
      <c r="D144" s="18" t="s">
        <v>114</v>
      </c>
      <c r="E144" s="6">
        <v>3900000</v>
      </c>
      <c r="F144" s="19">
        <v>0.95</v>
      </c>
      <c r="G144" s="18">
        <v>71</v>
      </c>
      <c r="H144" s="20">
        <v>14.9</v>
      </c>
      <c r="I144" s="24" t="str" cm="1">
        <f t="array" ref="I144">_xlfn.IFS(
   AND(F144&gt;=0,9, G144&gt;=85), "Excelente",
   AND(F144&gt;=0,8, G144&gt;=70), "Bueno",
   OR(F144&lt;0,6,  G144&lt;50),  "Alerta",
   TRUE,           "Revisar")</f>
        <v>Bueno</v>
      </c>
      <c r="J144" s="28">
        <f t="shared" si="2"/>
        <v>390000</v>
      </c>
    </row>
    <row r="145" spans="1:10" ht="18" customHeight="1" x14ac:dyDescent="0.3">
      <c r="A145" s="25" t="s">
        <v>339</v>
      </c>
      <c r="B145" s="8" t="s">
        <v>340</v>
      </c>
      <c r="C145" s="25" t="s">
        <v>71</v>
      </c>
      <c r="D145" s="25" t="s">
        <v>92</v>
      </c>
      <c r="E145" s="9">
        <v>9500000</v>
      </c>
      <c r="F145" s="26">
        <v>0.73</v>
      </c>
      <c r="G145" s="25">
        <v>64</v>
      </c>
      <c r="H145" s="27">
        <v>16.600000000000001</v>
      </c>
      <c r="I145" s="24" t="str" cm="1">
        <f t="array" ref="I145">_xlfn.IFS(
   AND(F145&gt;=0,9, G145&gt;=85), "Excelente",
   AND(F145&gt;=0,8, G145&gt;=70), "Bueno",
   OR(F145&lt;0,6,  G145&lt;50),  "Alerta",
   TRUE,           "Revisar")</f>
        <v>Alerta</v>
      </c>
      <c r="J145" s="28">
        <f t="shared" si="2"/>
        <v>0</v>
      </c>
    </row>
    <row r="146" spans="1:10" ht="18" customHeight="1" x14ac:dyDescent="0.3">
      <c r="A146" s="18" t="s">
        <v>341</v>
      </c>
      <c r="B146" s="5" t="s">
        <v>342</v>
      </c>
      <c r="C146" s="18" t="s">
        <v>59</v>
      </c>
      <c r="D146" s="18" t="s">
        <v>92</v>
      </c>
      <c r="E146" s="6">
        <v>4200000</v>
      </c>
      <c r="F146" s="19">
        <v>0.71</v>
      </c>
      <c r="G146" s="18">
        <v>39</v>
      </c>
      <c r="H146" s="20">
        <v>2.8</v>
      </c>
      <c r="I146" s="24" t="str" cm="1">
        <f t="array" ref="I146">_xlfn.IFS(
   AND(F146&gt;=0,9, G146&gt;=85), "Excelente",
   AND(F146&gt;=0,8, G146&gt;=70), "Bueno",
   OR(F146&lt;0,6,  G146&lt;50),  "Alerta",
   TRUE,           "Revisar")</f>
        <v>Alerta</v>
      </c>
      <c r="J146" s="28">
        <f t="shared" si="2"/>
        <v>0</v>
      </c>
    </row>
    <row r="147" spans="1:10" ht="18" customHeight="1" x14ac:dyDescent="0.3">
      <c r="A147" s="25" t="s">
        <v>343</v>
      </c>
      <c r="B147" s="8" t="s">
        <v>344</v>
      </c>
      <c r="C147" s="25" t="s">
        <v>63</v>
      </c>
      <c r="D147" s="25" t="s">
        <v>92</v>
      </c>
      <c r="E147" s="9">
        <v>3900000</v>
      </c>
      <c r="F147" s="26">
        <v>0.88</v>
      </c>
      <c r="G147" s="25">
        <v>31</v>
      </c>
      <c r="H147" s="27">
        <v>5.3</v>
      </c>
      <c r="I147" s="24" t="str" cm="1">
        <f t="array" ref="I147">_xlfn.IFS(
   AND(F147&gt;=0,9, G147&gt;=85), "Excelente",
   AND(F147&gt;=0,8, G147&gt;=70), "Bueno",
   OR(F147&lt;0,6,  G147&lt;50),  "Alerta",
   TRUE,           "Revisar")</f>
        <v>Alerta</v>
      </c>
      <c r="J147" s="28">
        <f t="shared" si="2"/>
        <v>0</v>
      </c>
    </row>
    <row r="148" spans="1:10" ht="18" customHeight="1" x14ac:dyDescent="0.3">
      <c r="A148" s="18" t="s">
        <v>345</v>
      </c>
      <c r="B148" s="5" t="s">
        <v>346</v>
      </c>
      <c r="C148" s="18" t="s">
        <v>81</v>
      </c>
      <c r="D148" s="18" t="s">
        <v>88</v>
      </c>
      <c r="E148" s="6">
        <v>10200000</v>
      </c>
      <c r="F148" s="19">
        <v>0.66</v>
      </c>
      <c r="G148" s="18">
        <v>77</v>
      </c>
      <c r="H148" s="20">
        <v>2.2000000000000002</v>
      </c>
      <c r="I148" s="24" t="str" cm="1">
        <f t="array" ref="I148">_xlfn.IFS(
   AND(F148&gt;=0,9, G148&gt;=85), "Excelente",
   AND(F148&gt;=0,8, G148&gt;=70), "Bueno",
   OR(F148&lt;0,6,  G148&lt;50),  "Alerta",
   TRUE,           "Revisar")</f>
        <v>Bueno</v>
      </c>
      <c r="J148" s="28">
        <f t="shared" si="2"/>
        <v>1020000</v>
      </c>
    </row>
    <row r="149" spans="1:10" ht="18" customHeight="1" x14ac:dyDescent="0.3">
      <c r="A149" s="25" t="s">
        <v>347</v>
      </c>
      <c r="B149" s="8" t="s">
        <v>348</v>
      </c>
      <c r="C149" s="25" t="s">
        <v>91</v>
      </c>
      <c r="D149" s="25" t="s">
        <v>92</v>
      </c>
      <c r="E149" s="9">
        <v>10600000</v>
      </c>
      <c r="F149" s="26">
        <v>0.56999999999999995</v>
      </c>
      <c r="G149" s="25">
        <v>38</v>
      </c>
      <c r="H149" s="27">
        <v>12.7</v>
      </c>
      <c r="I149" s="24" t="str" cm="1">
        <f t="array" ref="I149">_xlfn.IFS(
   AND(F149&gt;=0,9, G149&gt;=85), "Excelente",
   AND(F149&gt;=0,8, G149&gt;=70), "Bueno",
   OR(F149&lt;0,6,  G149&lt;50),  "Alerta",
   TRUE,           "Revisar")</f>
        <v>Alerta</v>
      </c>
      <c r="J149" s="28">
        <f t="shared" si="2"/>
        <v>0</v>
      </c>
    </row>
    <row r="150" spans="1:10" ht="18" customHeight="1" x14ac:dyDescent="0.3">
      <c r="A150" s="18" t="s">
        <v>349</v>
      </c>
      <c r="B150" s="5" t="s">
        <v>350</v>
      </c>
      <c r="C150" s="18" t="s">
        <v>59</v>
      </c>
      <c r="D150" s="18" t="s">
        <v>68</v>
      </c>
      <c r="E150" s="6">
        <v>4200000</v>
      </c>
      <c r="F150" s="19">
        <v>0.53</v>
      </c>
      <c r="G150" s="18">
        <v>34</v>
      </c>
      <c r="H150" s="20">
        <v>6.1</v>
      </c>
      <c r="I150" s="24" t="str" cm="1">
        <f t="array" ref="I150">_xlfn.IFS(
   AND(F150&gt;=0,9, G150&gt;=85), "Excelente",
   AND(F150&gt;=0,8, G150&gt;=70), "Bueno",
   OR(F150&lt;0,6,  G150&lt;50),  "Alerta",
   TRUE,           "Revisar")</f>
        <v>Alerta</v>
      </c>
      <c r="J150" s="28">
        <f t="shared" si="2"/>
        <v>0</v>
      </c>
    </row>
    <row r="151" spans="1:10" ht="18" customHeight="1" x14ac:dyDescent="0.3">
      <c r="A151" s="25" t="s">
        <v>351</v>
      </c>
      <c r="B151" s="8" t="s">
        <v>352</v>
      </c>
      <c r="C151" s="25" t="s">
        <v>74</v>
      </c>
      <c r="D151" s="25" t="s">
        <v>60</v>
      </c>
      <c r="E151" s="9">
        <v>9600000</v>
      </c>
      <c r="F151" s="26">
        <v>0.52</v>
      </c>
      <c r="G151" s="25">
        <v>88</v>
      </c>
      <c r="H151" s="27">
        <v>7.4</v>
      </c>
      <c r="I151" s="24" t="str" cm="1">
        <f t="array" ref="I151">_xlfn.IFS(
   AND(F151&gt;=0,9, G151&gt;=85), "Excelente",
   AND(F151&gt;=0,8, G151&gt;=70), "Bueno",
   OR(F151&lt;0,6,  G151&lt;50),  "Alerta",
   TRUE,           "Revisar")</f>
        <v>Excelente</v>
      </c>
      <c r="J151" s="28">
        <f t="shared" si="2"/>
        <v>960000</v>
      </c>
    </row>
    <row r="152" spans="1:10" ht="18" customHeight="1" x14ac:dyDescent="0.3">
      <c r="A152" s="18" t="s">
        <v>353</v>
      </c>
      <c r="B152" s="5" t="s">
        <v>354</v>
      </c>
      <c r="C152" s="18" t="s">
        <v>71</v>
      </c>
      <c r="D152" s="18" t="s">
        <v>68</v>
      </c>
      <c r="E152" s="6">
        <v>11100000</v>
      </c>
      <c r="F152" s="19">
        <v>0.5</v>
      </c>
      <c r="G152" s="18">
        <v>92</v>
      </c>
      <c r="H152" s="20">
        <v>12.3</v>
      </c>
      <c r="I152" s="24" t="str" cm="1">
        <f t="array" ref="I152">_xlfn.IFS(
   AND(F152&gt;=0,9, G152&gt;=85), "Excelente",
   AND(F152&gt;=0,8, G152&gt;=70), "Bueno",
   OR(F152&lt;0,6,  G152&lt;50),  "Alerta",
   TRUE,           "Revisar")</f>
        <v>Excelente</v>
      </c>
      <c r="J152" s="28">
        <f t="shared" si="2"/>
        <v>1110000</v>
      </c>
    </row>
    <row r="153" spans="1:10" ht="18" customHeight="1" x14ac:dyDescent="0.3">
      <c r="A153" s="25" t="s">
        <v>355</v>
      </c>
      <c r="B153" s="8" t="s">
        <v>356</v>
      </c>
      <c r="C153" s="25" t="s">
        <v>81</v>
      </c>
      <c r="D153" s="25" t="s">
        <v>60</v>
      </c>
      <c r="E153" s="9">
        <v>8400000</v>
      </c>
      <c r="F153" s="26">
        <v>0.69</v>
      </c>
      <c r="G153" s="25">
        <v>60</v>
      </c>
      <c r="H153" s="27">
        <v>17.100000000000001</v>
      </c>
      <c r="I153" s="24" t="str" cm="1">
        <f t="array" ref="I153">_xlfn.IFS(
   AND(F153&gt;=0,9, G153&gt;=85), "Excelente",
   AND(F153&gt;=0,8, G153&gt;=70), "Bueno",
   OR(F153&lt;0,6,  G153&lt;50),  "Alerta",
   TRUE,           "Revisar")</f>
        <v>Alerta</v>
      </c>
      <c r="J153" s="28">
        <f t="shared" si="2"/>
        <v>0</v>
      </c>
    </row>
    <row r="154" spans="1:10" ht="18" customHeight="1" x14ac:dyDescent="0.3">
      <c r="A154" s="18" t="s">
        <v>357</v>
      </c>
      <c r="B154" s="5" t="s">
        <v>358</v>
      </c>
      <c r="C154" s="18" t="s">
        <v>81</v>
      </c>
      <c r="D154" s="18" t="s">
        <v>92</v>
      </c>
      <c r="E154" s="6">
        <v>3500000</v>
      </c>
      <c r="F154" s="19">
        <v>0.67</v>
      </c>
      <c r="G154" s="18">
        <v>54</v>
      </c>
      <c r="H154" s="20">
        <v>19.399999999999999</v>
      </c>
      <c r="I154" s="24" t="str" cm="1">
        <f t="array" ref="I154">_xlfn.IFS(
   AND(F154&gt;=0,9, G154&gt;=85), "Excelente",
   AND(F154&gt;=0,8, G154&gt;=70), "Bueno",
   OR(F154&lt;0,6,  G154&lt;50),  "Alerta",
   TRUE,           "Revisar")</f>
        <v>Alerta</v>
      </c>
      <c r="J154" s="28">
        <f t="shared" si="2"/>
        <v>0</v>
      </c>
    </row>
    <row r="155" spans="1:10" ht="18" customHeight="1" x14ac:dyDescent="0.3">
      <c r="A155" s="25" t="s">
        <v>359</v>
      </c>
      <c r="B155" s="8" t="s">
        <v>360</v>
      </c>
      <c r="C155" s="25" t="s">
        <v>67</v>
      </c>
      <c r="D155" s="25" t="s">
        <v>64</v>
      </c>
      <c r="E155" s="9">
        <v>3400000</v>
      </c>
      <c r="F155" s="26">
        <v>0.88</v>
      </c>
      <c r="G155" s="25">
        <v>61</v>
      </c>
      <c r="H155" s="27">
        <v>19.8</v>
      </c>
      <c r="I155" s="24" t="str" cm="1">
        <f t="array" ref="I155">_xlfn.IFS(
   AND(F155&gt;=0,9, G155&gt;=85), "Excelente",
   AND(F155&gt;=0,8, G155&gt;=70), "Bueno",
   OR(F155&lt;0,6,  G155&lt;50),  "Alerta",
   TRUE,           "Revisar")</f>
        <v>Alerta</v>
      </c>
      <c r="J155" s="28">
        <f t="shared" si="2"/>
        <v>0</v>
      </c>
    </row>
    <row r="156" spans="1:10" ht="18" customHeight="1" x14ac:dyDescent="0.3">
      <c r="A156" s="18" t="s">
        <v>361</v>
      </c>
      <c r="B156" s="5" t="s">
        <v>362</v>
      </c>
      <c r="C156" s="18" t="s">
        <v>74</v>
      </c>
      <c r="D156" s="18" t="s">
        <v>60</v>
      </c>
      <c r="E156" s="6">
        <v>10300000</v>
      </c>
      <c r="F156" s="19">
        <v>0.56999999999999995</v>
      </c>
      <c r="G156" s="18">
        <v>59</v>
      </c>
      <c r="H156" s="20">
        <v>6.6</v>
      </c>
      <c r="I156" s="24" t="str" cm="1">
        <f t="array" ref="I156">_xlfn.IFS(
   AND(F156&gt;=0,9, G156&gt;=85), "Excelente",
   AND(F156&gt;=0,8, G156&gt;=70), "Bueno",
   OR(F156&lt;0,6,  G156&lt;50),  "Alerta",
   TRUE,           "Revisar")</f>
        <v>Alerta</v>
      </c>
      <c r="J156" s="28">
        <f t="shared" si="2"/>
        <v>0</v>
      </c>
    </row>
    <row r="157" spans="1:10" ht="18" customHeight="1" x14ac:dyDescent="0.3">
      <c r="A157" s="25" t="s">
        <v>363</v>
      </c>
      <c r="B157" s="8" t="s">
        <v>364</v>
      </c>
      <c r="C157" s="25" t="s">
        <v>91</v>
      </c>
      <c r="D157" s="25" t="s">
        <v>88</v>
      </c>
      <c r="E157" s="9">
        <v>4600000</v>
      </c>
      <c r="F157" s="26">
        <v>0.99</v>
      </c>
      <c r="G157" s="25">
        <v>99</v>
      </c>
      <c r="H157" s="27">
        <v>5</v>
      </c>
      <c r="I157" s="24" t="str" cm="1">
        <f t="array" ref="I157">_xlfn.IFS(
   AND(F157&gt;=0,9, G157&gt;=85), "Excelente",
   AND(F157&gt;=0,8, G157&gt;=70), "Bueno",
   OR(F157&lt;0,6,  G157&lt;50),  "Alerta",
   TRUE,           "Revisar")</f>
        <v>Excelente</v>
      </c>
      <c r="J157" s="28">
        <f t="shared" si="2"/>
        <v>460000</v>
      </c>
    </row>
    <row r="158" spans="1:10" ht="18" customHeight="1" x14ac:dyDescent="0.3">
      <c r="A158" s="18" t="s">
        <v>365</v>
      </c>
      <c r="B158" s="5" t="s">
        <v>366</v>
      </c>
      <c r="C158" s="18" t="s">
        <v>91</v>
      </c>
      <c r="D158" s="18" t="s">
        <v>114</v>
      </c>
      <c r="E158" s="6">
        <v>2900000</v>
      </c>
      <c r="F158" s="19">
        <v>0.65</v>
      </c>
      <c r="G158" s="18">
        <v>60</v>
      </c>
      <c r="H158" s="20">
        <v>11.8</v>
      </c>
      <c r="I158" s="24" t="str" cm="1">
        <f t="array" ref="I158">_xlfn.IFS(
   AND(F158&gt;=0,9, G158&gt;=85), "Excelente",
   AND(F158&gt;=0,8, G158&gt;=70), "Bueno",
   OR(F158&lt;0,6,  G158&lt;50),  "Alerta",
   TRUE,           "Revisar")</f>
        <v>Alerta</v>
      </c>
      <c r="J158" s="28">
        <f t="shared" si="2"/>
        <v>0</v>
      </c>
    </row>
    <row r="159" spans="1:10" ht="18" customHeight="1" x14ac:dyDescent="0.3">
      <c r="A159" s="25" t="s">
        <v>367</v>
      </c>
      <c r="B159" s="8" t="s">
        <v>368</v>
      </c>
      <c r="C159" s="25" t="s">
        <v>74</v>
      </c>
      <c r="D159" s="25" t="s">
        <v>78</v>
      </c>
      <c r="E159" s="9">
        <v>8800000</v>
      </c>
      <c r="F159" s="26">
        <v>0.7</v>
      </c>
      <c r="G159" s="25">
        <v>76</v>
      </c>
      <c r="H159" s="27">
        <v>10.3</v>
      </c>
      <c r="I159" s="24" t="str" cm="1">
        <f t="array" ref="I159">_xlfn.IFS(
   AND(F159&gt;=0,9, G159&gt;=85), "Excelente",
   AND(F159&gt;=0,8, G159&gt;=70), "Bueno",
   OR(F159&lt;0,6,  G159&lt;50),  "Alerta",
   TRUE,           "Revisar")</f>
        <v>Bueno</v>
      </c>
      <c r="J159" s="28">
        <f t="shared" si="2"/>
        <v>880000</v>
      </c>
    </row>
    <row r="160" spans="1:10" ht="18" customHeight="1" x14ac:dyDescent="0.3">
      <c r="A160" s="18" t="s">
        <v>369</v>
      </c>
      <c r="B160" s="5" t="s">
        <v>370</v>
      </c>
      <c r="C160" s="18" t="s">
        <v>67</v>
      </c>
      <c r="D160" s="18" t="s">
        <v>64</v>
      </c>
      <c r="E160" s="6">
        <v>11200000</v>
      </c>
      <c r="F160" s="19">
        <v>0.74</v>
      </c>
      <c r="G160" s="18">
        <v>88</v>
      </c>
      <c r="H160" s="20">
        <v>12.9</v>
      </c>
      <c r="I160" s="24" t="str" cm="1">
        <f t="array" ref="I160">_xlfn.IFS(
   AND(F160&gt;=0,9, G160&gt;=85), "Excelente",
   AND(F160&gt;=0,8, G160&gt;=70), "Bueno",
   OR(F160&lt;0,6,  G160&lt;50),  "Alerta",
   TRUE,           "Revisar")</f>
        <v>Excelente</v>
      </c>
      <c r="J160" s="28">
        <f t="shared" si="2"/>
        <v>1120000</v>
      </c>
    </row>
    <row r="161" spans="1:10" ht="18" customHeight="1" x14ac:dyDescent="0.3">
      <c r="A161" s="25" t="s">
        <v>371</v>
      </c>
      <c r="B161" s="8" t="s">
        <v>372</v>
      </c>
      <c r="C161" s="25" t="s">
        <v>77</v>
      </c>
      <c r="D161" s="25" t="s">
        <v>68</v>
      </c>
      <c r="E161" s="9">
        <v>8200000</v>
      </c>
      <c r="F161" s="26">
        <v>0.83</v>
      </c>
      <c r="G161" s="25">
        <v>92</v>
      </c>
      <c r="H161" s="27">
        <v>14.2</v>
      </c>
      <c r="I161" s="24" t="str" cm="1">
        <f t="array" ref="I161">_xlfn.IFS(
   AND(F161&gt;=0,9, G161&gt;=85), "Excelente",
   AND(F161&gt;=0,8, G161&gt;=70), "Bueno",
   OR(F161&lt;0,6,  G161&lt;50),  "Alerta",
   TRUE,           "Revisar")</f>
        <v>Excelente</v>
      </c>
      <c r="J161" s="28">
        <f t="shared" si="2"/>
        <v>820000</v>
      </c>
    </row>
    <row r="162" spans="1:10" ht="18" customHeight="1" x14ac:dyDescent="0.3">
      <c r="A162" s="18" t="s">
        <v>373</v>
      </c>
      <c r="B162" s="5" t="s">
        <v>374</v>
      </c>
      <c r="C162" s="18" t="s">
        <v>74</v>
      </c>
      <c r="D162" s="18" t="s">
        <v>92</v>
      </c>
      <c r="E162" s="6">
        <v>10500000</v>
      </c>
      <c r="F162" s="19">
        <v>0.53</v>
      </c>
      <c r="G162" s="18">
        <v>46</v>
      </c>
      <c r="H162" s="20">
        <v>5.5</v>
      </c>
      <c r="I162" s="24" t="str" cm="1">
        <f t="array" ref="I162">_xlfn.IFS(
   AND(F162&gt;=0,9, G162&gt;=85), "Excelente",
   AND(F162&gt;=0,8, G162&gt;=70), "Bueno",
   OR(F162&lt;0,6,  G162&lt;50),  "Alerta",
   TRUE,           "Revisar")</f>
        <v>Alerta</v>
      </c>
      <c r="J162" s="28">
        <f t="shared" si="2"/>
        <v>0</v>
      </c>
    </row>
    <row r="163" spans="1:10" ht="18" customHeight="1" x14ac:dyDescent="0.3">
      <c r="A163" s="25" t="s">
        <v>375</v>
      </c>
      <c r="B163" s="8" t="s">
        <v>376</v>
      </c>
      <c r="C163" s="25" t="s">
        <v>81</v>
      </c>
      <c r="D163" s="25" t="s">
        <v>68</v>
      </c>
      <c r="E163" s="9">
        <v>10400000</v>
      </c>
      <c r="F163" s="26">
        <v>0.74</v>
      </c>
      <c r="G163" s="25">
        <v>88</v>
      </c>
      <c r="H163" s="27">
        <v>10.1</v>
      </c>
      <c r="I163" s="24" t="str" cm="1">
        <f t="array" ref="I163">_xlfn.IFS(
   AND(F163&gt;=0,9, G163&gt;=85), "Excelente",
   AND(F163&gt;=0,8, G163&gt;=70), "Bueno",
   OR(F163&lt;0,6,  G163&lt;50),  "Alerta",
   TRUE,           "Revisar")</f>
        <v>Excelente</v>
      </c>
      <c r="J163" s="28">
        <f t="shared" si="2"/>
        <v>1040000</v>
      </c>
    </row>
    <row r="164" spans="1:10" ht="18" customHeight="1" x14ac:dyDescent="0.3">
      <c r="A164" s="18" t="s">
        <v>377</v>
      </c>
      <c r="B164" s="5" t="s">
        <v>378</v>
      </c>
      <c r="C164" s="18" t="s">
        <v>74</v>
      </c>
      <c r="D164" s="18" t="s">
        <v>60</v>
      </c>
      <c r="E164" s="6">
        <v>8300000</v>
      </c>
      <c r="F164" s="19">
        <v>0.7</v>
      </c>
      <c r="G164" s="18">
        <v>59</v>
      </c>
      <c r="H164" s="20">
        <v>8.3000000000000007</v>
      </c>
      <c r="I164" s="24" t="str" cm="1">
        <f t="array" ref="I164">_xlfn.IFS(
   AND(F164&gt;=0,9, G164&gt;=85), "Excelente",
   AND(F164&gt;=0,8, G164&gt;=70), "Bueno",
   OR(F164&lt;0,6,  G164&lt;50),  "Alerta",
   TRUE,           "Revisar")</f>
        <v>Alerta</v>
      </c>
      <c r="J164" s="28">
        <f t="shared" si="2"/>
        <v>0</v>
      </c>
    </row>
    <row r="165" spans="1:10" ht="18" customHeight="1" x14ac:dyDescent="0.3">
      <c r="A165" s="25" t="s">
        <v>379</v>
      </c>
      <c r="B165" s="8" t="s">
        <v>380</v>
      </c>
      <c r="C165" s="25" t="s">
        <v>63</v>
      </c>
      <c r="D165" s="25" t="s">
        <v>78</v>
      </c>
      <c r="E165" s="9">
        <v>6800000</v>
      </c>
      <c r="F165" s="26">
        <v>0.68</v>
      </c>
      <c r="G165" s="25">
        <v>62</v>
      </c>
      <c r="H165" s="27">
        <v>7.5</v>
      </c>
      <c r="I165" s="24" t="str" cm="1">
        <f t="array" ref="I165">_xlfn.IFS(
   AND(F165&gt;=0,9, G165&gt;=85), "Excelente",
   AND(F165&gt;=0,8, G165&gt;=70), "Bueno",
   OR(F165&lt;0,6,  G165&lt;50),  "Alerta",
   TRUE,           "Revisar")</f>
        <v>Alerta</v>
      </c>
      <c r="J165" s="28">
        <f t="shared" si="2"/>
        <v>0</v>
      </c>
    </row>
    <row r="166" spans="1:10" ht="18" customHeight="1" x14ac:dyDescent="0.3">
      <c r="A166" s="18" t="s">
        <v>381</v>
      </c>
      <c r="B166" s="5" t="s">
        <v>382</v>
      </c>
      <c r="C166" s="18" t="s">
        <v>77</v>
      </c>
      <c r="D166" s="18" t="s">
        <v>78</v>
      </c>
      <c r="E166" s="6">
        <v>3900000</v>
      </c>
      <c r="F166" s="19">
        <v>0.91</v>
      </c>
      <c r="G166" s="18">
        <v>41</v>
      </c>
      <c r="H166" s="20">
        <v>8.6</v>
      </c>
      <c r="I166" s="24" t="str" cm="1">
        <f t="array" ref="I166">_xlfn.IFS(
   AND(F166&gt;=0,9, G166&gt;=85), "Excelente",
   AND(F166&gt;=0,8, G166&gt;=70), "Bueno",
   OR(F166&lt;0,6,  G166&lt;50),  "Alerta",
   TRUE,           "Revisar")</f>
        <v>Alerta</v>
      </c>
      <c r="J166" s="28">
        <f t="shared" si="2"/>
        <v>0</v>
      </c>
    </row>
    <row r="167" spans="1:10" ht="18" customHeight="1" x14ac:dyDescent="0.3">
      <c r="A167" s="25" t="s">
        <v>383</v>
      </c>
      <c r="B167" s="8" t="s">
        <v>384</v>
      </c>
      <c r="C167" s="25" t="s">
        <v>71</v>
      </c>
      <c r="D167" s="25" t="s">
        <v>64</v>
      </c>
      <c r="E167" s="9">
        <v>10300000</v>
      </c>
      <c r="F167" s="26">
        <v>0.98</v>
      </c>
      <c r="G167" s="25">
        <v>72</v>
      </c>
      <c r="H167" s="27">
        <v>13.4</v>
      </c>
      <c r="I167" s="24" t="str" cm="1">
        <f t="array" ref="I167">_xlfn.IFS(
   AND(F167&gt;=0,9, G167&gt;=85), "Excelente",
   AND(F167&gt;=0,8, G167&gt;=70), "Bueno",
   OR(F167&lt;0,6,  G167&lt;50),  "Alerta",
   TRUE,           "Revisar")</f>
        <v>Bueno</v>
      </c>
      <c r="J167" s="28">
        <f t="shared" si="2"/>
        <v>1030000</v>
      </c>
    </row>
    <row r="168" spans="1:10" ht="18" customHeight="1" x14ac:dyDescent="0.3">
      <c r="A168" s="18" t="s">
        <v>385</v>
      </c>
      <c r="B168" s="5" t="s">
        <v>386</v>
      </c>
      <c r="C168" s="18" t="s">
        <v>63</v>
      </c>
      <c r="D168" s="18" t="s">
        <v>64</v>
      </c>
      <c r="E168" s="6">
        <v>6400000</v>
      </c>
      <c r="F168" s="19">
        <v>0.78</v>
      </c>
      <c r="G168" s="18">
        <v>75</v>
      </c>
      <c r="H168" s="20">
        <v>2.1</v>
      </c>
      <c r="I168" s="24" t="str" cm="1">
        <f t="array" ref="I168">_xlfn.IFS(
   AND(F168&gt;=0,9, G168&gt;=85), "Excelente",
   AND(F168&gt;=0,8, G168&gt;=70), "Bueno",
   OR(F168&lt;0,6,  G168&lt;50),  "Alerta",
   TRUE,           "Revisar")</f>
        <v>Bueno</v>
      </c>
      <c r="J168" s="28">
        <f t="shared" si="2"/>
        <v>640000</v>
      </c>
    </row>
    <row r="169" spans="1:10" ht="18" customHeight="1" x14ac:dyDescent="0.3">
      <c r="A169" s="25" t="s">
        <v>387</v>
      </c>
      <c r="B169" s="8" t="s">
        <v>388</v>
      </c>
      <c r="C169" s="25" t="s">
        <v>71</v>
      </c>
      <c r="D169" s="25" t="s">
        <v>105</v>
      </c>
      <c r="E169" s="9">
        <v>5600000</v>
      </c>
      <c r="F169" s="26">
        <v>0.92</v>
      </c>
      <c r="G169" s="25">
        <v>74</v>
      </c>
      <c r="H169" s="27">
        <v>16.899999999999999</v>
      </c>
      <c r="I169" s="24" t="str" cm="1">
        <f t="array" ref="I169">_xlfn.IFS(
   AND(F169&gt;=0,9, G169&gt;=85), "Excelente",
   AND(F169&gt;=0,8, G169&gt;=70), "Bueno",
   OR(F169&lt;0,6,  G169&lt;50),  "Alerta",
   TRUE,           "Revisar")</f>
        <v>Bueno</v>
      </c>
      <c r="J169" s="28">
        <f t="shared" si="2"/>
        <v>560000</v>
      </c>
    </row>
    <row r="170" spans="1:10" ht="18" customHeight="1" x14ac:dyDescent="0.3">
      <c r="A170" s="18" t="s">
        <v>389</v>
      </c>
      <c r="B170" s="5" t="s">
        <v>390</v>
      </c>
      <c r="C170" s="18" t="s">
        <v>59</v>
      </c>
      <c r="D170" s="18" t="s">
        <v>60</v>
      </c>
      <c r="E170" s="6">
        <v>8200000</v>
      </c>
      <c r="F170" s="19">
        <v>0.91</v>
      </c>
      <c r="G170" s="18">
        <v>33</v>
      </c>
      <c r="H170" s="20">
        <v>12.2</v>
      </c>
      <c r="I170" s="24" t="str" cm="1">
        <f t="array" ref="I170">_xlfn.IFS(
   AND(F170&gt;=0,9, G170&gt;=85), "Excelente",
   AND(F170&gt;=0,8, G170&gt;=70), "Bueno",
   OR(F170&lt;0,6,  G170&lt;50),  "Alerta",
   TRUE,           "Revisar")</f>
        <v>Alerta</v>
      </c>
      <c r="J170" s="28">
        <f t="shared" si="2"/>
        <v>0</v>
      </c>
    </row>
    <row r="171" spans="1:10" ht="18" customHeight="1" x14ac:dyDescent="0.3">
      <c r="A171" s="25" t="s">
        <v>391</v>
      </c>
      <c r="B171" s="8" t="s">
        <v>392</v>
      </c>
      <c r="C171" s="25" t="s">
        <v>71</v>
      </c>
      <c r="D171" s="25" t="s">
        <v>88</v>
      </c>
      <c r="E171" s="9">
        <v>11700000</v>
      </c>
      <c r="F171" s="26">
        <v>0.87</v>
      </c>
      <c r="G171" s="25">
        <v>73</v>
      </c>
      <c r="H171" s="27">
        <v>7</v>
      </c>
      <c r="I171" s="24" t="str" cm="1">
        <f t="array" ref="I171">_xlfn.IFS(
   AND(F171&gt;=0,9, G171&gt;=85), "Excelente",
   AND(F171&gt;=0,8, G171&gt;=70), "Bueno",
   OR(F171&lt;0,6,  G171&lt;50),  "Alerta",
   TRUE,           "Revisar")</f>
        <v>Bueno</v>
      </c>
      <c r="J171" s="28">
        <f t="shared" si="2"/>
        <v>1170000</v>
      </c>
    </row>
    <row r="172" spans="1:10" ht="18" customHeight="1" x14ac:dyDescent="0.3">
      <c r="A172" s="18" t="s">
        <v>393</v>
      </c>
      <c r="B172" s="5" t="s">
        <v>394</v>
      </c>
      <c r="C172" s="18" t="s">
        <v>71</v>
      </c>
      <c r="D172" s="18" t="s">
        <v>68</v>
      </c>
      <c r="E172" s="6">
        <v>3600000</v>
      </c>
      <c r="F172" s="19">
        <v>0.53</v>
      </c>
      <c r="G172" s="18">
        <v>33</v>
      </c>
      <c r="H172" s="20">
        <v>1.8</v>
      </c>
      <c r="I172" s="24" t="str" cm="1">
        <f t="array" ref="I172">_xlfn.IFS(
   AND(F172&gt;=0,9, G172&gt;=85), "Excelente",
   AND(F172&gt;=0,8, G172&gt;=70), "Bueno",
   OR(F172&lt;0,6,  G172&lt;50),  "Alerta",
   TRUE,           "Revisar")</f>
        <v>Alerta</v>
      </c>
      <c r="J172" s="28">
        <f t="shared" si="2"/>
        <v>0</v>
      </c>
    </row>
    <row r="173" spans="1:10" ht="18" customHeight="1" x14ac:dyDescent="0.3">
      <c r="A173" s="25" t="s">
        <v>395</v>
      </c>
      <c r="B173" s="8" t="s">
        <v>396</v>
      </c>
      <c r="C173" s="25" t="s">
        <v>63</v>
      </c>
      <c r="D173" s="25" t="s">
        <v>68</v>
      </c>
      <c r="E173" s="9">
        <v>8600000</v>
      </c>
      <c r="F173" s="26">
        <v>0.64</v>
      </c>
      <c r="G173" s="25">
        <v>77</v>
      </c>
      <c r="H173" s="27">
        <v>6.2</v>
      </c>
      <c r="I173" s="24" t="str" cm="1">
        <f t="array" ref="I173">_xlfn.IFS(
   AND(F173&gt;=0,9, G173&gt;=85), "Excelente",
   AND(F173&gt;=0,8, G173&gt;=70), "Bueno",
   OR(F173&lt;0,6,  G173&lt;50),  "Alerta",
   TRUE,           "Revisar")</f>
        <v>Bueno</v>
      </c>
      <c r="J173" s="28">
        <f t="shared" si="2"/>
        <v>860000</v>
      </c>
    </row>
    <row r="174" spans="1:10" ht="18" customHeight="1" x14ac:dyDescent="0.3">
      <c r="A174" s="18" t="s">
        <v>397</v>
      </c>
      <c r="B174" s="5" t="s">
        <v>398</v>
      </c>
      <c r="C174" s="18" t="s">
        <v>74</v>
      </c>
      <c r="D174" s="18" t="s">
        <v>64</v>
      </c>
      <c r="E174" s="6">
        <v>4700000</v>
      </c>
      <c r="F174" s="19">
        <v>0.54</v>
      </c>
      <c r="G174" s="18">
        <v>36</v>
      </c>
      <c r="H174" s="20">
        <v>13.5</v>
      </c>
      <c r="I174" s="24" t="str" cm="1">
        <f t="array" ref="I174">_xlfn.IFS(
   AND(F174&gt;=0,9, G174&gt;=85), "Excelente",
   AND(F174&gt;=0,8, G174&gt;=70), "Bueno",
   OR(F174&lt;0,6,  G174&lt;50),  "Alerta",
   TRUE,           "Revisar")</f>
        <v>Alerta</v>
      </c>
      <c r="J174" s="28">
        <f t="shared" si="2"/>
        <v>0</v>
      </c>
    </row>
    <row r="175" spans="1:10" ht="18" customHeight="1" x14ac:dyDescent="0.3">
      <c r="A175" s="25" t="s">
        <v>399</v>
      </c>
      <c r="B175" s="8" t="s">
        <v>400</v>
      </c>
      <c r="C175" s="25" t="s">
        <v>63</v>
      </c>
      <c r="D175" s="25" t="s">
        <v>105</v>
      </c>
      <c r="E175" s="9">
        <v>10500000</v>
      </c>
      <c r="F175" s="26">
        <v>0.69</v>
      </c>
      <c r="G175" s="25">
        <v>64</v>
      </c>
      <c r="H175" s="27">
        <v>4.3</v>
      </c>
      <c r="I175" s="24" t="str" cm="1">
        <f t="array" ref="I175">_xlfn.IFS(
   AND(F175&gt;=0,9, G175&gt;=85), "Excelente",
   AND(F175&gt;=0,8, G175&gt;=70), "Bueno",
   OR(F175&lt;0,6,  G175&lt;50),  "Alerta",
   TRUE,           "Revisar")</f>
        <v>Alerta</v>
      </c>
      <c r="J175" s="28">
        <f t="shared" si="2"/>
        <v>0</v>
      </c>
    </row>
    <row r="176" spans="1:10" ht="18" customHeight="1" x14ac:dyDescent="0.3">
      <c r="A176" s="18" t="s">
        <v>401</v>
      </c>
      <c r="B176" s="5" t="s">
        <v>402</v>
      </c>
      <c r="C176" s="18" t="s">
        <v>74</v>
      </c>
      <c r="D176" s="18" t="s">
        <v>88</v>
      </c>
      <c r="E176" s="6">
        <v>11400000</v>
      </c>
      <c r="F176" s="19">
        <v>0.82</v>
      </c>
      <c r="G176" s="18">
        <v>92</v>
      </c>
      <c r="H176" s="20">
        <v>10.5</v>
      </c>
      <c r="I176" s="24" t="str" cm="1">
        <f t="array" ref="I176">_xlfn.IFS(
   AND(F176&gt;=0,9, G176&gt;=85), "Excelente",
   AND(F176&gt;=0,8, G176&gt;=70), "Bueno",
   OR(F176&lt;0,6,  G176&lt;50),  "Alerta",
   TRUE,           "Revisar")</f>
        <v>Excelente</v>
      </c>
      <c r="J176" s="28">
        <f t="shared" si="2"/>
        <v>1140000</v>
      </c>
    </row>
    <row r="177" spans="1:10" ht="18" customHeight="1" x14ac:dyDescent="0.3">
      <c r="A177" s="25" t="s">
        <v>403</v>
      </c>
      <c r="B177" s="8" t="s">
        <v>404</v>
      </c>
      <c r="C177" s="25" t="s">
        <v>67</v>
      </c>
      <c r="D177" s="25" t="s">
        <v>68</v>
      </c>
      <c r="E177" s="9">
        <v>10400000</v>
      </c>
      <c r="F177" s="26">
        <v>0.48</v>
      </c>
      <c r="G177" s="25">
        <v>56</v>
      </c>
      <c r="H177" s="27">
        <v>6</v>
      </c>
      <c r="I177" s="24" t="str" cm="1">
        <f t="array" ref="I177">_xlfn.IFS(
   AND(F177&gt;=0,9, G177&gt;=85), "Excelente",
   AND(F177&gt;=0,8, G177&gt;=70), "Bueno",
   OR(F177&lt;0,6,  G177&lt;50),  "Alerta",
   TRUE,           "Revisar")</f>
        <v>Alerta</v>
      </c>
      <c r="J177" s="28">
        <f t="shared" si="2"/>
        <v>0</v>
      </c>
    </row>
    <row r="178" spans="1:10" ht="18" customHeight="1" x14ac:dyDescent="0.3">
      <c r="A178" s="18" t="s">
        <v>405</v>
      </c>
      <c r="B178" s="5" t="s">
        <v>406</v>
      </c>
      <c r="C178" s="18" t="s">
        <v>71</v>
      </c>
      <c r="D178" s="18" t="s">
        <v>88</v>
      </c>
      <c r="E178" s="6">
        <v>6500000</v>
      </c>
      <c r="F178" s="19">
        <v>0.63</v>
      </c>
      <c r="G178" s="18">
        <v>30</v>
      </c>
      <c r="H178" s="20">
        <v>9.9</v>
      </c>
      <c r="I178" s="24" t="str" cm="1">
        <f t="array" ref="I178">_xlfn.IFS(
   AND(F178&gt;=0,9, G178&gt;=85), "Excelente",
   AND(F178&gt;=0,8, G178&gt;=70), "Bueno",
   OR(F178&lt;0,6,  G178&lt;50),  "Alerta",
   TRUE,           "Revisar")</f>
        <v>Alerta</v>
      </c>
      <c r="J178" s="28">
        <f t="shared" si="2"/>
        <v>0</v>
      </c>
    </row>
    <row r="179" spans="1:10" ht="18" customHeight="1" x14ac:dyDescent="0.3">
      <c r="A179" s="25" t="s">
        <v>407</v>
      </c>
      <c r="B179" s="8" t="s">
        <v>408</v>
      </c>
      <c r="C179" s="25" t="s">
        <v>67</v>
      </c>
      <c r="D179" s="25" t="s">
        <v>92</v>
      </c>
      <c r="E179" s="9">
        <v>3700000</v>
      </c>
      <c r="F179" s="26">
        <v>0.67</v>
      </c>
      <c r="G179" s="25">
        <v>35</v>
      </c>
      <c r="H179" s="27">
        <v>8.6999999999999993</v>
      </c>
      <c r="I179" s="24" t="str" cm="1">
        <f t="array" ref="I179">_xlfn.IFS(
   AND(F179&gt;=0,9, G179&gt;=85), "Excelente",
   AND(F179&gt;=0,8, G179&gt;=70), "Bueno",
   OR(F179&lt;0,6,  G179&lt;50),  "Alerta",
   TRUE,           "Revisar")</f>
        <v>Alerta</v>
      </c>
      <c r="J179" s="28">
        <f t="shared" si="2"/>
        <v>0</v>
      </c>
    </row>
    <row r="180" spans="1:10" ht="18" customHeight="1" x14ac:dyDescent="0.3">
      <c r="A180" s="18" t="s">
        <v>409</v>
      </c>
      <c r="B180" s="5" t="s">
        <v>410</v>
      </c>
      <c r="C180" s="18" t="s">
        <v>81</v>
      </c>
      <c r="D180" s="18" t="s">
        <v>68</v>
      </c>
      <c r="E180" s="6">
        <v>10100000</v>
      </c>
      <c r="F180" s="19">
        <v>0.67</v>
      </c>
      <c r="G180" s="18">
        <v>83</v>
      </c>
      <c r="H180" s="20">
        <v>5.8</v>
      </c>
      <c r="I180" s="24" t="str" cm="1">
        <f t="array" ref="I180">_xlfn.IFS(
   AND(F180&gt;=0,9, G180&gt;=85), "Excelente",
   AND(F180&gt;=0,8, G180&gt;=70), "Bueno",
   OR(F180&lt;0,6,  G180&lt;50),  "Alerta",
   TRUE,           "Revisar")</f>
        <v>Bueno</v>
      </c>
      <c r="J180" s="28">
        <f t="shared" si="2"/>
        <v>1010000</v>
      </c>
    </row>
    <row r="181" spans="1:10" ht="18" customHeight="1" x14ac:dyDescent="0.3">
      <c r="A181" s="25" t="s">
        <v>411</v>
      </c>
      <c r="B181" s="8" t="s">
        <v>412</v>
      </c>
      <c r="C181" s="25" t="s">
        <v>81</v>
      </c>
      <c r="D181" s="25" t="s">
        <v>114</v>
      </c>
      <c r="E181" s="9">
        <v>10700000</v>
      </c>
      <c r="F181" s="26">
        <v>0.7</v>
      </c>
      <c r="G181" s="25">
        <v>76</v>
      </c>
      <c r="H181" s="27">
        <v>1.8</v>
      </c>
      <c r="I181" s="24" t="str" cm="1">
        <f t="array" ref="I181">_xlfn.IFS(
   AND(F181&gt;=0,9, G181&gt;=85), "Excelente",
   AND(F181&gt;=0,8, G181&gt;=70), "Bueno",
   OR(F181&lt;0,6,  G181&lt;50),  "Alerta",
   TRUE,           "Revisar")</f>
        <v>Bueno</v>
      </c>
      <c r="J181" s="28">
        <f t="shared" si="2"/>
        <v>1070000</v>
      </c>
    </row>
    <row r="182" spans="1:10" ht="18" customHeight="1" x14ac:dyDescent="0.3">
      <c r="A182" s="18" t="s">
        <v>413</v>
      </c>
      <c r="B182" s="5" t="s">
        <v>414</v>
      </c>
      <c r="C182" s="18" t="s">
        <v>63</v>
      </c>
      <c r="D182" s="18" t="s">
        <v>68</v>
      </c>
      <c r="E182" s="6">
        <v>9500000</v>
      </c>
      <c r="F182" s="19">
        <v>0.49</v>
      </c>
      <c r="G182" s="18">
        <v>69</v>
      </c>
      <c r="H182" s="20">
        <v>14.9</v>
      </c>
      <c r="I182" s="24" t="str" cm="1">
        <f t="array" ref="I182">_xlfn.IFS(
   AND(F182&gt;=0,9, G182&gt;=85), "Excelente",
   AND(F182&gt;=0,8, G182&gt;=70), "Bueno",
   OR(F182&lt;0,6,  G182&lt;50),  "Alerta",
   TRUE,           "Revisar")</f>
        <v>Alerta</v>
      </c>
      <c r="J182" s="28">
        <f t="shared" si="2"/>
        <v>0</v>
      </c>
    </row>
    <row r="183" spans="1:10" ht="18" customHeight="1" x14ac:dyDescent="0.3">
      <c r="A183" s="25" t="s">
        <v>415</v>
      </c>
      <c r="B183" s="8" t="s">
        <v>416</v>
      </c>
      <c r="C183" s="25" t="s">
        <v>71</v>
      </c>
      <c r="D183" s="25" t="s">
        <v>78</v>
      </c>
      <c r="E183" s="9">
        <v>9300000</v>
      </c>
      <c r="F183" s="26">
        <v>0.8</v>
      </c>
      <c r="G183" s="25">
        <v>97</v>
      </c>
      <c r="H183" s="27">
        <v>10.199999999999999</v>
      </c>
      <c r="I183" s="24" t="str" cm="1">
        <f t="array" ref="I183">_xlfn.IFS(
   AND(F183&gt;=0,9, G183&gt;=85), "Excelente",
   AND(F183&gt;=0,8, G183&gt;=70), "Bueno",
   OR(F183&lt;0,6,  G183&lt;50),  "Alerta",
   TRUE,           "Revisar")</f>
        <v>Excelente</v>
      </c>
      <c r="J183" s="28">
        <f t="shared" si="2"/>
        <v>930000</v>
      </c>
    </row>
    <row r="184" spans="1:10" ht="18" customHeight="1" x14ac:dyDescent="0.3">
      <c r="A184" s="18" t="s">
        <v>417</v>
      </c>
      <c r="B184" s="5" t="s">
        <v>418</v>
      </c>
      <c r="C184" s="18" t="s">
        <v>71</v>
      </c>
      <c r="D184" s="18" t="s">
        <v>60</v>
      </c>
      <c r="E184" s="6">
        <v>4100000</v>
      </c>
      <c r="F184" s="19">
        <v>0.53</v>
      </c>
      <c r="G184" s="18">
        <v>55</v>
      </c>
      <c r="H184" s="20">
        <v>3.5</v>
      </c>
      <c r="I184" s="24" t="str" cm="1">
        <f t="array" ref="I184">_xlfn.IFS(
   AND(F184&gt;=0,9, G184&gt;=85), "Excelente",
   AND(F184&gt;=0,8, G184&gt;=70), "Bueno",
   OR(F184&lt;0,6,  G184&lt;50),  "Alerta",
   TRUE,           "Revisar")</f>
        <v>Alerta</v>
      </c>
      <c r="J184" s="28">
        <f t="shared" si="2"/>
        <v>0</v>
      </c>
    </row>
    <row r="185" spans="1:10" ht="18" customHeight="1" x14ac:dyDescent="0.3">
      <c r="A185" s="25" t="s">
        <v>419</v>
      </c>
      <c r="B185" s="8" t="s">
        <v>420</v>
      </c>
      <c r="C185" s="25" t="s">
        <v>74</v>
      </c>
      <c r="D185" s="25" t="s">
        <v>114</v>
      </c>
      <c r="E185" s="9">
        <v>10800000</v>
      </c>
      <c r="F185" s="26">
        <v>0.72</v>
      </c>
      <c r="G185" s="25">
        <v>87</v>
      </c>
      <c r="H185" s="27">
        <v>13.6</v>
      </c>
      <c r="I185" s="24" t="str" cm="1">
        <f t="array" ref="I185">_xlfn.IFS(
   AND(F185&gt;=0,9, G185&gt;=85), "Excelente",
   AND(F185&gt;=0,8, G185&gt;=70), "Bueno",
   OR(F185&lt;0,6,  G185&lt;50),  "Alerta",
   TRUE,           "Revisar")</f>
        <v>Excelente</v>
      </c>
      <c r="J185" s="28">
        <f t="shared" si="2"/>
        <v>1080000</v>
      </c>
    </row>
    <row r="186" spans="1:10" ht="18" customHeight="1" x14ac:dyDescent="0.3">
      <c r="A186" s="18" t="s">
        <v>421</v>
      </c>
      <c r="B186" s="5" t="s">
        <v>422</v>
      </c>
      <c r="C186" s="18" t="s">
        <v>81</v>
      </c>
      <c r="D186" s="18" t="s">
        <v>92</v>
      </c>
      <c r="E186" s="6">
        <v>4700000</v>
      </c>
      <c r="F186" s="19">
        <v>0.69</v>
      </c>
      <c r="G186" s="18">
        <v>90</v>
      </c>
      <c r="H186" s="20">
        <v>8.8000000000000007</v>
      </c>
      <c r="I186" s="24" t="str" cm="1">
        <f t="array" ref="I186">_xlfn.IFS(
   AND(F186&gt;=0,9, G186&gt;=85), "Excelente",
   AND(F186&gt;=0,8, G186&gt;=70), "Bueno",
   OR(F186&lt;0,6,  G186&lt;50),  "Alerta",
   TRUE,           "Revisar")</f>
        <v>Excelente</v>
      </c>
      <c r="J186" s="28">
        <f t="shared" si="2"/>
        <v>470000</v>
      </c>
    </row>
    <row r="187" spans="1:10" ht="18" customHeight="1" x14ac:dyDescent="0.3">
      <c r="A187" s="25" t="s">
        <v>423</v>
      </c>
      <c r="B187" s="8" t="s">
        <v>424</v>
      </c>
      <c r="C187" s="25" t="s">
        <v>59</v>
      </c>
      <c r="D187" s="25" t="s">
        <v>64</v>
      </c>
      <c r="E187" s="9">
        <v>7300000</v>
      </c>
      <c r="F187" s="26">
        <v>0.73</v>
      </c>
      <c r="G187" s="25">
        <v>69</v>
      </c>
      <c r="H187" s="27">
        <v>9.1999999999999993</v>
      </c>
      <c r="I187" s="24" t="str" cm="1">
        <f t="array" ref="I187">_xlfn.IFS(
   AND(F187&gt;=0,9, G187&gt;=85), "Excelente",
   AND(F187&gt;=0,8, G187&gt;=70), "Bueno",
   OR(F187&lt;0,6,  G187&lt;50),  "Alerta",
   TRUE,           "Revisar")</f>
        <v>Alerta</v>
      </c>
      <c r="J187" s="28">
        <f t="shared" si="2"/>
        <v>0</v>
      </c>
    </row>
    <row r="188" spans="1:10" ht="18" customHeight="1" x14ac:dyDescent="0.3">
      <c r="A188" s="18" t="s">
        <v>425</v>
      </c>
      <c r="B188" s="5" t="s">
        <v>426</v>
      </c>
      <c r="C188" s="18" t="s">
        <v>81</v>
      </c>
      <c r="D188" s="18" t="s">
        <v>88</v>
      </c>
      <c r="E188" s="6">
        <v>3700000</v>
      </c>
      <c r="F188" s="19">
        <v>0.8</v>
      </c>
      <c r="G188" s="18">
        <v>41</v>
      </c>
      <c r="H188" s="20">
        <v>12.3</v>
      </c>
      <c r="I188" s="24" t="str" cm="1">
        <f t="array" ref="I188">_xlfn.IFS(
   AND(F188&gt;=0,9, G188&gt;=85), "Excelente",
   AND(F188&gt;=0,8, G188&gt;=70), "Bueno",
   OR(F188&lt;0,6,  G188&lt;50),  "Alerta",
   TRUE,           "Revisar")</f>
        <v>Alerta</v>
      </c>
      <c r="J188" s="28">
        <f t="shared" si="2"/>
        <v>0</v>
      </c>
    </row>
    <row r="189" spans="1:10" ht="18" customHeight="1" x14ac:dyDescent="0.3">
      <c r="A189" s="25" t="s">
        <v>427</v>
      </c>
      <c r="B189" s="8" t="s">
        <v>428</v>
      </c>
      <c r="C189" s="25" t="s">
        <v>77</v>
      </c>
      <c r="D189" s="25" t="s">
        <v>64</v>
      </c>
      <c r="E189" s="9">
        <v>8500000</v>
      </c>
      <c r="F189" s="26">
        <v>0.95</v>
      </c>
      <c r="G189" s="25">
        <v>54</v>
      </c>
      <c r="H189" s="27">
        <v>6.4</v>
      </c>
      <c r="I189" s="24" t="str" cm="1">
        <f t="array" ref="I189">_xlfn.IFS(
   AND(F189&gt;=0,9, G189&gt;=85), "Excelente",
   AND(F189&gt;=0,8, G189&gt;=70), "Bueno",
   OR(F189&lt;0,6,  G189&lt;50),  "Alerta",
   TRUE,           "Revisar")</f>
        <v>Alerta</v>
      </c>
      <c r="J189" s="28">
        <f t="shared" si="2"/>
        <v>0</v>
      </c>
    </row>
    <row r="190" spans="1:10" ht="18" customHeight="1" x14ac:dyDescent="0.3">
      <c r="A190" s="18" t="s">
        <v>429</v>
      </c>
      <c r="B190" s="5" t="s">
        <v>430</v>
      </c>
      <c r="C190" s="18" t="s">
        <v>71</v>
      </c>
      <c r="D190" s="18" t="s">
        <v>64</v>
      </c>
      <c r="E190" s="6">
        <v>8500000</v>
      </c>
      <c r="F190" s="19">
        <v>0.51</v>
      </c>
      <c r="G190" s="18">
        <v>73</v>
      </c>
      <c r="H190" s="20">
        <v>19.600000000000001</v>
      </c>
      <c r="I190" s="24" t="str" cm="1">
        <f t="array" ref="I190">_xlfn.IFS(
   AND(F190&gt;=0,9, G190&gt;=85), "Excelente",
   AND(F190&gt;=0,8, G190&gt;=70), "Bueno",
   OR(F190&lt;0,6,  G190&lt;50),  "Alerta",
   TRUE,           "Revisar")</f>
        <v>Bueno</v>
      </c>
      <c r="J190" s="28">
        <f t="shared" si="2"/>
        <v>850000</v>
      </c>
    </row>
    <row r="191" spans="1:10" ht="18" customHeight="1" x14ac:dyDescent="0.3">
      <c r="A191" s="25" t="s">
        <v>431</v>
      </c>
      <c r="B191" s="8" t="s">
        <v>432</v>
      </c>
      <c r="C191" s="25" t="s">
        <v>71</v>
      </c>
      <c r="D191" s="25" t="s">
        <v>64</v>
      </c>
      <c r="E191" s="9">
        <v>5900000</v>
      </c>
      <c r="F191" s="26">
        <v>0.84</v>
      </c>
      <c r="G191" s="25">
        <v>86</v>
      </c>
      <c r="H191" s="27">
        <v>10.5</v>
      </c>
      <c r="I191" s="24" t="str" cm="1">
        <f t="array" ref="I191">_xlfn.IFS(
   AND(F191&gt;=0,9, G191&gt;=85), "Excelente",
   AND(F191&gt;=0,8, G191&gt;=70), "Bueno",
   OR(F191&lt;0,6,  G191&lt;50),  "Alerta",
   TRUE,           "Revisar")</f>
        <v>Excelente</v>
      </c>
      <c r="J191" s="28">
        <f t="shared" si="2"/>
        <v>590000</v>
      </c>
    </row>
    <row r="192" spans="1:10" ht="18" customHeight="1" x14ac:dyDescent="0.3">
      <c r="A192" s="18" t="s">
        <v>433</v>
      </c>
      <c r="B192" s="5" t="s">
        <v>434</v>
      </c>
      <c r="C192" s="18" t="s">
        <v>81</v>
      </c>
      <c r="D192" s="18" t="s">
        <v>92</v>
      </c>
      <c r="E192" s="6">
        <v>6400000</v>
      </c>
      <c r="F192" s="19">
        <v>0.66</v>
      </c>
      <c r="G192" s="18">
        <v>73</v>
      </c>
      <c r="H192" s="20">
        <v>13.6</v>
      </c>
      <c r="I192" s="24" t="str" cm="1">
        <f t="array" ref="I192">_xlfn.IFS(
   AND(F192&gt;=0,9, G192&gt;=85), "Excelente",
   AND(F192&gt;=0,8, G192&gt;=70), "Bueno",
   OR(F192&lt;0,6,  G192&lt;50),  "Alerta",
   TRUE,           "Revisar")</f>
        <v>Bueno</v>
      </c>
      <c r="J192" s="28">
        <f t="shared" si="2"/>
        <v>640000</v>
      </c>
    </row>
    <row r="193" spans="1:10" ht="18" customHeight="1" x14ac:dyDescent="0.3">
      <c r="A193" s="25" t="s">
        <v>435</v>
      </c>
      <c r="B193" s="8" t="s">
        <v>436</v>
      </c>
      <c r="C193" s="25" t="s">
        <v>81</v>
      </c>
      <c r="D193" s="25" t="s">
        <v>78</v>
      </c>
      <c r="E193" s="9">
        <v>7000000</v>
      </c>
      <c r="F193" s="26">
        <v>0.5</v>
      </c>
      <c r="G193" s="25">
        <v>79</v>
      </c>
      <c r="H193" s="27">
        <v>5.7</v>
      </c>
      <c r="I193" s="24" t="str" cm="1">
        <f t="array" ref="I193">_xlfn.IFS(
   AND(F193&gt;=0,9, G193&gt;=85), "Excelente",
   AND(F193&gt;=0,8, G193&gt;=70), "Bueno",
   OR(F193&lt;0,6,  G193&lt;50),  "Alerta",
   TRUE,           "Revisar")</f>
        <v>Bueno</v>
      </c>
      <c r="J193" s="28">
        <f t="shared" si="2"/>
        <v>700000</v>
      </c>
    </row>
    <row r="194" spans="1:10" ht="18" customHeight="1" x14ac:dyDescent="0.3">
      <c r="A194" s="18" t="s">
        <v>437</v>
      </c>
      <c r="B194" s="5" t="s">
        <v>438</v>
      </c>
      <c r="C194" s="18" t="s">
        <v>71</v>
      </c>
      <c r="D194" s="18" t="s">
        <v>92</v>
      </c>
      <c r="E194" s="6">
        <v>3800000</v>
      </c>
      <c r="F194" s="19">
        <v>0.77</v>
      </c>
      <c r="G194" s="18">
        <v>48</v>
      </c>
      <c r="H194" s="20">
        <v>18.3</v>
      </c>
      <c r="I194" s="24" t="str" cm="1">
        <f t="array" ref="I194">_xlfn.IFS(
   AND(F194&gt;=0,9, G194&gt;=85), "Excelente",
   AND(F194&gt;=0,8, G194&gt;=70), "Bueno",
   OR(F194&lt;0,6,  G194&lt;50),  "Alerta",
   TRUE,           "Revisar")</f>
        <v>Alerta</v>
      </c>
      <c r="J194" s="28">
        <f t="shared" si="2"/>
        <v>0</v>
      </c>
    </row>
    <row r="195" spans="1:10" ht="18" customHeight="1" x14ac:dyDescent="0.3">
      <c r="A195" s="25" t="s">
        <v>439</v>
      </c>
      <c r="B195" s="8" t="s">
        <v>440</v>
      </c>
      <c r="C195" s="25" t="s">
        <v>63</v>
      </c>
      <c r="D195" s="25" t="s">
        <v>114</v>
      </c>
      <c r="E195" s="9">
        <v>10400000</v>
      </c>
      <c r="F195" s="26">
        <v>0.84</v>
      </c>
      <c r="G195" s="25">
        <v>40</v>
      </c>
      <c r="H195" s="27">
        <v>6.2</v>
      </c>
      <c r="I195" s="24" t="str" cm="1">
        <f t="array" ref="I195">_xlfn.IFS(
   AND(F195&gt;=0,9, G195&gt;=85), "Excelente",
   AND(F195&gt;=0,8, G195&gt;=70), "Bueno",
   OR(F195&lt;0,6,  G195&lt;50),  "Alerta",
   TRUE,           "Revisar")</f>
        <v>Alerta</v>
      </c>
      <c r="J195" s="28">
        <f t="shared" si="2"/>
        <v>0</v>
      </c>
    </row>
    <row r="196" spans="1:10" ht="18" customHeight="1" x14ac:dyDescent="0.3">
      <c r="A196" s="18" t="s">
        <v>441</v>
      </c>
      <c r="B196" s="5" t="s">
        <v>442</v>
      </c>
      <c r="C196" s="18" t="s">
        <v>81</v>
      </c>
      <c r="D196" s="18" t="s">
        <v>114</v>
      </c>
      <c r="E196" s="6">
        <v>11300000</v>
      </c>
      <c r="F196" s="19">
        <v>0.84</v>
      </c>
      <c r="G196" s="18">
        <v>97</v>
      </c>
      <c r="H196" s="20">
        <v>1.9</v>
      </c>
      <c r="I196" s="24" t="str" cm="1">
        <f t="array" ref="I196">_xlfn.IFS(
   AND(F196&gt;=0,9, G196&gt;=85), "Excelente",
   AND(F196&gt;=0,8, G196&gt;=70), "Bueno",
   OR(F196&lt;0,6,  G196&lt;50),  "Alerta",
   TRUE,           "Revisar")</f>
        <v>Excelente</v>
      </c>
      <c r="J196" s="28">
        <f t="shared" si="2"/>
        <v>1130000</v>
      </c>
    </row>
    <row r="197" spans="1:10" ht="18" customHeight="1" x14ac:dyDescent="0.3">
      <c r="A197" s="25" t="s">
        <v>443</v>
      </c>
      <c r="B197" s="8" t="s">
        <v>444</v>
      </c>
      <c r="C197" s="25" t="s">
        <v>81</v>
      </c>
      <c r="D197" s="25" t="s">
        <v>64</v>
      </c>
      <c r="E197" s="9">
        <v>7400000</v>
      </c>
      <c r="F197" s="26">
        <v>0.62</v>
      </c>
      <c r="G197" s="25">
        <v>57</v>
      </c>
      <c r="H197" s="27">
        <v>6.8</v>
      </c>
      <c r="I197" s="24" t="str" cm="1">
        <f t="array" ref="I197">_xlfn.IFS(
   AND(F197&gt;=0,9, G197&gt;=85), "Excelente",
   AND(F197&gt;=0,8, G197&gt;=70), "Bueno",
   OR(F197&lt;0,6,  G197&lt;50),  "Alerta",
   TRUE,           "Revisar")</f>
        <v>Alerta</v>
      </c>
      <c r="J197" s="28">
        <f t="shared" si="2"/>
        <v>0</v>
      </c>
    </row>
    <row r="198" spans="1:10" ht="18" customHeight="1" x14ac:dyDescent="0.3">
      <c r="A198" s="18" t="s">
        <v>445</v>
      </c>
      <c r="B198" s="5" t="s">
        <v>446</v>
      </c>
      <c r="C198" s="18" t="s">
        <v>67</v>
      </c>
      <c r="D198" s="18" t="s">
        <v>114</v>
      </c>
      <c r="E198" s="6">
        <v>4700000</v>
      </c>
      <c r="F198" s="19">
        <v>0.49</v>
      </c>
      <c r="G198" s="18">
        <v>42</v>
      </c>
      <c r="H198" s="20">
        <v>10.199999999999999</v>
      </c>
      <c r="I198" s="24" t="str" cm="1">
        <f t="array" ref="I198">_xlfn.IFS(
   AND(F198&gt;=0,9, G198&gt;=85), "Excelente",
   AND(F198&gt;=0,8, G198&gt;=70), "Bueno",
   OR(F198&lt;0,6,  G198&lt;50),  "Alerta",
   TRUE,           "Revisar")</f>
        <v>Alerta</v>
      </c>
      <c r="J198" s="28">
        <f t="shared" si="2"/>
        <v>0</v>
      </c>
    </row>
    <row r="199" spans="1:10" ht="18" customHeight="1" x14ac:dyDescent="0.3">
      <c r="A199" s="25" t="s">
        <v>447</v>
      </c>
      <c r="B199" s="8" t="s">
        <v>448</v>
      </c>
      <c r="C199" s="25" t="s">
        <v>91</v>
      </c>
      <c r="D199" s="25" t="s">
        <v>92</v>
      </c>
      <c r="E199" s="9">
        <v>10700000</v>
      </c>
      <c r="F199" s="26">
        <v>0.52</v>
      </c>
      <c r="G199" s="25">
        <v>78</v>
      </c>
      <c r="H199" s="27">
        <v>3.1</v>
      </c>
      <c r="I199" s="24" t="str" cm="1">
        <f t="array" ref="I199">_xlfn.IFS(
   AND(F199&gt;=0,9, G199&gt;=85), "Excelente",
   AND(F199&gt;=0,8, G199&gt;=70), "Bueno",
   OR(F199&lt;0,6,  G199&lt;50),  "Alerta",
   TRUE,           "Revisar")</f>
        <v>Bueno</v>
      </c>
      <c r="J199" s="28">
        <f t="shared" si="2"/>
        <v>1070000</v>
      </c>
    </row>
    <row r="200" spans="1:10" ht="18" customHeight="1" x14ac:dyDescent="0.3">
      <c r="A200" s="18" t="s">
        <v>449</v>
      </c>
      <c r="B200" s="5" t="s">
        <v>450</v>
      </c>
      <c r="C200" s="18" t="s">
        <v>71</v>
      </c>
      <c r="D200" s="18" t="s">
        <v>105</v>
      </c>
      <c r="E200" s="6">
        <v>3300000</v>
      </c>
      <c r="F200" s="19">
        <v>0.68</v>
      </c>
      <c r="G200" s="18">
        <v>60</v>
      </c>
      <c r="H200" s="20">
        <v>19.399999999999999</v>
      </c>
      <c r="I200" s="24" t="str" cm="1">
        <f t="array" ref="I200">_xlfn.IFS(
   AND(F200&gt;=0,9, G200&gt;=85), "Excelente",
   AND(F200&gt;=0,8, G200&gt;=70), "Bueno",
   OR(F200&lt;0,6,  G200&lt;50),  "Alerta",
   TRUE,           "Revisar")</f>
        <v>Alerta</v>
      </c>
      <c r="J200" s="28">
        <f t="shared" si="2"/>
        <v>0</v>
      </c>
    </row>
    <row r="201" spans="1:10" ht="18" customHeight="1" x14ac:dyDescent="0.3">
      <c r="A201" s="25" t="s">
        <v>451</v>
      </c>
      <c r="B201" s="8" t="s">
        <v>452</v>
      </c>
      <c r="C201" s="25" t="s">
        <v>77</v>
      </c>
      <c r="D201" s="25" t="s">
        <v>60</v>
      </c>
      <c r="E201" s="9">
        <v>9600000</v>
      </c>
      <c r="F201" s="26">
        <v>0.57999999999999996</v>
      </c>
      <c r="G201" s="25">
        <v>90</v>
      </c>
      <c r="H201" s="27">
        <v>18.100000000000001</v>
      </c>
      <c r="I201" s="24" t="str" cm="1">
        <f t="array" ref="I201">_xlfn.IFS(
   AND(F201&gt;=0,9, G201&gt;=85), "Excelente",
   AND(F201&gt;=0,8, G201&gt;=70), "Bueno",
   OR(F201&lt;0,6,  G201&lt;50),  "Alerta",
   TRUE,           "Revisar")</f>
        <v>Excelente</v>
      </c>
      <c r="J201" s="28">
        <f t="shared" si="2"/>
        <v>960000</v>
      </c>
    </row>
    <row r="202" spans="1:10" ht="18" customHeight="1" x14ac:dyDescent="0.3">
      <c r="A202" s="18" t="s">
        <v>453</v>
      </c>
      <c r="B202" s="5" t="s">
        <v>454</v>
      </c>
      <c r="C202" s="18" t="s">
        <v>77</v>
      </c>
      <c r="D202" s="18" t="s">
        <v>105</v>
      </c>
      <c r="E202" s="6">
        <v>6400000</v>
      </c>
      <c r="F202" s="19">
        <v>0.88</v>
      </c>
      <c r="G202" s="18">
        <v>94</v>
      </c>
      <c r="H202" s="20">
        <v>10.5</v>
      </c>
      <c r="I202" s="24" t="str" cm="1">
        <f t="array" ref="I202">_xlfn.IFS(
   AND(F202&gt;=0,9, G202&gt;=85), "Excelente",
   AND(F202&gt;=0,8, G202&gt;=70), "Bueno",
   OR(F202&lt;0,6,  G202&lt;50),  "Alerta",
   TRUE,           "Revisar")</f>
        <v>Excelente</v>
      </c>
      <c r="J202" s="28">
        <f t="shared" si="2"/>
        <v>640000</v>
      </c>
    </row>
    <row r="203" spans="1:10" ht="18" customHeight="1" x14ac:dyDescent="0.3">
      <c r="A203" s="25" t="s">
        <v>455</v>
      </c>
      <c r="B203" s="8" t="s">
        <v>456</v>
      </c>
      <c r="C203" s="25" t="s">
        <v>67</v>
      </c>
      <c r="D203" s="25" t="s">
        <v>114</v>
      </c>
      <c r="E203" s="9">
        <v>6000000</v>
      </c>
      <c r="F203" s="26">
        <v>0.48</v>
      </c>
      <c r="G203" s="25">
        <v>91</v>
      </c>
      <c r="H203" s="27">
        <v>17.5</v>
      </c>
      <c r="I203" s="24" t="str" cm="1">
        <f t="array" ref="I203">_xlfn.IFS(
   AND(F203&gt;=0,9, G203&gt;=85), "Excelente",
   AND(F203&gt;=0,8, G203&gt;=70), "Bueno",
   OR(F203&lt;0,6,  G203&lt;50),  "Alerta",
   TRUE,           "Revisar")</f>
        <v>Excelente</v>
      </c>
      <c r="J203" s="28">
        <f t="shared" si="2"/>
        <v>600000</v>
      </c>
    </row>
    <row r="204" spans="1:10" ht="18" customHeight="1" x14ac:dyDescent="0.3">
      <c r="A204" s="18" t="s">
        <v>457</v>
      </c>
      <c r="B204" s="5" t="s">
        <v>458</v>
      </c>
      <c r="C204" s="18" t="s">
        <v>74</v>
      </c>
      <c r="D204" s="18" t="s">
        <v>78</v>
      </c>
      <c r="E204" s="6">
        <v>6400000</v>
      </c>
      <c r="F204" s="19">
        <v>0.5</v>
      </c>
      <c r="G204" s="18">
        <v>50</v>
      </c>
      <c r="H204" s="20">
        <v>5.5</v>
      </c>
      <c r="I204" s="24" t="str" cm="1">
        <f t="array" ref="I204">_xlfn.IFS(
   AND(F204&gt;=0,9, G204&gt;=85), "Excelente",
   AND(F204&gt;=0,8, G204&gt;=70), "Bueno",
   OR(F204&lt;0,6,  G204&lt;50),  "Alerta",
   TRUE,           "Revisar")</f>
        <v>Alerta</v>
      </c>
      <c r="J204" s="28">
        <f t="shared" ref="J204:J267" si="3">IF(OR(I204="Excelente",I204="Bueno"),E204*0.1,0)</f>
        <v>0</v>
      </c>
    </row>
    <row r="205" spans="1:10" ht="18" customHeight="1" x14ac:dyDescent="0.3">
      <c r="A205" s="25" t="s">
        <v>459</v>
      </c>
      <c r="B205" s="8" t="s">
        <v>460</v>
      </c>
      <c r="C205" s="25" t="s">
        <v>63</v>
      </c>
      <c r="D205" s="25" t="s">
        <v>78</v>
      </c>
      <c r="E205" s="9">
        <v>5600000</v>
      </c>
      <c r="F205" s="26">
        <v>0.9</v>
      </c>
      <c r="G205" s="25">
        <v>74</v>
      </c>
      <c r="H205" s="27">
        <v>18.600000000000001</v>
      </c>
      <c r="I205" s="24" t="str" cm="1">
        <f t="array" ref="I205">_xlfn.IFS(
   AND(F205&gt;=0,9, G205&gt;=85), "Excelente",
   AND(F205&gt;=0,8, G205&gt;=70), "Bueno",
   OR(F205&lt;0,6,  G205&lt;50),  "Alerta",
   TRUE,           "Revisar")</f>
        <v>Bueno</v>
      </c>
      <c r="J205" s="28">
        <f t="shared" si="3"/>
        <v>560000</v>
      </c>
    </row>
    <row r="206" spans="1:10" ht="18" customHeight="1" x14ac:dyDescent="0.3">
      <c r="A206" s="18" t="s">
        <v>461</v>
      </c>
      <c r="B206" s="5" t="s">
        <v>462</v>
      </c>
      <c r="C206" s="18" t="s">
        <v>63</v>
      </c>
      <c r="D206" s="18" t="s">
        <v>92</v>
      </c>
      <c r="E206" s="6">
        <v>5800000</v>
      </c>
      <c r="F206" s="19">
        <v>0.66</v>
      </c>
      <c r="G206" s="18">
        <v>40</v>
      </c>
      <c r="H206" s="20">
        <v>7.5</v>
      </c>
      <c r="I206" s="24" t="str" cm="1">
        <f t="array" ref="I206">_xlfn.IFS(
   AND(F206&gt;=0,9, G206&gt;=85), "Excelente",
   AND(F206&gt;=0,8, G206&gt;=70), "Bueno",
   OR(F206&lt;0,6,  G206&lt;50),  "Alerta",
   TRUE,           "Revisar")</f>
        <v>Alerta</v>
      </c>
      <c r="J206" s="28">
        <f t="shared" si="3"/>
        <v>0</v>
      </c>
    </row>
    <row r="207" spans="1:10" ht="18" customHeight="1" x14ac:dyDescent="0.3">
      <c r="A207" s="25" t="s">
        <v>463</v>
      </c>
      <c r="B207" s="8" t="s">
        <v>464</v>
      </c>
      <c r="C207" s="25" t="s">
        <v>74</v>
      </c>
      <c r="D207" s="25" t="s">
        <v>92</v>
      </c>
      <c r="E207" s="9">
        <v>4600000</v>
      </c>
      <c r="F207" s="26">
        <v>0.53</v>
      </c>
      <c r="G207" s="25">
        <v>66</v>
      </c>
      <c r="H207" s="27">
        <v>18.3</v>
      </c>
      <c r="I207" s="24" t="str" cm="1">
        <f t="array" ref="I207">_xlfn.IFS(
   AND(F207&gt;=0,9, G207&gt;=85), "Excelente",
   AND(F207&gt;=0,8, G207&gt;=70), "Bueno",
   OR(F207&lt;0,6,  G207&lt;50),  "Alerta",
   TRUE,           "Revisar")</f>
        <v>Alerta</v>
      </c>
      <c r="J207" s="28">
        <f t="shared" si="3"/>
        <v>0</v>
      </c>
    </row>
    <row r="208" spans="1:10" ht="18" customHeight="1" x14ac:dyDescent="0.3">
      <c r="A208" s="18" t="s">
        <v>465</v>
      </c>
      <c r="B208" s="5" t="s">
        <v>466</v>
      </c>
      <c r="C208" s="18" t="s">
        <v>77</v>
      </c>
      <c r="D208" s="18" t="s">
        <v>105</v>
      </c>
      <c r="E208" s="6">
        <v>10600000</v>
      </c>
      <c r="F208" s="19">
        <v>0.45</v>
      </c>
      <c r="G208" s="18">
        <v>40</v>
      </c>
      <c r="H208" s="20">
        <v>0.4</v>
      </c>
      <c r="I208" s="24" t="str" cm="1">
        <f t="array" ref="I208">_xlfn.IFS(
   AND(F208&gt;=0,9, G208&gt;=85), "Excelente",
   AND(F208&gt;=0,8, G208&gt;=70), "Bueno",
   OR(F208&lt;0,6,  G208&lt;50),  "Alerta",
   TRUE,           "Revisar")</f>
        <v>Alerta</v>
      </c>
      <c r="J208" s="28">
        <f t="shared" si="3"/>
        <v>0</v>
      </c>
    </row>
    <row r="209" spans="1:10" ht="18" customHeight="1" x14ac:dyDescent="0.3">
      <c r="A209" s="25" t="s">
        <v>467</v>
      </c>
      <c r="B209" s="8" t="s">
        <v>468</v>
      </c>
      <c r="C209" s="25" t="s">
        <v>71</v>
      </c>
      <c r="D209" s="25" t="s">
        <v>68</v>
      </c>
      <c r="E209" s="9">
        <v>4200000</v>
      </c>
      <c r="F209" s="26">
        <v>0.88</v>
      </c>
      <c r="G209" s="25">
        <v>60</v>
      </c>
      <c r="H209" s="27">
        <v>6</v>
      </c>
      <c r="I209" s="24" t="str" cm="1">
        <f t="array" ref="I209">_xlfn.IFS(
   AND(F209&gt;=0,9, G209&gt;=85), "Excelente",
   AND(F209&gt;=0,8, G209&gt;=70), "Bueno",
   OR(F209&lt;0,6,  G209&lt;50),  "Alerta",
   TRUE,           "Revisar")</f>
        <v>Alerta</v>
      </c>
      <c r="J209" s="28">
        <f t="shared" si="3"/>
        <v>0</v>
      </c>
    </row>
    <row r="210" spans="1:10" ht="18" customHeight="1" x14ac:dyDescent="0.3">
      <c r="A210" s="18" t="s">
        <v>469</v>
      </c>
      <c r="B210" s="5" t="s">
        <v>470</v>
      </c>
      <c r="C210" s="18" t="s">
        <v>77</v>
      </c>
      <c r="D210" s="18" t="s">
        <v>78</v>
      </c>
      <c r="E210" s="6">
        <v>4200000</v>
      </c>
      <c r="F210" s="19">
        <v>0.91</v>
      </c>
      <c r="G210" s="18">
        <v>93</v>
      </c>
      <c r="H210" s="20">
        <v>11.9</v>
      </c>
      <c r="I210" s="24" t="str" cm="1">
        <f t="array" ref="I210">_xlfn.IFS(
   AND(F210&gt;=0,9, G210&gt;=85), "Excelente",
   AND(F210&gt;=0,8, G210&gt;=70), "Bueno",
   OR(F210&lt;0,6,  G210&lt;50),  "Alerta",
   TRUE,           "Revisar")</f>
        <v>Excelente</v>
      </c>
      <c r="J210" s="28">
        <f t="shared" si="3"/>
        <v>420000</v>
      </c>
    </row>
    <row r="211" spans="1:10" ht="18" customHeight="1" x14ac:dyDescent="0.3">
      <c r="A211" s="25" t="s">
        <v>471</v>
      </c>
      <c r="B211" s="8" t="s">
        <v>472</v>
      </c>
      <c r="C211" s="25" t="s">
        <v>67</v>
      </c>
      <c r="D211" s="25" t="s">
        <v>114</v>
      </c>
      <c r="E211" s="9">
        <v>6500000</v>
      </c>
      <c r="F211" s="26">
        <v>0.69</v>
      </c>
      <c r="G211" s="25">
        <v>75</v>
      </c>
      <c r="H211" s="27">
        <v>4.8</v>
      </c>
      <c r="I211" s="24" t="str" cm="1">
        <f t="array" ref="I211">_xlfn.IFS(
   AND(F211&gt;=0,9, G211&gt;=85), "Excelente",
   AND(F211&gt;=0,8, G211&gt;=70), "Bueno",
   OR(F211&lt;0,6,  G211&lt;50),  "Alerta",
   TRUE,           "Revisar")</f>
        <v>Bueno</v>
      </c>
      <c r="J211" s="28">
        <f t="shared" si="3"/>
        <v>650000</v>
      </c>
    </row>
    <row r="212" spans="1:10" ht="18" customHeight="1" x14ac:dyDescent="0.3">
      <c r="A212" s="18" t="s">
        <v>473</v>
      </c>
      <c r="B212" s="5" t="s">
        <v>474</v>
      </c>
      <c r="C212" s="18" t="s">
        <v>74</v>
      </c>
      <c r="D212" s="18" t="s">
        <v>92</v>
      </c>
      <c r="E212" s="6">
        <v>3600000</v>
      </c>
      <c r="F212" s="19">
        <v>0.97</v>
      </c>
      <c r="G212" s="18">
        <v>99</v>
      </c>
      <c r="H212" s="20">
        <v>10.1</v>
      </c>
      <c r="I212" s="24" t="str" cm="1">
        <f t="array" ref="I212">_xlfn.IFS(
   AND(F212&gt;=0,9, G212&gt;=85), "Excelente",
   AND(F212&gt;=0,8, G212&gt;=70), "Bueno",
   OR(F212&lt;0,6,  G212&lt;50),  "Alerta",
   TRUE,           "Revisar")</f>
        <v>Excelente</v>
      </c>
      <c r="J212" s="28">
        <f t="shared" si="3"/>
        <v>360000</v>
      </c>
    </row>
    <row r="213" spans="1:10" ht="18" customHeight="1" x14ac:dyDescent="0.3">
      <c r="A213" s="25" t="s">
        <v>475</v>
      </c>
      <c r="B213" s="8" t="s">
        <v>476</v>
      </c>
      <c r="C213" s="25" t="s">
        <v>91</v>
      </c>
      <c r="D213" s="25" t="s">
        <v>68</v>
      </c>
      <c r="E213" s="9">
        <v>8800000</v>
      </c>
      <c r="F213" s="26">
        <v>0.47</v>
      </c>
      <c r="G213" s="25">
        <v>79</v>
      </c>
      <c r="H213" s="27">
        <v>19.600000000000001</v>
      </c>
      <c r="I213" s="24" t="str" cm="1">
        <f t="array" ref="I213">_xlfn.IFS(
   AND(F213&gt;=0,9, G213&gt;=85), "Excelente",
   AND(F213&gt;=0,8, G213&gt;=70), "Bueno",
   OR(F213&lt;0,6,  G213&lt;50),  "Alerta",
   TRUE,           "Revisar")</f>
        <v>Bueno</v>
      </c>
      <c r="J213" s="28">
        <f t="shared" si="3"/>
        <v>880000</v>
      </c>
    </row>
    <row r="214" spans="1:10" ht="18" customHeight="1" x14ac:dyDescent="0.3">
      <c r="A214" s="18" t="s">
        <v>477</v>
      </c>
      <c r="B214" s="5" t="s">
        <v>478</v>
      </c>
      <c r="C214" s="18" t="s">
        <v>91</v>
      </c>
      <c r="D214" s="18" t="s">
        <v>92</v>
      </c>
      <c r="E214" s="6">
        <v>3600000</v>
      </c>
      <c r="F214" s="19">
        <v>0.64</v>
      </c>
      <c r="G214" s="18">
        <v>43</v>
      </c>
      <c r="H214" s="20">
        <v>15.4</v>
      </c>
      <c r="I214" s="24" t="str" cm="1">
        <f t="array" ref="I214">_xlfn.IFS(
   AND(F214&gt;=0,9, G214&gt;=85), "Excelente",
   AND(F214&gt;=0,8, G214&gt;=70), "Bueno",
   OR(F214&lt;0,6,  G214&lt;50),  "Alerta",
   TRUE,           "Revisar")</f>
        <v>Alerta</v>
      </c>
      <c r="J214" s="28">
        <f t="shared" si="3"/>
        <v>0</v>
      </c>
    </row>
    <row r="215" spans="1:10" ht="18" customHeight="1" x14ac:dyDescent="0.3">
      <c r="A215" s="25" t="s">
        <v>479</v>
      </c>
      <c r="B215" s="8" t="s">
        <v>480</v>
      </c>
      <c r="C215" s="25" t="s">
        <v>91</v>
      </c>
      <c r="D215" s="25" t="s">
        <v>92</v>
      </c>
      <c r="E215" s="9">
        <v>9700000</v>
      </c>
      <c r="F215" s="26">
        <v>0.64</v>
      </c>
      <c r="G215" s="25">
        <v>52</v>
      </c>
      <c r="H215" s="27">
        <v>16.600000000000001</v>
      </c>
      <c r="I215" s="24" t="str" cm="1">
        <f t="array" ref="I215">_xlfn.IFS(
   AND(F215&gt;=0,9, G215&gt;=85), "Excelente",
   AND(F215&gt;=0,8, G215&gt;=70), "Bueno",
   OR(F215&lt;0,6,  G215&lt;50),  "Alerta",
   TRUE,           "Revisar")</f>
        <v>Alerta</v>
      </c>
      <c r="J215" s="28">
        <f t="shared" si="3"/>
        <v>0</v>
      </c>
    </row>
    <row r="216" spans="1:10" ht="18" customHeight="1" x14ac:dyDescent="0.3">
      <c r="A216" s="18" t="s">
        <v>481</v>
      </c>
      <c r="B216" s="5" t="s">
        <v>482</v>
      </c>
      <c r="C216" s="18" t="s">
        <v>71</v>
      </c>
      <c r="D216" s="18" t="s">
        <v>114</v>
      </c>
      <c r="E216" s="6">
        <v>3600000</v>
      </c>
      <c r="F216" s="19">
        <v>0.84</v>
      </c>
      <c r="G216" s="18">
        <v>88</v>
      </c>
      <c r="H216" s="20">
        <v>0.7</v>
      </c>
      <c r="I216" s="24" t="str" cm="1">
        <f t="array" ref="I216">_xlfn.IFS(
   AND(F216&gt;=0,9, G216&gt;=85), "Excelente",
   AND(F216&gt;=0,8, G216&gt;=70), "Bueno",
   OR(F216&lt;0,6,  G216&lt;50),  "Alerta",
   TRUE,           "Revisar")</f>
        <v>Excelente</v>
      </c>
      <c r="J216" s="28">
        <f t="shared" si="3"/>
        <v>360000</v>
      </c>
    </row>
    <row r="217" spans="1:10" ht="18" customHeight="1" x14ac:dyDescent="0.3">
      <c r="A217" s="25" t="s">
        <v>483</v>
      </c>
      <c r="B217" s="8" t="s">
        <v>484</v>
      </c>
      <c r="C217" s="25" t="s">
        <v>67</v>
      </c>
      <c r="D217" s="25" t="s">
        <v>64</v>
      </c>
      <c r="E217" s="9">
        <v>6800000</v>
      </c>
      <c r="F217" s="26">
        <v>0.96</v>
      </c>
      <c r="G217" s="25">
        <v>95</v>
      </c>
      <c r="H217" s="27">
        <v>8</v>
      </c>
      <c r="I217" s="24" t="str" cm="1">
        <f t="array" ref="I217">_xlfn.IFS(
   AND(F217&gt;=0,9, G217&gt;=85), "Excelente",
   AND(F217&gt;=0,8, G217&gt;=70), "Bueno",
   OR(F217&lt;0,6,  G217&lt;50),  "Alerta",
   TRUE,           "Revisar")</f>
        <v>Excelente</v>
      </c>
      <c r="J217" s="28">
        <f t="shared" si="3"/>
        <v>680000</v>
      </c>
    </row>
    <row r="218" spans="1:10" ht="18" customHeight="1" x14ac:dyDescent="0.3">
      <c r="A218" s="18" t="s">
        <v>485</v>
      </c>
      <c r="B218" s="5" t="s">
        <v>486</v>
      </c>
      <c r="C218" s="18" t="s">
        <v>59</v>
      </c>
      <c r="D218" s="18" t="s">
        <v>64</v>
      </c>
      <c r="E218" s="6">
        <v>11000000</v>
      </c>
      <c r="F218" s="19">
        <v>0.56000000000000005</v>
      </c>
      <c r="G218" s="18">
        <v>75</v>
      </c>
      <c r="H218" s="20">
        <v>17.2</v>
      </c>
      <c r="I218" s="24" t="str" cm="1">
        <f t="array" ref="I218">_xlfn.IFS(
   AND(F218&gt;=0,9, G218&gt;=85), "Excelente",
   AND(F218&gt;=0,8, G218&gt;=70), "Bueno",
   OR(F218&lt;0,6,  G218&lt;50),  "Alerta",
   TRUE,           "Revisar")</f>
        <v>Bueno</v>
      </c>
      <c r="J218" s="28">
        <f t="shared" si="3"/>
        <v>1100000</v>
      </c>
    </row>
    <row r="219" spans="1:10" ht="18" customHeight="1" x14ac:dyDescent="0.3">
      <c r="A219" s="25" t="s">
        <v>487</v>
      </c>
      <c r="B219" s="8" t="s">
        <v>488</v>
      </c>
      <c r="C219" s="25" t="s">
        <v>81</v>
      </c>
      <c r="D219" s="25" t="s">
        <v>88</v>
      </c>
      <c r="E219" s="9">
        <v>4300000</v>
      </c>
      <c r="F219" s="26">
        <v>0.89</v>
      </c>
      <c r="G219" s="25">
        <v>85</v>
      </c>
      <c r="H219" s="27">
        <v>17.8</v>
      </c>
      <c r="I219" s="24" t="str" cm="1">
        <f t="array" ref="I219">_xlfn.IFS(
   AND(F219&gt;=0,9, G219&gt;=85), "Excelente",
   AND(F219&gt;=0,8, G219&gt;=70), "Bueno",
   OR(F219&lt;0,6,  G219&lt;50),  "Alerta",
   TRUE,           "Revisar")</f>
        <v>Excelente</v>
      </c>
      <c r="J219" s="28">
        <f t="shared" si="3"/>
        <v>430000</v>
      </c>
    </row>
    <row r="220" spans="1:10" ht="18" customHeight="1" x14ac:dyDescent="0.3">
      <c r="A220" s="18" t="s">
        <v>489</v>
      </c>
      <c r="B220" s="5" t="s">
        <v>490</v>
      </c>
      <c r="C220" s="18" t="s">
        <v>77</v>
      </c>
      <c r="D220" s="18" t="s">
        <v>92</v>
      </c>
      <c r="E220" s="6">
        <v>9400000</v>
      </c>
      <c r="F220" s="19">
        <v>0.6</v>
      </c>
      <c r="G220" s="18">
        <v>40</v>
      </c>
      <c r="H220" s="20">
        <v>14.5</v>
      </c>
      <c r="I220" s="24" t="str" cm="1">
        <f t="array" ref="I220">_xlfn.IFS(
   AND(F220&gt;=0,9, G220&gt;=85), "Excelente",
   AND(F220&gt;=0,8, G220&gt;=70), "Bueno",
   OR(F220&lt;0,6,  G220&lt;50),  "Alerta",
   TRUE,           "Revisar")</f>
        <v>Alerta</v>
      </c>
      <c r="J220" s="28">
        <f t="shared" si="3"/>
        <v>0</v>
      </c>
    </row>
    <row r="221" spans="1:10" ht="18" customHeight="1" x14ac:dyDescent="0.3">
      <c r="A221" s="25" t="s">
        <v>491</v>
      </c>
      <c r="B221" s="8" t="s">
        <v>492</v>
      </c>
      <c r="C221" s="25" t="s">
        <v>71</v>
      </c>
      <c r="D221" s="25" t="s">
        <v>88</v>
      </c>
      <c r="E221" s="9">
        <v>6900000</v>
      </c>
      <c r="F221" s="26">
        <v>0.51</v>
      </c>
      <c r="G221" s="25">
        <v>71</v>
      </c>
      <c r="H221" s="27">
        <v>13.2</v>
      </c>
      <c r="I221" s="24" t="str" cm="1">
        <f t="array" ref="I221">_xlfn.IFS(
   AND(F221&gt;=0,9, G221&gt;=85), "Excelente",
   AND(F221&gt;=0,8, G221&gt;=70), "Bueno",
   OR(F221&lt;0,6,  G221&lt;50),  "Alerta",
   TRUE,           "Revisar")</f>
        <v>Bueno</v>
      </c>
      <c r="J221" s="28">
        <f t="shared" si="3"/>
        <v>690000</v>
      </c>
    </row>
    <row r="222" spans="1:10" ht="18" customHeight="1" x14ac:dyDescent="0.3">
      <c r="A222" s="18" t="s">
        <v>493</v>
      </c>
      <c r="B222" s="5" t="s">
        <v>494</v>
      </c>
      <c r="C222" s="18" t="s">
        <v>63</v>
      </c>
      <c r="D222" s="18" t="s">
        <v>114</v>
      </c>
      <c r="E222" s="6">
        <v>11600000</v>
      </c>
      <c r="F222" s="19">
        <v>0.69</v>
      </c>
      <c r="G222" s="18">
        <v>87</v>
      </c>
      <c r="H222" s="20">
        <v>0.8</v>
      </c>
      <c r="I222" s="24" t="str" cm="1">
        <f t="array" ref="I222">_xlfn.IFS(
   AND(F222&gt;=0,9, G222&gt;=85), "Excelente",
   AND(F222&gt;=0,8, G222&gt;=70), "Bueno",
   OR(F222&lt;0,6,  G222&lt;50),  "Alerta",
   TRUE,           "Revisar")</f>
        <v>Excelente</v>
      </c>
      <c r="J222" s="28">
        <f t="shared" si="3"/>
        <v>1160000</v>
      </c>
    </row>
    <row r="223" spans="1:10" ht="18" customHeight="1" x14ac:dyDescent="0.3">
      <c r="A223" s="25" t="s">
        <v>495</v>
      </c>
      <c r="B223" s="8" t="s">
        <v>496</v>
      </c>
      <c r="C223" s="25" t="s">
        <v>63</v>
      </c>
      <c r="D223" s="25" t="s">
        <v>88</v>
      </c>
      <c r="E223" s="9">
        <v>10900000</v>
      </c>
      <c r="F223" s="26">
        <v>0.99</v>
      </c>
      <c r="G223" s="25">
        <v>37</v>
      </c>
      <c r="H223" s="27">
        <v>1.5</v>
      </c>
      <c r="I223" s="24" t="str" cm="1">
        <f t="array" ref="I223">_xlfn.IFS(
   AND(F223&gt;=0,9, G223&gt;=85), "Excelente",
   AND(F223&gt;=0,8, G223&gt;=70), "Bueno",
   OR(F223&lt;0,6,  G223&lt;50),  "Alerta",
   TRUE,           "Revisar")</f>
        <v>Alerta</v>
      </c>
      <c r="J223" s="28">
        <f t="shared" si="3"/>
        <v>0</v>
      </c>
    </row>
    <row r="224" spans="1:10" ht="18" customHeight="1" x14ac:dyDescent="0.3">
      <c r="A224" s="18" t="s">
        <v>497</v>
      </c>
      <c r="B224" s="5" t="s">
        <v>498</v>
      </c>
      <c r="C224" s="18" t="s">
        <v>71</v>
      </c>
      <c r="D224" s="18" t="s">
        <v>64</v>
      </c>
      <c r="E224" s="6">
        <v>4600000</v>
      </c>
      <c r="F224" s="19">
        <v>0.92</v>
      </c>
      <c r="G224" s="18">
        <v>86</v>
      </c>
      <c r="H224" s="20">
        <v>0.7</v>
      </c>
      <c r="I224" s="24" t="str" cm="1">
        <f t="array" ref="I224">_xlfn.IFS(
   AND(F224&gt;=0,9, G224&gt;=85), "Excelente",
   AND(F224&gt;=0,8, G224&gt;=70), "Bueno",
   OR(F224&lt;0,6,  G224&lt;50),  "Alerta",
   TRUE,           "Revisar")</f>
        <v>Excelente</v>
      </c>
      <c r="J224" s="28">
        <f t="shared" si="3"/>
        <v>460000</v>
      </c>
    </row>
    <row r="225" spans="1:10" ht="18" customHeight="1" x14ac:dyDescent="0.3">
      <c r="A225" s="25" t="s">
        <v>499</v>
      </c>
      <c r="B225" s="8" t="s">
        <v>500</v>
      </c>
      <c r="C225" s="25" t="s">
        <v>81</v>
      </c>
      <c r="D225" s="25" t="s">
        <v>92</v>
      </c>
      <c r="E225" s="9">
        <v>7700000</v>
      </c>
      <c r="F225" s="26">
        <v>0.97</v>
      </c>
      <c r="G225" s="25">
        <v>34</v>
      </c>
      <c r="H225" s="27">
        <v>12.1</v>
      </c>
      <c r="I225" s="24" t="str" cm="1">
        <f t="array" ref="I225">_xlfn.IFS(
   AND(F225&gt;=0,9, G225&gt;=85), "Excelente",
   AND(F225&gt;=0,8, G225&gt;=70), "Bueno",
   OR(F225&lt;0,6,  G225&lt;50),  "Alerta",
   TRUE,           "Revisar")</f>
        <v>Alerta</v>
      </c>
      <c r="J225" s="28">
        <f t="shared" si="3"/>
        <v>0</v>
      </c>
    </row>
    <row r="226" spans="1:10" ht="18" customHeight="1" x14ac:dyDescent="0.3">
      <c r="A226" s="18" t="s">
        <v>501</v>
      </c>
      <c r="B226" s="5" t="s">
        <v>502</v>
      </c>
      <c r="C226" s="18" t="s">
        <v>81</v>
      </c>
      <c r="D226" s="18" t="s">
        <v>105</v>
      </c>
      <c r="E226" s="6">
        <v>3700000</v>
      </c>
      <c r="F226" s="19">
        <v>0.77</v>
      </c>
      <c r="G226" s="18">
        <v>97</v>
      </c>
      <c r="H226" s="20">
        <v>7.3</v>
      </c>
      <c r="I226" s="24" t="str" cm="1">
        <f t="array" ref="I226">_xlfn.IFS(
   AND(F226&gt;=0,9, G226&gt;=85), "Excelente",
   AND(F226&gt;=0,8, G226&gt;=70), "Bueno",
   OR(F226&lt;0,6,  G226&lt;50),  "Alerta",
   TRUE,           "Revisar")</f>
        <v>Excelente</v>
      </c>
      <c r="J226" s="28">
        <f t="shared" si="3"/>
        <v>370000</v>
      </c>
    </row>
    <row r="227" spans="1:10" ht="18" customHeight="1" x14ac:dyDescent="0.3">
      <c r="A227" s="25" t="s">
        <v>503</v>
      </c>
      <c r="B227" s="8" t="s">
        <v>504</v>
      </c>
      <c r="C227" s="25" t="s">
        <v>59</v>
      </c>
      <c r="D227" s="25" t="s">
        <v>60</v>
      </c>
      <c r="E227" s="9">
        <v>4200000</v>
      </c>
      <c r="F227" s="26">
        <v>0.46</v>
      </c>
      <c r="G227" s="25">
        <v>53</v>
      </c>
      <c r="H227" s="27">
        <v>10</v>
      </c>
      <c r="I227" s="24" t="str" cm="1">
        <f t="array" ref="I227">_xlfn.IFS(
   AND(F227&gt;=0,9, G227&gt;=85), "Excelente",
   AND(F227&gt;=0,8, G227&gt;=70), "Bueno",
   OR(F227&lt;0,6,  G227&lt;50),  "Alerta",
   TRUE,           "Revisar")</f>
        <v>Alerta</v>
      </c>
      <c r="J227" s="28">
        <f t="shared" si="3"/>
        <v>0</v>
      </c>
    </row>
    <row r="228" spans="1:10" ht="18" customHeight="1" x14ac:dyDescent="0.3">
      <c r="A228" s="18" t="s">
        <v>505</v>
      </c>
      <c r="B228" s="5" t="s">
        <v>506</v>
      </c>
      <c r="C228" s="18" t="s">
        <v>74</v>
      </c>
      <c r="D228" s="18" t="s">
        <v>88</v>
      </c>
      <c r="E228" s="6">
        <v>6100000</v>
      </c>
      <c r="F228" s="19">
        <v>0.84</v>
      </c>
      <c r="G228" s="18">
        <v>57</v>
      </c>
      <c r="H228" s="20">
        <v>19.899999999999999</v>
      </c>
      <c r="I228" s="24" t="str" cm="1">
        <f t="array" ref="I228">_xlfn.IFS(
   AND(F228&gt;=0,9, G228&gt;=85), "Excelente",
   AND(F228&gt;=0,8, G228&gt;=70), "Bueno",
   OR(F228&lt;0,6,  G228&lt;50),  "Alerta",
   TRUE,           "Revisar")</f>
        <v>Alerta</v>
      </c>
      <c r="J228" s="28">
        <f t="shared" si="3"/>
        <v>0</v>
      </c>
    </row>
    <row r="229" spans="1:10" ht="18" customHeight="1" x14ac:dyDescent="0.3">
      <c r="A229" s="25" t="s">
        <v>507</v>
      </c>
      <c r="B229" s="8" t="s">
        <v>508</v>
      </c>
      <c r="C229" s="25" t="s">
        <v>77</v>
      </c>
      <c r="D229" s="25" t="s">
        <v>60</v>
      </c>
      <c r="E229" s="9">
        <v>4300000</v>
      </c>
      <c r="F229" s="26">
        <v>0.52</v>
      </c>
      <c r="G229" s="25">
        <v>39</v>
      </c>
      <c r="H229" s="27">
        <v>9</v>
      </c>
      <c r="I229" s="24" t="str" cm="1">
        <f t="array" ref="I229">_xlfn.IFS(
   AND(F229&gt;=0,9, G229&gt;=85), "Excelente",
   AND(F229&gt;=0,8, G229&gt;=70), "Bueno",
   OR(F229&lt;0,6,  G229&lt;50),  "Alerta",
   TRUE,           "Revisar")</f>
        <v>Alerta</v>
      </c>
      <c r="J229" s="28">
        <f t="shared" si="3"/>
        <v>0</v>
      </c>
    </row>
    <row r="230" spans="1:10" ht="18" customHeight="1" x14ac:dyDescent="0.3">
      <c r="A230" s="18" t="s">
        <v>509</v>
      </c>
      <c r="B230" s="5" t="s">
        <v>510</v>
      </c>
      <c r="C230" s="18" t="s">
        <v>81</v>
      </c>
      <c r="D230" s="18" t="s">
        <v>78</v>
      </c>
      <c r="E230" s="6">
        <v>9800000</v>
      </c>
      <c r="F230" s="19">
        <v>0.75</v>
      </c>
      <c r="G230" s="18">
        <v>68</v>
      </c>
      <c r="H230" s="20">
        <v>17</v>
      </c>
      <c r="I230" s="24" t="str" cm="1">
        <f t="array" ref="I230">_xlfn.IFS(
   AND(F230&gt;=0,9, G230&gt;=85), "Excelente",
   AND(F230&gt;=0,8, G230&gt;=70), "Bueno",
   OR(F230&lt;0,6,  G230&lt;50),  "Alerta",
   TRUE,           "Revisar")</f>
        <v>Alerta</v>
      </c>
      <c r="J230" s="28">
        <f t="shared" si="3"/>
        <v>0</v>
      </c>
    </row>
    <row r="231" spans="1:10" ht="18" customHeight="1" x14ac:dyDescent="0.3">
      <c r="A231" s="25" t="s">
        <v>511</v>
      </c>
      <c r="B231" s="8" t="s">
        <v>512</v>
      </c>
      <c r="C231" s="25" t="s">
        <v>81</v>
      </c>
      <c r="D231" s="25" t="s">
        <v>60</v>
      </c>
      <c r="E231" s="9">
        <v>4300000</v>
      </c>
      <c r="F231" s="26">
        <v>0.99</v>
      </c>
      <c r="G231" s="25">
        <v>47</v>
      </c>
      <c r="H231" s="27">
        <v>4.7</v>
      </c>
      <c r="I231" s="24" t="str" cm="1">
        <f t="array" ref="I231">_xlfn.IFS(
   AND(F231&gt;=0,9, G231&gt;=85), "Excelente",
   AND(F231&gt;=0,8, G231&gt;=70), "Bueno",
   OR(F231&lt;0,6,  G231&lt;50),  "Alerta",
   TRUE,           "Revisar")</f>
        <v>Alerta</v>
      </c>
      <c r="J231" s="28">
        <f t="shared" si="3"/>
        <v>0</v>
      </c>
    </row>
    <row r="232" spans="1:10" ht="18" customHeight="1" x14ac:dyDescent="0.3">
      <c r="A232" s="18" t="s">
        <v>513</v>
      </c>
      <c r="B232" s="5" t="s">
        <v>514</v>
      </c>
      <c r="C232" s="18" t="s">
        <v>81</v>
      </c>
      <c r="D232" s="18" t="s">
        <v>92</v>
      </c>
      <c r="E232" s="6">
        <v>8700000</v>
      </c>
      <c r="F232" s="19">
        <v>0.89</v>
      </c>
      <c r="G232" s="18">
        <v>100</v>
      </c>
      <c r="H232" s="20">
        <v>2.6</v>
      </c>
      <c r="I232" s="24" t="str" cm="1">
        <f t="array" ref="I232">_xlfn.IFS(
   AND(F232&gt;=0,9, G232&gt;=85), "Excelente",
   AND(F232&gt;=0,8, G232&gt;=70), "Bueno",
   OR(F232&lt;0,6,  G232&lt;50),  "Alerta",
   TRUE,           "Revisar")</f>
        <v>Excelente</v>
      </c>
      <c r="J232" s="28">
        <f t="shared" si="3"/>
        <v>870000</v>
      </c>
    </row>
    <row r="233" spans="1:10" ht="18" customHeight="1" x14ac:dyDescent="0.3">
      <c r="A233" s="25" t="s">
        <v>515</v>
      </c>
      <c r="B233" s="8" t="s">
        <v>516</v>
      </c>
      <c r="C233" s="25" t="s">
        <v>59</v>
      </c>
      <c r="D233" s="25" t="s">
        <v>68</v>
      </c>
      <c r="E233" s="9">
        <v>11900000</v>
      </c>
      <c r="F233" s="26">
        <v>0.85</v>
      </c>
      <c r="G233" s="25">
        <v>97</v>
      </c>
      <c r="H233" s="27">
        <v>8.1999999999999993</v>
      </c>
      <c r="I233" s="24" t="str" cm="1">
        <f t="array" ref="I233">_xlfn.IFS(
   AND(F233&gt;=0,9, G233&gt;=85), "Excelente",
   AND(F233&gt;=0,8, G233&gt;=70), "Bueno",
   OR(F233&lt;0,6,  G233&lt;50),  "Alerta",
   TRUE,           "Revisar")</f>
        <v>Excelente</v>
      </c>
      <c r="J233" s="28">
        <f t="shared" si="3"/>
        <v>1190000</v>
      </c>
    </row>
    <row r="234" spans="1:10" ht="18" customHeight="1" x14ac:dyDescent="0.3">
      <c r="A234" s="18" t="s">
        <v>517</v>
      </c>
      <c r="B234" s="5" t="s">
        <v>518</v>
      </c>
      <c r="C234" s="18" t="s">
        <v>71</v>
      </c>
      <c r="D234" s="18" t="s">
        <v>92</v>
      </c>
      <c r="E234" s="6">
        <v>11000000</v>
      </c>
      <c r="F234" s="19">
        <v>0.49</v>
      </c>
      <c r="G234" s="18">
        <v>89</v>
      </c>
      <c r="H234" s="20">
        <v>13.6</v>
      </c>
      <c r="I234" s="24" t="str" cm="1">
        <f t="array" ref="I234">_xlfn.IFS(
   AND(F234&gt;=0,9, G234&gt;=85), "Excelente",
   AND(F234&gt;=0,8, G234&gt;=70), "Bueno",
   OR(F234&lt;0,6,  G234&lt;50),  "Alerta",
   TRUE,           "Revisar")</f>
        <v>Excelente</v>
      </c>
      <c r="J234" s="28">
        <f t="shared" si="3"/>
        <v>1100000</v>
      </c>
    </row>
    <row r="235" spans="1:10" ht="18" customHeight="1" x14ac:dyDescent="0.3">
      <c r="A235" s="25" t="s">
        <v>519</v>
      </c>
      <c r="B235" s="8" t="s">
        <v>520</v>
      </c>
      <c r="C235" s="25" t="s">
        <v>71</v>
      </c>
      <c r="D235" s="25" t="s">
        <v>114</v>
      </c>
      <c r="E235" s="9">
        <v>8300000</v>
      </c>
      <c r="F235" s="26">
        <v>0.73</v>
      </c>
      <c r="G235" s="25">
        <v>37</v>
      </c>
      <c r="H235" s="27">
        <v>16.600000000000001</v>
      </c>
      <c r="I235" s="24" t="str" cm="1">
        <f t="array" ref="I235">_xlfn.IFS(
   AND(F235&gt;=0,9, G235&gt;=85), "Excelente",
   AND(F235&gt;=0,8, G235&gt;=70), "Bueno",
   OR(F235&lt;0,6,  G235&lt;50),  "Alerta",
   TRUE,           "Revisar")</f>
        <v>Alerta</v>
      </c>
      <c r="J235" s="28">
        <f t="shared" si="3"/>
        <v>0</v>
      </c>
    </row>
    <row r="236" spans="1:10" ht="18" customHeight="1" x14ac:dyDescent="0.3">
      <c r="A236" s="18" t="s">
        <v>521</v>
      </c>
      <c r="B236" s="5" t="s">
        <v>522</v>
      </c>
      <c r="C236" s="18" t="s">
        <v>59</v>
      </c>
      <c r="D236" s="18" t="s">
        <v>114</v>
      </c>
      <c r="E236" s="6">
        <v>4800000</v>
      </c>
      <c r="F236" s="19">
        <v>0.63</v>
      </c>
      <c r="G236" s="18">
        <v>58</v>
      </c>
      <c r="H236" s="20">
        <v>6.9</v>
      </c>
      <c r="I236" s="24" t="str" cm="1">
        <f t="array" ref="I236">_xlfn.IFS(
   AND(F236&gt;=0,9, G236&gt;=85), "Excelente",
   AND(F236&gt;=0,8, G236&gt;=70), "Bueno",
   OR(F236&lt;0,6,  G236&lt;50),  "Alerta",
   TRUE,           "Revisar")</f>
        <v>Alerta</v>
      </c>
      <c r="J236" s="28">
        <f t="shared" si="3"/>
        <v>0</v>
      </c>
    </row>
    <row r="237" spans="1:10" ht="18" customHeight="1" x14ac:dyDescent="0.3">
      <c r="A237" s="25" t="s">
        <v>523</v>
      </c>
      <c r="B237" s="8" t="s">
        <v>524</v>
      </c>
      <c r="C237" s="25" t="s">
        <v>59</v>
      </c>
      <c r="D237" s="25" t="s">
        <v>78</v>
      </c>
      <c r="E237" s="9">
        <v>6000000</v>
      </c>
      <c r="F237" s="26">
        <v>0.56000000000000005</v>
      </c>
      <c r="G237" s="25">
        <v>100</v>
      </c>
      <c r="H237" s="27">
        <v>5.5</v>
      </c>
      <c r="I237" s="24" t="str" cm="1">
        <f t="array" ref="I237">_xlfn.IFS(
   AND(F237&gt;=0,9, G237&gt;=85), "Excelente",
   AND(F237&gt;=0,8, G237&gt;=70), "Bueno",
   OR(F237&lt;0,6,  G237&lt;50),  "Alerta",
   TRUE,           "Revisar")</f>
        <v>Excelente</v>
      </c>
      <c r="J237" s="28">
        <f t="shared" si="3"/>
        <v>600000</v>
      </c>
    </row>
    <row r="238" spans="1:10" ht="18" customHeight="1" x14ac:dyDescent="0.3">
      <c r="A238" s="18" t="s">
        <v>525</v>
      </c>
      <c r="B238" s="5" t="s">
        <v>526</v>
      </c>
      <c r="C238" s="18" t="s">
        <v>71</v>
      </c>
      <c r="D238" s="18" t="s">
        <v>114</v>
      </c>
      <c r="E238" s="6">
        <v>4900000</v>
      </c>
      <c r="F238" s="19">
        <v>0.81</v>
      </c>
      <c r="G238" s="18">
        <v>73</v>
      </c>
      <c r="H238" s="20">
        <v>16.899999999999999</v>
      </c>
      <c r="I238" s="24" t="str" cm="1">
        <f t="array" ref="I238">_xlfn.IFS(
   AND(F238&gt;=0,9, G238&gt;=85), "Excelente",
   AND(F238&gt;=0,8, G238&gt;=70), "Bueno",
   OR(F238&lt;0,6,  G238&lt;50),  "Alerta",
   TRUE,           "Revisar")</f>
        <v>Bueno</v>
      </c>
      <c r="J238" s="28">
        <f t="shared" si="3"/>
        <v>490000</v>
      </c>
    </row>
    <row r="239" spans="1:10" ht="18" customHeight="1" x14ac:dyDescent="0.3">
      <c r="A239" s="25" t="s">
        <v>527</v>
      </c>
      <c r="B239" s="8" t="s">
        <v>528</v>
      </c>
      <c r="C239" s="25" t="s">
        <v>91</v>
      </c>
      <c r="D239" s="25" t="s">
        <v>78</v>
      </c>
      <c r="E239" s="9">
        <v>3300000</v>
      </c>
      <c r="F239" s="26">
        <v>0.97</v>
      </c>
      <c r="G239" s="25">
        <v>63</v>
      </c>
      <c r="H239" s="27">
        <v>13</v>
      </c>
      <c r="I239" s="24" t="str" cm="1">
        <f t="array" ref="I239">_xlfn.IFS(
   AND(F239&gt;=0,9, G239&gt;=85), "Excelente",
   AND(F239&gt;=0,8, G239&gt;=70), "Bueno",
   OR(F239&lt;0,6,  G239&lt;50),  "Alerta",
   TRUE,           "Revisar")</f>
        <v>Alerta</v>
      </c>
      <c r="J239" s="28">
        <f t="shared" si="3"/>
        <v>0</v>
      </c>
    </row>
    <row r="240" spans="1:10" ht="18" customHeight="1" x14ac:dyDescent="0.3">
      <c r="A240" s="18" t="s">
        <v>529</v>
      </c>
      <c r="B240" s="5" t="s">
        <v>530</v>
      </c>
      <c r="C240" s="18" t="s">
        <v>91</v>
      </c>
      <c r="D240" s="18" t="s">
        <v>105</v>
      </c>
      <c r="E240" s="6">
        <v>10800000</v>
      </c>
      <c r="F240" s="19">
        <v>0.75</v>
      </c>
      <c r="G240" s="18">
        <v>68</v>
      </c>
      <c r="H240" s="20">
        <v>9.6999999999999993</v>
      </c>
      <c r="I240" s="24" t="str" cm="1">
        <f t="array" ref="I240">_xlfn.IFS(
   AND(F240&gt;=0,9, G240&gt;=85), "Excelente",
   AND(F240&gt;=0,8, G240&gt;=70), "Bueno",
   OR(F240&lt;0,6,  G240&lt;50),  "Alerta",
   TRUE,           "Revisar")</f>
        <v>Alerta</v>
      </c>
      <c r="J240" s="28">
        <f t="shared" si="3"/>
        <v>0</v>
      </c>
    </row>
    <row r="241" spans="1:10" ht="18" customHeight="1" x14ac:dyDescent="0.3">
      <c r="A241" s="25" t="s">
        <v>531</v>
      </c>
      <c r="B241" s="8" t="s">
        <v>532</v>
      </c>
      <c r="C241" s="25" t="s">
        <v>77</v>
      </c>
      <c r="D241" s="25" t="s">
        <v>78</v>
      </c>
      <c r="E241" s="9">
        <v>11600000</v>
      </c>
      <c r="F241" s="26">
        <v>0.48</v>
      </c>
      <c r="G241" s="25">
        <v>86</v>
      </c>
      <c r="H241" s="27">
        <v>8.3000000000000007</v>
      </c>
      <c r="I241" s="24" t="str" cm="1">
        <f t="array" ref="I241">_xlfn.IFS(
   AND(F241&gt;=0,9, G241&gt;=85), "Excelente",
   AND(F241&gt;=0,8, G241&gt;=70), "Bueno",
   OR(F241&lt;0,6,  G241&lt;50),  "Alerta",
   TRUE,           "Revisar")</f>
        <v>Excelente</v>
      </c>
      <c r="J241" s="28">
        <f t="shared" si="3"/>
        <v>1160000</v>
      </c>
    </row>
    <row r="242" spans="1:10" ht="18" customHeight="1" x14ac:dyDescent="0.3">
      <c r="A242" s="18" t="s">
        <v>533</v>
      </c>
      <c r="B242" s="5" t="s">
        <v>534</v>
      </c>
      <c r="C242" s="18" t="s">
        <v>81</v>
      </c>
      <c r="D242" s="18" t="s">
        <v>114</v>
      </c>
      <c r="E242" s="6">
        <v>6800000</v>
      </c>
      <c r="F242" s="19">
        <v>0.92</v>
      </c>
      <c r="G242" s="18">
        <v>70</v>
      </c>
      <c r="H242" s="20">
        <v>14.7</v>
      </c>
      <c r="I242" s="24" t="str" cm="1">
        <f t="array" ref="I242">_xlfn.IFS(
   AND(F242&gt;=0,9, G242&gt;=85), "Excelente",
   AND(F242&gt;=0,8, G242&gt;=70), "Bueno",
   OR(F242&lt;0,6,  G242&lt;50),  "Alerta",
   TRUE,           "Revisar")</f>
        <v>Bueno</v>
      </c>
      <c r="J242" s="28">
        <f t="shared" si="3"/>
        <v>680000</v>
      </c>
    </row>
    <row r="243" spans="1:10" ht="18" customHeight="1" x14ac:dyDescent="0.3">
      <c r="A243" s="25" t="s">
        <v>535</v>
      </c>
      <c r="B243" s="8" t="s">
        <v>536</v>
      </c>
      <c r="C243" s="25" t="s">
        <v>71</v>
      </c>
      <c r="D243" s="25" t="s">
        <v>92</v>
      </c>
      <c r="E243" s="9">
        <v>9300000</v>
      </c>
      <c r="F243" s="26">
        <v>0.76</v>
      </c>
      <c r="G243" s="25">
        <v>70</v>
      </c>
      <c r="H243" s="27">
        <v>4.8</v>
      </c>
      <c r="I243" s="24" t="str" cm="1">
        <f t="array" ref="I243">_xlfn.IFS(
   AND(F243&gt;=0,9, G243&gt;=85), "Excelente",
   AND(F243&gt;=0,8, G243&gt;=70), "Bueno",
   OR(F243&lt;0,6,  G243&lt;50),  "Alerta",
   TRUE,           "Revisar")</f>
        <v>Bueno</v>
      </c>
      <c r="J243" s="28">
        <f t="shared" si="3"/>
        <v>930000</v>
      </c>
    </row>
    <row r="244" spans="1:10" ht="18" customHeight="1" x14ac:dyDescent="0.3">
      <c r="A244" s="18" t="s">
        <v>537</v>
      </c>
      <c r="B244" s="5" t="s">
        <v>538</v>
      </c>
      <c r="C244" s="18" t="s">
        <v>77</v>
      </c>
      <c r="D244" s="18" t="s">
        <v>60</v>
      </c>
      <c r="E244" s="6">
        <v>4600000</v>
      </c>
      <c r="F244" s="19">
        <v>0.5</v>
      </c>
      <c r="G244" s="18">
        <v>67</v>
      </c>
      <c r="H244" s="20">
        <v>18.899999999999999</v>
      </c>
      <c r="I244" s="24" t="str" cm="1">
        <f t="array" ref="I244">_xlfn.IFS(
   AND(F244&gt;=0,9, G244&gt;=85), "Excelente",
   AND(F244&gt;=0,8, G244&gt;=70), "Bueno",
   OR(F244&lt;0,6,  G244&lt;50),  "Alerta",
   TRUE,           "Revisar")</f>
        <v>Alerta</v>
      </c>
      <c r="J244" s="28">
        <f t="shared" si="3"/>
        <v>0</v>
      </c>
    </row>
    <row r="245" spans="1:10" ht="18" customHeight="1" x14ac:dyDescent="0.3">
      <c r="A245" s="25" t="s">
        <v>539</v>
      </c>
      <c r="B245" s="8" t="s">
        <v>540</v>
      </c>
      <c r="C245" s="25" t="s">
        <v>67</v>
      </c>
      <c r="D245" s="25" t="s">
        <v>114</v>
      </c>
      <c r="E245" s="9">
        <v>6900000</v>
      </c>
      <c r="F245" s="26">
        <v>0.96</v>
      </c>
      <c r="G245" s="25">
        <v>70</v>
      </c>
      <c r="H245" s="27">
        <v>3.8</v>
      </c>
      <c r="I245" s="24" t="str" cm="1">
        <f t="array" ref="I245">_xlfn.IFS(
   AND(F245&gt;=0,9, G245&gt;=85), "Excelente",
   AND(F245&gt;=0,8, G245&gt;=70), "Bueno",
   OR(F245&lt;0,6,  G245&lt;50),  "Alerta",
   TRUE,           "Revisar")</f>
        <v>Bueno</v>
      </c>
      <c r="J245" s="28">
        <f t="shared" si="3"/>
        <v>690000</v>
      </c>
    </row>
    <row r="246" spans="1:10" ht="18" customHeight="1" x14ac:dyDescent="0.3">
      <c r="A246" s="18" t="s">
        <v>541</v>
      </c>
      <c r="B246" s="5" t="s">
        <v>542</v>
      </c>
      <c r="C246" s="18" t="s">
        <v>77</v>
      </c>
      <c r="D246" s="18" t="s">
        <v>105</v>
      </c>
      <c r="E246" s="6">
        <v>6700000</v>
      </c>
      <c r="F246" s="19">
        <v>0.72</v>
      </c>
      <c r="G246" s="18">
        <v>41</v>
      </c>
      <c r="H246" s="20">
        <v>18.899999999999999</v>
      </c>
      <c r="I246" s="24" t="str" cm="1">
        <f t="array" ref="I246">_xlfn.IFS(
   AND(F246&gt;=0,9, G246&gt;=85), "Excelente",
   AND(F246&gt;=0,8, G246&gt;=70), "Bueno",
   OR(F246&lt;0,6,  G246&lt;50),  "Alerta",
   TRUE,           "Revisar")</f>
        <v>Alerta</v>
      </c>
      <c r="J246" s="28">
        <f t="shared" si="3"/>
        <v>0</v>
      </c>
    </row>
    <row r="247" spans="1:10" ht="18" customHeight="1" x14ac:dyDescent="0.3">
      <c r="A247" s="25" t="s">
        <v>543</v>
      </c>
      <c r="B247" s="8" t="s">
        <v>544</v>
      </c>
      <c r="C247" s="25" t="s">
        <v>67</v>
      </c>
      <c r="D247" s="25" t="s">
        <v>60</v>
      </c>
      <c r="E247" s="9">
        <v>10200000</v>
      </c>
      <c r="F247" s="26">
        <v>0.64</v>
      </c>
      <c r="G247" s="25">
        <v>36</v>
      </c>
      <c r="H247" s="27">
        <v>5.6</v>
      </c>
      <c r="I247" s="24" t="str" cm="1">
        <f t="array" ref="I247">_xlfn.IFS(
   AND(F247&gt;=0,9, G247&gt;=85), "Excelente",
   AND(F247&gt;=0,8, G247&gt;=70), "Bueno",
   OR(F247&lt;0,6,  G247&lt;50),  "Alerta",
   TRUE,           "Revisar")</f>
        <v>Alerta</v>
      </c>
      <c r="J247" s="28">
        <f t="shared" si="3"/>
        <v>0</v>
      </c>
    </row>
    <row r="248" spans="1:10" ht="18" customHeight="1" x14ac:dyDescent="0.3">
      <c r="A248" s="18" t="s">
        <v>545</v>
      </c>
      <c r="B248" s="5" t="s">
        <v>546</v>
      </c>
      <c r="C248" s="18" t="s">
        <v>77</v>
      </c>
      <c r="D248" s="18" t="s">
        <v>88</v>
      </c>
      <c r="E248" s="6">
        <v>9600000</v>
      </c>
      <c r="F248" s="19">
        <v>0.45</v>
      </c>
      <c r="G248" s="18">
        <v>43</v>
      </c>
      <c r="H248" s="20">
        <v>8.6</v>
      </c>
      <c r="I248" s="24" t="str" cm="1">
        <f t="array" ref="I248">_xlfn.IFS(
   AND(F248&gt;=0,9, G248&gt;=85), "Excelente",
   AND(F248&gt;=0,8, G248&gt;=70), "Bueno",
   OR(F248&lt;0,6,  G248&lt;50),  "Alerta",
   TRUE,           "Revisar")</f>
        <v>Alerta</v>
      </c>
      <c r="J248" s="28">
        <f t="shared" si="3"/>
        <v>0</v>
      </c>
    </row>
    <row r="249" spans="1:10" ht="18" customHeight="1" x14ac:dyDescent="0.3">
      <c r="A249" s="25" t="s">
        <v>547</v>
      </c>
      <c r="B249" s="8" t="s">
        <v>548</v>
      </c>
      <c r="C249" s="25" t="s">
        <v>63</v>
      </c>
      <c r="D249" s="25" t="s">
        <v>92</v>
      </c>
      <c r="E249" s="9">
        <v>3300000</v>
      </c>
      <c r="F249" s="26">
        <v>0.67</v>
      </c>
      <c r="G249" s="25">
        <v>54</v>
      </c>
      <c r="H249" s="27">
        <v>7.3</v>
      </c>
      <c r="I249" s="24" t="str" cm="1">
        <f t="array" ref="I249">_xlfn.IFS(
   AND(F249&gt;=0,9, G249&gt;=85), "Excelente",
   AND(F249&gt;=0,8, G249&gt;=70), "Bueno",
   OR(F249&lt;0,6,  G249&lt;50),  "Alerta",
   TRUE,           "Revisar")</f>
        <v>Alerta</v>
      </c>
      <c r="J249" s="28">
        <f t="shared" si="3"/>
        <v>0</v>
      </c>
    </row>
    <row r="250" spans="1:10" ht="18" customHeight="1" x14ac:dyDescent="0.3">
      <c r="A250" s="18" t="s">
        <v>549</v>
      </c>
      <c r="B250" s="5" t="s">
        <v>550</v>
      </c>
      <c r="C250" s="18" t="s">
        <v>63</v>
      </c>
      <c r="D250" s="18" t="s">
        <v>105</v>
      </c>
      <c r="E250" s="6">
        <v>9800000</v>
      </c>
      <c r="F250" s="19">
        <v>0.6</v>
      </c>
      <c r="G250" s="18">
        <v>45</v>
      </c>
      <c r="H250" s="20">
        <v>2.6</v>
      </c>
      <c r="I250" s="24" t="str" cm="1">
        <f t="array" ref="I250">_xlfn.IFS(
   AND(F250&gt;=0,9, G250&gt;=85), "Excelente",
   AND(F250&gt;=0,8, G250&gt;=70), "Bueno",
   OR(F250&lt;0,6,  G250&lt;50),  "Alerta",
   TRUE,           "Revisar")</f>
        <v>Alerta</v>
      </c>
      <c r="J250" s="28">
        <f t="shared" si="3"/>
        <v>0</v>
      </c>
    </row>
    <row r="251" spans="1:10" ht="18" customHeight="1" x14ac:dyDescent="0.3">
      <c r="A251" s="25" t="s">
        <v>551</v>
      </c>
      <c r="B251" s="8" t="s">
        <v>552</v>
      </c>
      <c r="C251" s="25" t="s">
        <v>81</v>
      </c>
      <c r="D251" s="25" t="s">
        <v>114</v>
      </c>
      <c r="E251" s="9">
        <v>5300000</v>
      </c>
      <c r="F251" s="26">
        <v>0.78</v>
      </c>
      <c r="G251" s="25">
        <v>81</v>
      </c>
      <c r="H251" s="27">
        <v>10</v>
      </c>
      <c r="I251" s="24" t="str" cm="1">
        <f t="array" ref="I251">_xlfn.IFS(
   AND(F251&gt;=0,9, G251&gt;=85), "Excelente",
   AND(F251&gt;=0,8, G251&gt;=70), "Bueno",
   OR(F251&lt;0,6,  G251&lt;50),  "Alerta",
   TRUE,           "Revisar")</f>
        <v>Bueno</v>
      </c>
      <c r="J251" s="28">
        <f t="shared" si="3"/>
        <v>530000</v>
      </c>
    </row>
    <row r="252" spans="1:10" ht="18" customHeight="1" x14ac:dyDescent="0.3">
      <c r="A252" s="18" t="s">
        <v>553</v>
      </c>
      <c r="B252" s="5" t="s">
        <v>554</v>
      </c>
      <c r="C252" s="18" t="s">
        <v>81</v>
      </c>
      <c r="D252" s="18" t="s">
        <v>105</v>
      </c>
      <c r="E252" s="6">
        <v>9400000</v>
      </c>
      <c r="F252" s="19">
        <v>0.7</v>
      </c>
      <c r="G252" s="18">
        <v>95</v>
      </c>
      <c r="H252" s="20">
        <v>2.8</v>
      </c>
      <c r="I252" s="24" t="str" cm="1">
        <f t="array" ref="I252">_xlfn.IFS(
   AND(F252&gt;=0,9, G252&gt;=85), "Excelente",
   AND(F252&gt;=0,8, G252&gt;=70), "Bueno",
   OR(F252&lt;0,6,  G252&lt;50),  "Alerta",
   TRUE,           "Revisar")</f>
        <v>Excelente</v>
      </c>
      <c r="J252" s="28">
        <f t="shared" si="3"/>
        <v>940000</v>
      </c>
    </row>
    <row r="253" spans="1:10" ht="18" customHeight="1" x14ac:dyDescent="0.3">
      <c r="A253" s="25" t="s">
        <v>555</v>
      </c>
      <c r="B253" s="8" t="s">
        <v>556</v>
      </c>
      <c r="C253" s="25" t="s">
        <v>59</v>
      </c>
      <c r="D253" s="25" t="s">
        <v>92</v>
      </c>
      <c r="E253" s="9">
        <v>9200000</v>
      </c>
      <c r="F253" s="26">
        <v>0.91</v>
      </c>
      <c r="G253" s="25">
        <v>98</v>
      </c>
      <c r="H253" s="27">
        <v>9.8000000000000007</v>
      </c>
      <c r="I253" s="24" t="str" cm="1">
        <f t="array" ref="I253">_xlfn.IFS(
   AND(F253&gt;=0,9, G253&gt;=85), "Excelente",
   AND(F253&gt;=0,8, G253&gt;=70), "Bueno",
   OR(F253&lt;0,6,  G253&lt;50),  "Alerta",
   TRUE,           "Revisar")</f>
        <v>Excelente</v>
      </c>
      <c r="J253" s="28">
        <f t="shared" si="3"/>
        <v>920000</v>
      </c>
    </row>
    <row r="254" spans="1:10" ht="18" customHeight="1" x14ac:dyDescent="0.3">
      <c r="A254" s="18" t="s">
        <v>557</v>
      </c>
      <c r="B254" s="5" t="s">
        <v>558</v>
      </c>
      <c r="C254" s="18" t="s">
        <v>77</v>
      </c>
      <c r="D254" s="18" t="s">
        <v>64</v>
      </c>
      <c r="E254" s="6">
        <v>7500000</v>
      </c>
      <c r="F254" s="19">
        <v>0.63</v>
      </c>
      <c r="G254" s="18">
        <v>44</v>
      </c>
      <c r="H254" s="20">
        <v>19.600000000000001</v>
      </c>
      <c r="I254" s="24" t="str" cm="1">
        <f t="array" ref="I254">_xlfn.IFS(
   AND(F254&gt;=0,9, G254&gt;=85), "Excelente",
   AND(F254&gt;=0,8, G254&gt;=70), "Bueno",
   OR(F254&lt;0,6,  G254&lt;50),  "Alerta",
   TRUE,           "Revisar")</f>
        <v>Alerta</v>
      </c>
      <c r="J254" s="28">
        <f t="shared" si="3"/>
        <v>0</v>
      </c>
    </row>
    <row r="255" spans="1:10" ht="18" customHeight="1" x14ac:dyDescent="0.3">
      <c r="A255" s="25" t="s">
        <v>559</v>
      </c>
      <c r="B255" s="8" t="s">
        <v>560</v>
      </c>
      <c r="C255" s="25" t="s">
        <v>91</v>
      </c>
      <c r="D255" s="25" t="s">
        <v>105</v>
      </c>
      <c r="E255" s="9">
        <v>6100000</v>
      </c>
      <c r="F255" s="26">
        <v>0.98</v>
      </c>
      <c r="G255" s="25">
        <v>59</v>
      </c>
      <c r="H255" s="27">
        <v>14.4</v>
      </c>
      <c r="I255" s="24" t="str" cm="1">
        <f t="array" ref="I255">_xlfn.IFS(
   AND(F255&gt;=0,9, G255&gt;=85), "Excelente",
   AND(F255&gt;=0,8, G255&gt;=70), "Bueno",
   OR(F255&lt;0,6,  G255&lt;50),  "Alerta",
   TRUE,           "Revisar")</f>
        <v>Alerta</v>
      </c>
      <c r="J255" s="28">
        <f t="shared" si="3"/>
        <v>0</v>
      </c>
    </row>
    <row r="256" spans="1:10" ht="18" customHeight="1" x14ac:dyDescent="0.3">
      <c r="A256" s="18" t="s">
        <v>561</v>
      </c>
      <c r="B256" s="5" t="s">
        <v>562</v>
      </c>
      <c r="C256" s="18" t="s">
        <v>71</v>
      </c>
      <c r="D256" s="18" t="s">
        <v>68</v>
      </c>
      <c r="E256" s="6">
        <v>4600000</v>
      </c>
      <c r="F256" s="19">
        <v>0.9</v>
      </c>
      <c r="G256" s="18">
        <v>61</v>
      </c>
      <c r="H256" s="20">
        <v>0.6</v>
      </c>
      <c r="I256" s="24" t="str" cm="1">
        <f t="array" ref="I256">_xlfn.IFS(
   AND(F256&gt;=0,9, G256&gt;=85), "Excelente",
   AND(F256&gt;=0,8, G256&gt;=70), "Bueno",
   OR(F256&lt;0,6,  G256&lt;50),  "Alerta",
   TRUE,           "Revisar")</f>
        <v>Alerta</v>
      </c>
      <c r="J256" s="28">
        <f t="shared" si="3"/>
        <v>0</v>
      </c>
    </row>
    <row r="257" spans="1:10" ht="18" customHeight="1" x14ac:dyDescent="0.3">
      <c r="A257" s="25" t="s">
        <v>563</v>
      </c>
      <c r="B257" s="8" t="s">
        <v>564</v>
      </c>
      <c r="C257" s="25" t="s">
        <v>91</v>
      </c>
      <c r="D257" s="25" t="s">
        <v>105</v>
      </c>
      <c r="E257" s="9">
        <v>6800000</v>
      </c>
      <c r="F257" s="26">
        <v>0.68</v>
      </c>
      <c r="G257" s="25">
        <v>82</v>
      </c>
      <c r="H257" s="27">
        <v>13.8</v>
      </c>
      <c r="I257" s="24" t="str" cm="1">
        <f t="array" ref="I257">_xlfn.IFS(
   AND(F257&gt;=0,9, G257&gt;=85), "Excelente",
   AND(F257&gt;=0,8, G257&gt;=70), "Bueno",
   OR(F257&lt;0,6,  G257&lt;50),  "Alerta",
   TRUE,           "Revisar")</f>
        <v>Bueno</v>
      </c>
      <c r="J257" s="28">
        <f t="shared" si="3"/>
        <v>680000</v>
      </c>
    </row>
    <row r="258" spans="1:10" ht="18" customHeight="1" x14ac:dyDescent="0.3">
      <c r="A258" s="18" t="s">
        <v>565</v>
      </c>
      <c r="B258" s="5" t="s">
        <v>566</v>
      </c>
      <c r="C258" s="18" t="s">
        <v>77</v>
      </c>
      <c r="D258" s="18" t="s">
        <v>64</v>
      </c>
      <c r="E258" s="6">
        <v>11800000</v>
      </c>
      <c r="F258" s="19">
        <v>0.53</v>
      </c>
      <c r="G258" s="18">
        <v>56</v>
      </c>
      <c r="H258" s="20">
        <v>11.2</v>
      </c>
      <c r="I258" s="24" t="str" cm="1">
        <f t="array" ref="I258">_xlfn.IFS(
   AND(F258&gt;=0,9, G258&gt;=85), "Excelente",
   AND(F258&gt;=0,8, G258&gt;=70), "Bueno",
   OR(F258&lt;0,6,  G258&lt;50),  "Alerta",
   TRUE,           "Revisar")</f>
        <v>Alerta</v>
      </c>
      <c r="J258" s="28">
        <f t="shared" si="3"/>
        <v>0</v>
      </c>
    </row>
    <row r="259" spans="1:10" ht="18" customHeight="1" x14ac:dyDescent="0.3">
      <c r="A259" s="25" t="s">
        <v>567</v>
      </c>
      <c r="B259" s="8" t="s">
        <v>568</v>
      </c>
      <c r="C259" s="25" t="s">
        <v>81</v>
      </c>
      <c r="D259" s="25" t="s">
        <v>92</v>
      </c>
      <c r="E259" s="9">
        <v>11400000</v>
      </c>
      <c r="F259" s="26">
        <v>0.87</v>
      </c>
      <c r="G259" s="25">
        <v>63</v>
      </c>
      <c r="H259" s="27">
        <v>12.2</v>
      </c>
      <c r="I259" s="24" t="str" cm="1">
        <f t="array" ref="I259">_xlfn.IFS(
   AND(F259&gt;=0,9, G259&gt;=85), "Excelente",
   AND(F259&gt;=0,8, G259&gt;=70), "Bueno",
   OR(F259&lt;0,6,  G259&lt;50),  "Alerta",
   TRUE,           "Revisar")</f>
        <v>Alerta</v>
      </c>
      <c r="J259" s="28">
        <f t="shared" si="3"/>
        <v>0</v>
      </c>
    </row>
    <row r="260" spans="1:10" ht="18" customHeight="1" x14ac:dyDescent="0.3">
      <c r="A260" s="18" t="s">
        <v>569</v>
      </c>
      <c r="B260" s="5" t="s">
        <v>570</v>
      </c>
      <c r="C260" s="18" t="s">
        <v>59</v>
      </c>
      <c r="D260" s="18" t="s">
        <v>88</v>
      </c>
      <c r="E260" s="6">
        <v>5600000</v>
      </c>
      <c r="F260" s="19">
        <v>0.97</v>
      </c>
      <c r="G260" s="18">
        <v>68</v>
      </c>
      <c r="H260" s="20">
        <v>15.4</v>
      </c>
      <c r="I260" s="24" t="str" cm="1">
        <f t="array" ref="I260">_xlfn.IFS(
   AND(F260&gt;=0,9, G260&gt;=85), "Excelente",
   AND(F260&gt;=0,8, G260&gt;=70), "Bueno",
   OR(F260&lt;0,6,  G260&lt;50),  "Alerta",
   TRUE,           "Revisar")</f>
        <v>Alerta</v>
      </c>
      <c r="J260" s="28">
        <f t="shared" si="3"/>
        <v>0</v>
      </c>
    </row>
    <row r="261" spans="1:10" ht="18" customHeight="1" x14ac:dyDescent="0.3">
      <c r="A261" s="25" t="s">
        <v>571</v>
      </c>
      <c r="B261" s="8" t="s">
        <v>572</v>
      </c>
      <c r="C261" s="25" t="s">
        <v>77</v>
      </c>
      <c r="D261" s="25" t="s">
        <v>92</v>
      </c>
      <c r="E261" s="9">
        <v>8900000</v>
      </c>
      <c r="F261" s="26">
        <v>0.64</v>
      </c>
      <c r="G261" s="25">
        <v>65</v>
      </c>
      <c r="H261" s="27">
        <v>5.8</v>
      </c>
      <c r="I261" s="24" t="str" cm="1">
        <f t="array" ref="I261">_xlfn.IFS(
   AND(F261&gt;=0,9, G261&gt;=85), "Excelente",
   AND(F261&gt;=0,8, G261&gt;=70), "Bueno",
   OR(F261&lt;0,6,  G261&lt;50),  "Alerta",
   TRUE,           "Revisar")</f>
        <v>Alerta</v>
      </c>
      <c r="J261" s="28">
        <f t="shared" si="3"/>
        <v>0</v>
      </c>
    </row>
    <row r="262" spans="1:10" ht="18" customHeight="1" x14ac:dyDescent="0.3">
      <c r="A262" s="18" t="s">
        <v>573</v>
      </c>
      <c r="B262" s="5" t="s">
        <v>574</v>
      </c>
      <c r="C262" s="18" t="s">
        <v>63</v>
      </c>
      <c r="D262" s="18" t="s">
        <v>68</v>
      </c>
      <c r="E262" s="6">
        <v>7200000</v>
      </c>
      <c r="F262" s="19">
        <v>0.98</v>
      </c>
      <c r="G262" s="18">
        <v>48</v>
      </c>
      <c r="H262" s="20">
        <v>5.8</v>
      </c>
      <c r="I262" s="24" t="str" cm="1">
        <f t="array" ref="I262">_xlfn.IFS(
   AND(F262&gt;=0,9, G262&gt;=85), "Excelente",
   AND(F262&gt;=0,8, G262&gt;=70), "Bueno",
   OR(F262&lt;0,6,  G262&lt;50),  "Alerta",
   TRUE,           "Revisar")</f>
        <v>Alerta</v>
      </c>
      <c r="J262" s="28">
        <f t="shared" si="3"/>
        <v>0</v>
      </c>
    </row>
    <row r="263" spans="1:10" ht="18" customHeight="1" x14ac:dyDescent="0.3">
      <c r="A263" s="25" t="s">
        <v>575</v>
      </c>
      <c r="B263" s="8" t="s">
        <v>576</v>
      </c>
      <c r="C263" s="25" t="s">
        <v>77</v>
      </c>
      <c r="D263" s="25" t="s">
        <v>88</v>
      </c>
      <c r="E263" s="9">
        <v>8900000</v>
      </c>
      <c r="F263" s="26">
        <v>0.56999999999999995</v>
      </c>
      <c r="G263" s="25">
        <v>98</v>
      </c>
      <c r="H263" s="27">
        <v>5.4</v>
      </c>
      <c r="I263" s="24" t="str" cm="1">
        <f t="array" ref="I263">_xlfn.IFS(
   AND(F263&gt;=0,9, G263&gt;=85), "Excelente",
   AND(F263&gt;=0,8, G263&gt;=70), "Bueno",
   OR(F263&lt;0,6,  G263&lt;50),  "Alerta",
   TRUE,           "Revisar")</f>
        <v>Excelente</v>
      </c>
      <c r="J263" s="28">
        <f t="shared" si="3"/>
        <v>890000</v>
      </c>
    </row>
    <row r="264" spans="1:10" ht="18" customHeight="1" x14ac:dyDescent="0.3">
      <c r="A264" s="18" t="s">
        <v>577</v>
      </c>
      <c r="B264" s="5" t="s">
        <v>578</v>
      </c>
      <c r="C264" s="18" t="s">
        <v>74</v>
      </c>
      <c r="D264" s="18" t="s">
        <v>60</v>
      </c>
      <c r="E264" s="6">
        <v>5900000</v>
      </c>
      <c r="F264" s="19">
        <v>0.48</v>
      </c>
      <c r="G264" s="18">
        <v>97</v>
      </c>
      <c r="H264" s="20">
        <v>4.5</v>
      </c>
      <c r="I264" s="24" t="str" cm="1">
        <f t="array" ref="I264">_xlfn.IFS(
   AND(F264&gt;=0,9, G264&gt;=85), "Excelente",
   AND(F264&gt;=0,8, G264&gt;=70), "Bueno",
   OR(F264&lt;0,6,  G264&lt;50),  "Alerta",
   TRUE,           "Revisar")</f>
        <v>Excelente</v>
      </c>
      <c r="J264" s="28">
        <f t="shared" si="3"/>
        <v>590000</v>
      </c>
    </row>
    <row r="265" spans="1:10" ht="18" customHeight="1" x14ac:dyDescent="0.3">
      <c r="A265" s="25" t="s">
        <v>579</v>
      </c>
      <c r="B265" s="8" t="s">
        <v>580</v>
      </c>
      <c r="C265" s="25" t="s">
        <v>74</v>
      </c>
      <c r="D265" s="25" t="s">
        <v>68</v>
      </c>
      <c r="E265" s="9">
        <v>7000000</v>
      </c>
      <c r="F265" s="26">
        <v>0.84</v>
      </c>
      <c r="G265" s="25">
        <v>42</v>
      </c>
      <c r="H265" s="27">
        <v>13.6</v>
      </c>
      <c r="I265" s="24" t="str" cm="1">
        <f t="array" ref="I265">_xlfn.IFS(
   AND(F265&gt;=0,9, G265&gt;=85), "Excelente",
   AND(F265&gt;=0,8, G265&gt;=70), "Bueno",
   OR(F265&lt;0,6,  G265&lt;50),  "Alerta",
   TRUE,           "Revisar")</f>
        <v>Alerta</v>
      </c>
      <c r="J265" s="28">
        <f t="shared" si="3"/>
        <v>0</v>
      </c>
    </row>
    <row r="266" spans="1:10" ht="18" customHeight="1" x14ac:dyDescent="0.3">
      <c r="A266" s="18" t="s">
        <v>581</v>
      </c>
      <c r="B266" s="5" t="s">
        <v>582</v>
      </c>
      <c r="C266" s="18" t="s">
        <v>71</v>
      </c>
      <c r="D266" s="18" t="s">
        <v>68</v>
      </c>
      <c r="E266" s="6">
        <v>11100000</v>
      </c>
      <c r="F266" s="19">
        <v>0.96</v>
      </c>
      <c r="G266" s="18">
        <v>90</v>
      </c>
      <c r="H266" s="20">
        <v>9.5</v>
      </c>
      <c r="I266" s="24" t="str" cm="1">
        <f t="array" ref="I266">_xlfn.IFS(
   AND(F266&gt;=0,9, G266&gt;=85), "Excelente",
   AND(F266&gt;=0,8, G266&gt;=70), "Bueno",
   OR(F266&lt;0,6,  G266&lt;50),  "Alerta",
   TRUE,           "Revisar")</f>
        <v>Excelente</v>
      </c>
      <c r="J266" s="28">
        <f t="shared" si="3"/>
        <v>1110000</v>
      </c>
    </row>
    <row r="267" spans="1:10" ht="18" customHeight="1" x14ac:dyDescent="0.3">
      <c r="A267" s="25" t="s">
        <v>583</v>
      </c>
      <c r="B267" s="8" t="s">
        <v>584</v>
      </c>
      <c r="C267" s="25" t="s">
        <v>59</v>
      </c>
      <c r="D267" s="25" t="s">
        <v>92</v>
      </c>
      <c r="E267" s="9">
        <v>6400000</v>
      </c>
      <c r="F267" s="26">
        <v>0.81</v>
      </c>
      <c r="G267" s="25">
        <v>41</v>
      </c>
      <c r="H267" s="27">
        <v>13</v>
      </c>
      <c r="I267" s="24" t="str" cm="1">
        <f t="array" ref="I267">_xlfn.IFS(
   AND(F267&gt;=0,9, G267&gt;=85), "Excelente",
   AND(F267&gt;=0,8, G267&gt;=70), "Bueno",
   OR(F267&lt;0,6,  G267&lt;50),  "Alerta",
   TRUE,           "Revisar")</f>
        <v>Alerta</v>
      </c>
      <c r="J267" s="28">
        <f t="shared" si="3"/>
        <v>0</v>
      </c>
    </row>
    <row r="268" spans="1:10" ht="18" customHeight="1" x14ac:dyDescent="0.3">
      <c r="A268" s="18" t="s">
        <v>585</v>
      </c>
      <c r="B268" s="5" t="s">
        <v>586</v>
      </c>
      <c r="C268" s="18" t="s">
        <v>91</v>
      </c>
      <c r="D268" s="18" t="s">
        <v>114</v>
      </c>
      <c r="E268" s="6">
        <v>8100000</v>
      </c>
      <c r="F268" s="19">
        <v>0.94</v>
      </c>
      <c r="G268" s="18">
        <v>52</v>
      </c>
      <c r="H268" s="20">
        <v>18.7</v>
      </c>
      <c r="I268" s="24" t="str" cm="1">
        <f t="array" ref="I268">_xlfn.IFS(
   AND(F268&gt;=0,9, G268&gt;=85), "Excelente",
   AND(F268&gt;=0,8, G268&gt;=70), "Bueno",
   OR(F268&lt;0,6,  G268&lt;50),  "Alerta",
   TRUE,           "Revisar")</f>
        <v>Alerta</v>
      </c>
      <c r="J268" s="28">
        <f t="shared" ref="J268:J331" si="4">IF(OR(I268="Excelente",I268="Bueno"),E268*0.1,0)</f>
        <v>0</v>
      </c>
    </row>
    <row r="269" spans="1:10" ht="18" customHeight="1" x14ac:dyDescent="0.3">
      <c r="A269" s="25" t="s">
        <v>587</v>
      </c>
      <c r="B269" s="8" t="s">
        <v>588</v>
      </c>
      <c r="C269" s="25" t="s">
        <v>63</v>
      </c>
      <c r="D269" s="25" t="s">
        <v>105</v>
      </c>
      <c r="E269" s="9">
        <v>5100000</v>
      </c>
      <c r="F269" s="26">
        <v>0.97</v>
      </c>
      <c r="G269" s="25">
        <v>67</v>
      </c>
      <c r="H269" s="27">
        <v>17.5</v>
      </c>
      <c r="I269" s="24" t="str" cm="1">
        <f t="array" ref="I269">_xlfn.IFS(
   AND(F269&gt;=0,9, G269&gt;=85), "Excelente",
   AND(F269&gt;=0,8, G269&gt;=70), "Bueno",
   OR(F269&lt;0,6,  G269&lt;50),  "Alerta",
   TRUE,           "Revisar")</f>
        <v>Alerta</v>
      </c>
      <c r="J269" s="28">
        <f t="shared" si="4"/>
        <v>0</v>
      </c>
    </row>
    <row r="270" spans="1:10" ht="18" customHeight="1" x14ac:dyDescent="0.3">
      <c r="A270" s="18" t="s">
        <v>589</v>
      </c>
      <c r="B270" s="5" t="s">
        <v>590</v>
      </c>
      <c r="C270" s="18" t="s">
        <v>74</v>
      </c>
      <c r="D270" s="18" t="s">
        <v>92</v>
      </c>
      <c r="E270" s="6">
        <v>6400000</v>
      </c>
      <c r="F270" s="19">
        <v>0.7</v>
      </c>
      <c r="G270" s="18">
        <v>99</v>
      </c>
      <c r="H270" s="20">
        <v>10.5</v>
      </c>
      <c r="I270" s="24" t="str" cm="1">
        <f t="array" ref="I270">_xlfn.IFS(
   AND(F270&gt;=0,9, G270&gt;=85), "Excelente",
   AND(F270&gt;=0,8, G270&gt;=70), "Bueno",
   OR(F270&lt;0,6,  G270&lt;50),  "Alerta",
   TRUE,           "Revisar")</f>
        <v>Excelente</v>
      </c>
      <c r="J270" s="28">
        <f t="shared" si="4"/>
        <v>640000</v>
      </c>
    </row>
    <row r="271" spans="1:10" ht="18" customHeight="1" x14ac:dyDescent="0.3">
      <c r="A271" s="25" t="s">
        <v>591</v>
      </c>
      <c r="B271" s="8" t="s">
        <v>592</v>
      </c>
      <c r="C271" s="25" t="s">
        <v>77</v>
      </c>
      <c r="D271" s="25" t="s">
        <v>88</v>
      </c>
      <c r="E271" s="9">
        <v>5200000</v>
      </c>
      <c r="F271" s="26">
        <v>0.89</v>
      </c>
      <c r="G271" s="25">
        <v>72</v>
      </c>
      <c r="H271" s="27">
        <v>3.2</v>
      </c>
      <c r="I271" s="24" t="str" cm="1">
        <f t="array" ref="I271">_xlfn.IFS(
   AND(F271&gt;=0,9, G271&gt;=85), "Excelente",
   AND(F271&gt;=0,8, G271&gt;=70), "Bueno",
   OR(F271&lt;0,6,  G271&lt;50),  "Alerta",
   TRUE,           "Revisar")</f>
        <v>Bueno</v>
      </c>
      <c r="J271" s="28">
        <f t="shared" si="4"/>
        <v>520000</v>
      </c>
    </row>
    <row r="272" spans="1:10" ht="18" customHeight="1" x14ac:dyDescent="0.3">
      <c r="A272" s="18" t="s">
        <v>593</v>
      </c>
      <c r="B272" s="5" t="s">
        <v>594</v>
      </c>
      <c r="C272" s="18" t="s">
        <v>59</v>
      </c>
      <c r="D272" s="18" t="s">
        <v>114</v>
      </c>
      <c r="E272" s="6">
        <v>2900000</v>
      </c>
      <c r="F272" s="19">
        <v>0.86</v>
      </c>
      <c r="G272" s="18">
        <v>67</v>
      </c>
      <c r="H272" s="20">
        <v>11.4</v>
      </c>
      <c r="I272" s="24" t="str" cm="1">
        <f t="array" ref="I272">_xlfn.IFS(
   AND(F272&gt;=0,9, G272&gt;=85), "Excelente",
   AND(F272&gt;=0,8, G272&gt;=70), "Bueno",
   OR(F272&lt;0,6,  G272&lt;50),  "Alerta",
   TRUE,           "Revisar")</f>
        <v>Alerta</v>
      </c>
      <c r="J272" s="28">
        <f t="shared" si="4"/>
        <v>0</v>
      </c>
    </row>
    <row r="273" spans="1:10" ht="18" customHeight="1" x14ac:dyDescent="0.3">
      <c r="A273" s="25" t="s">
        <v>595</v>
      </c>
      <c r="B273" s="8" t="s">
        <v>596</v>
      </c>
      <c r="C273" s="25" t="s">
        <v>63</v>
      </c>
      <c r="D273" s="25" t="s">
        <v>68</v>
      </c>
      <c r="E273" s="9">
        <v>9300000</v>
      </c>
      <c r="F273" s="26">
        <v>0.63</v>
      </c>
      <c r="G273" s="25">
        <v>81</v>
      </c>
      <c r="H273" s="27">
        <v>13.4</v>
      </c>
      <c r="I273" s="24" t="str" cm="1">
        <f t="array" ref="I273">_xlfn.IFS(
   AND(F273&gt;=0,9, G273&gt;=85), "Excelente",
   AND(F273&gt;=0,8, G273&gt;=70), "Bueno",
   OR(F273&lt;0,6,  G273&lt;50),  "Alerta",
   TRUE,           "Revisar")</f>
        <v>Bueno</v>
      </c>
      <c r="J273" s="28">
        <f t="shared" si="4"/>
        <v>930000</v>
      </c>
    </row>
    <row r="274" spans="1:10" ht="18" customHeight="1" x14ac:dyDescent="0.3">
      <c r="A274" s="18" t="s">
        <v>597</v>
      </c>
      <c r="B274" s="5" t="s">
        <v>598</v>
      </c>
      <c r="C274" s="18" t="s">
        <v>77</v>
      </c>
      <c r="D274" s="18" t="s">
        <v>92</v>
      </c>
      <c r="E274" s="6">
        <v>5900000</v>
      </c>
      <c r="F274" s="19">
        <v>0.45</v>
      </c>
      <c r="G274" s="18">
        <v>79</v>
      </c>
      <c r="H274" s="20">
        <v>4.7</v>
      </c>
      <c r="I274" s="24" t="str" cm="1">
        <f t="array" ref="I274">_xlfn.IFS(
   AND(F274&gt;=0,9, G274&gt;=85), "Excelente",
   AND(F274&gt;=0,8, G274&gt;=70), "Bueno",
   OR(F274&lt;0,6,  G274&lt;50),  "Alerta",
   TRUE,           "Revisar")</f>
        <v>Bueno</v>
      </c>
      <c r="J274" s="28">
        <f t="shared" si="4"/>
        <v>590000</v>
      </c>
    </row>
    <row r="275" spans="1:10" ht="18" customHeight="1" x14ac:dyDescent="0.3">
      <c r="A275" s="25" t="s">
        <v>599</v>
      </c>
      <c r="B275" s="8" t="s">
        <v>600</v>
      </c>
      <c r="C275" s="25" t="s">
        <v>59</v>
      </c>
      <c r="D275" s="25" t="s">
        <v>64</v>
      </c>
      <c r="E275" s="9">
        <v>6100000</v>
      </c>
      <c r="F275" s="26">
        <v>0.81</v>
      </c>
      <c r="G275" s="25">
        <v>60</v>
      </c>
      <c r="H275" s="27">
        <v>1.2</v>
      </c>
      <c r="I275" s="24" t="str" cm="1">
        <f t="array" ref="I275">_xlfn.IFS(
   AND(F275&gt;=0,9, G275&gt;=85), "Excelente",
   AND(F275&gt;=0,8, G275&gt;=70), "Bueno",
   OR(F275&lt;0,6,  G275&lt;50),  "Alerta",
   TRUE,           "Revisar")</f>
        <v>Alerta</v>
      </c>
      <c r="J275" s="28">
        <f t="shared" si="4"/>
        <v>0</v>
      </c>
    </row>
    <row r="276" spans="1:10" ht="18" customHeight="1" x14ac:dyDescent="0.3">
      <c r="A276" s="18" t="s">
        <v>601</v>
      </c>
      <c r="B276" s="5" t="s">
        <v>602</v>
      </c>
      <c r="C276" s="18" t="s">
        <v>63</v>
      </c>
      <c r="D276" s="18" t="s">
        <v>88</v>
      </c>
      <c r="E276" s="6">
        <v>11600000</v>
      </c>
      <c r="F276" s="19">
        <v>0.51</v>
      </c>
      <c r="G276" s="18">
        <v>67</v>
      </c>
      <c r="H276" s="20">
        <v>7.4</v>
      </c>
      <c r="I276" s="24" t="str" cm="1">
        <f t="array" ref="I276">_xlfn.IFS(
   AND(F276&gt;=0,9, G276&gt;=85), "Excelente",
   AND(F276&gt;=0,8, G276&gt;=70), "Bueno",
   OR(F276&lt;0,6,  G276&lt;50),  "Alerta",
   TRUE,           "Revisar")</f>
        <v>Alerta</v>
      </c>
      <c r="J276" s="28">
        <f t="shared" si="4"/>
        <v>0</v>
      </c>
    </row>
    <row r="277" spans="1:10" ht="18" customHeight="1" x14ac:dyDescent="0.3">
      <c r="A277" s="25" t="s">
        <v>603</v>
      </c>
      <c r="B277" s="8" t="s">
        <v>604</v>
      </c>
      <c r="C277" s="25" t="s">
        <v>71</v>
      </c>
      <c r="D277" s="25" t="s">
        <v>105</v>
      </c>
      <c r="E277" s="9">
        <v>10500000</v>
      </c>
      <c r="F277" s="26">
        <v>0.66</v>
      </c>
      <c r="G277" s="25">
        <v>100</v>
      </c>
      <c r="H277" s="27">
        <v>18.3</v>
      </c>
      <c r="I277" s="24" t="str" cm="1">
        <f t="array" ref="I277">_xlfn.IFS(
   AND(F277&gt;=0,9, G277&gt;=85), "Excelente",
   AND(F277&gt;=0,8, G277&gt;=70), "Bueno",
   OR(F277&lt;0,6,  G277&lt;50),  "Alerta",
   TRUE,           "Revisar")</f>
        <v>Excelente</v>
      </c>
      <c r="J277" s="28">
        <f t="shared" si="4"/>
        <v>1050000</v>
      </c>
    </row>
    <row r="278" spans="1:10" ht="18" customHeight="1" x14ac:dyDescent="0.3">
      <c r="A278" s="18" t="s">
        <v>605</v>
      </c>
      <c r="B278" s="5" t="s">
        <v>606</v>
      </c>
      <c r="C278" s="18" t="s">
        <v>67</v>
      </c>
      <c r="D278" s="18" t="s">
        <v>60</v>
      </c>
      <c r="E278" s="6">
        <v>11500000</v>
      </c>
      <c r="F278" s="19">
        <v>0.87</v>
      </c>
      <c r="G278" s="18">
        <v>40</v>
      </c>
      <c r="H278" s="20">
        <v>10.5</v>
      </c>
      <c r="I278" s="24" t="str" cm="1">
        <f t="array" ref="I278">_xlfn.IFS(
   AND(F278&gt;=0,9, G278&gt;=85), "Excelente",
   AND(F278&gt;=0,8, G278&gt;=70), "Bueno",
   OR(F278&lt;0,6,  G278&lt;50),  "Alerta",
   TRUE,           "Revisar")</f>
        <v>Alerta</v>
      </c>
      <c r="J278" s="28">
        <f t="shared" si="4"/>
        <v>0</v>
      </c>
    </row>
    <row r="279" spans="1:10" ht="18" customHeight="1" x14ac:dyDescent="0.3">
      <c r="A279" s="25" t="s">
        <v>607</v>
      </c>
      <c r="B279" s="8" t="s">
        <v>608</v>
      </c>
      <c r="C279" s="25" t="s">
        <v>81</v>
      </c>
      <c r="D279" s="25" t="s">
        <v>78</v>
      </c>
      <c r="E279" s="9">
        <v>10000000</v>
      </c>
      <c r="F279" s="26">
        <v>0.51</v>
      </c>
      <c r="G279" s="25">
        <v>100</v>
      </c>
      <c r="H279" s="27">
        <v>18.100000000000001</v>
      </c>
      <c r="I279" s="24" t="str" cm="1">
        <f t="array" ref="I279">_xlfn.IFS(
   AND(F279&gt;=0,9, G279&gt;=85), "Excelente",
   AND(F279&gt;=0,8, G279&gt;=70), "Bueno",
   OR(F279&lt;0,6,  G279&lt;50),  "Alerta",
   TRUE,           "Revisar")</f>
        <v>Excelente</v>
      </c>
      <c r="J279" s="28">
        <f t="shared" si="4"/>
        <v>1000000</v>
      </c>
    </row>
    <row r="280" spans="1:10" ht="18" customHeight="1" x14ac:dyDescent="0.3">
      <c r="A280" s="18" t="s">
        <v>609</v>
      </c>
      <c r="B280" s="5" t="s">
        <v>610</v>
      </c>
      <c r="C280" s="18" t="s">
        <v>71</v>
      </c>
      <c r="D280" s="18" t="s">
        <v>114</v>
      </c>
      <c r="E280" s="6">
        <v>6900000</v>
      </c>
      <c r="F280" s="19">
        <v>0.92</v>
      </c>
      <c r="G280" s="18">
        <v>86</v>
      </c>
      <c r="H280" s="20">
        <v>2.2999999999999998</v>
      </c>
      <c r="I280" s="24" t="str" cm="1">
        <f t="array" ref="I280">_xlfn.IFS(
   AND(F280&gt;=0,9, G280&gt;=85), "Excelente",
   AND(F280&gt;=0,8, G280&gt;=70), "Bueno",
   OR(F280&lt;0,6,  G280&lt;50),  "Alerta",
   TRUE,           "Revisar")</f>
        <v>Excelente</v>
      </c>
      <c r="J280" s="28">
        <f t="shared" si="4"/>
        <v>690000</v>
      </c>
    </row>
    <row r="281" spans="1:10" ht="18" customHeight="1" x14ac:dyDescent="0.3">
      <c r="A281" s="25" t="s">
        <v>611</v>
      </c>
      <c r="B281" s="8" t="s">
        <v>612</v>
      </c>
      <c r="C281" s="25" t="s">
        <v>77</v>
      </c>
      <c r="D281" s="25" t="s">
        <v>64</v>
      </c>
      <c r="E281" s="9">
        <v>8600000</v>
      </c>
      <c r="F281" s="26">
        <v>0.52</v>
      </c>
      <c r="G281" s="25">
        <v>83</v>
      </c>
      <c r="H281" s="27">
        <v>9.1</v>
      </c>
      <c r="I281" s="24" t="str" cm="1">
        <f t="array" ref="I281">_xlfn.IFS(
   AND(F281&gt;=0,9, G281&gt;=85), "Excelente",
   AND(F281&gt;=0,8, G281&gt;=70), "Bueno",
   OR(F281&lt;0,6,  G281&lt;50),  "Alerta",
   TRUE,           "Revisar")</f>
        <v>Bueno</v>
      </c>
      <c r="J281" s="28">
        <f t="shared" si="4"/>
        <v>860000</v>
      </c>
    </row>
    <row r="282" spans="1:10" ht="18" customHeight="1" x14ac:dyDescent="0.3">
      <c r="A282" s="18" t="s">
        <v>613</v>
      </c>
      <c r="B282" s="5" t="s">
        <v>614</v>
      </c>
      <c r="C282" s="18" t="s">
        <v>77</v>
      </c>
      <c r="D282" s="18" t="s">
        <v>88</v>
      </c>
      <c r="E282" s="6">
        <v>12000000</v>
      </c>
      <c r="F282" s="19">
        <v>0.46</v>
      </c>
      <c r="G282" s="18">
        <v>62</v>
      </c>
      <c r="H282" s="20">
        <v>16.3</v>
      </c>
      <c r="I282" s="24" t="str" cm="1">
        <f t="array" ref="I282">_xlfn.IFS(
   AND(F282&gt;=0,9, G282&gt;=85), "Excelente",
   AND(F282&gt;=0,8, G282&gt;=70), "Bueno",
   OR(F282&lt;0,6,  G282&lt;50),  "Alerta",
   TRUE,           "Revisar")</f>
        <v>Alerta</v>
      </c>
      <c r="J282" s="28">
        <f t="shared" si="4"/>
        <v>0</v>
      </c>
    </row>
    <row r="283" spans="1:10" ht="18" customHeight="1" x14ac:dyDescent="0.3">
      <c r="A283" s="25" t="s">
        <v>615</v>
      </c>
      <c r="B283" s="8" t="s">
        <v>616</v>
      </c>
      <c r="C283" s="25" t="s">
        <v>74</v>
      </c>
      <c r="D283" s="25" t="s">
        <v>64</v>
      </c>
      <c r="E283" s="9">
        <v>8200000</v>
      </c>
      <c r="F283" s="26">
        <v>0.64</v>
      </c>
      <c r="G283" s="25">
        <v>38</v>
      </c>
      <c r="H283" s="27">
        <v>10.8</v>
      </c>
      <c r="I283" s="24" t="str" cm="1">
        <f t="array" ref="I283">_xlfn.IFS(
   AND(F283&gt;=0,9, G283&gt;=85), "Excelente",
   AND(F283&gt;=0,8, G283&gt;=70), "Bueno",
   OR(F283&lt;0,6,  G283&lt;50),  "Alerta",
   TRUE,           "Revisar")</f>
        <v>Alerta</v>
      </c>
      <c r="J283" s="28">
        <f t="shared" si="4"/>
        <v>0</v>
      </c>
    </row>
    <row r="284" spans="1:10" ht="18" customHeight="1" x14ac:dyDescent="0.3">
      <c r="A284" s="18" t="s">
        <v>617</v>
      </c>
      <c r="B284" s="5" t="s">
        <v>618</v>
      </c>
      <c r="C284" s="18" t="s">
        <v>74</v>
      </c>
      <c r="D284" s="18" t="s">
        <v>105</v>
      </c>
      <c r="E284" s="6">
        <v>3200000</v>
      </c>
      <c r="F284" s="19">
        <v>0.61</v>
      </c>
      <c r="G284" s="18">
        <v>53</v>
      </c>
      <c r="H284" s="20">
        <v>15.4</v>
      </c>
      <c r="I284" s="24" t="str" cm="1">
        <f t="array" ref="I284">_xlfn.IFS(
   AND(F284&gt;=0,9, G284&gt;=85), "Excelente",
   AND(F284&gt;=0,8, G284&gt;=70), "Bueno",
   OR(F284&lt;0,6,  G284&lt;50),  "Alerta",
   TRUE,           "Revisar")</f>
        <v>Alerta</v>
      </c>
      <c r="J284" s="28">
        <f t="shared" si="4"/>
        <v>0</v>
      </c>
    </row>
    <row r="285" spans="1:10" ht="18" customHeight="1" x14ac:dyDescent="0.3">
      <c r="A285" s="25" t="s">
        <v>619</v>
      </c>
      <c r="B285" s="8" t="s">
        <v>620</v>
      </c>
      <c r="C285" s="25" t="s">
        <v>63</v>
      </c>
      <c r="D285" s="25" t="s">
        <v>68</v>
      </c>
      <c r="E285" s="9">
        <v>3800000</v>
      </c>
      <c r="F285" s="26">
        <v>0.83</v>
      </c>
      <c r="G285" s="25">
        <v>99</v>
      </c>
      <c r="H285" s="27">
        <v>2.7</v>
      </c>
      <c r="I285" s="24" t="str" cm="1">
        <f t="array" ref="I285">_xlfn.IFS(
   AND(F285&gt;=0,9, G285&gt;=85), "Excelente",
   AND(F285&gt;=0,8, G285&gt;=70), "Bueno",
   OR(F285&lt;0,6,  G285&lt;50),  "Alerta",
   TRUE,           "Revisar")</f>
        <v>Excelente</v>
      </c>
      <c r="J285" s="28">
        <f t="shared" si="4"/>
        <v>380000</v>
      </c>
    </row>
    <row r="286" spans="1:10" ht="18" customHeight="1" x14ac:dyDescent="0.3">
      <c r="A286" s="18" t="s">
        <v>621</v>
      </c>
      <c r="B286" s="5" t="s">
        <v>622</v>
      </c>
      <c r="C286" s="18" t="s">
        <v>71</v>
      </c>
      <c r="D286" s="18" t="s">
        <v>68</v>
      </c>
      <c r="E286" s="6">
        <v>9500000</v>
      </c>
      <c r="F286" s="19">
        <v>0.52</v>
      </c>
      <c r="G286" s="18">
        <v>58</v>
      </c>
      <c r="H286" s="20">
        <v>16.7</v>
      </c>
      <c r="I286" s="24" t="str" cm="1">
        <f t="array" ref="I286">_xlfn.IFS(
   AND(F286&gt;=0,9, G286&gt;=85), "Excelente",
   AND(F286&gt;=0,8, G286&gt;=70), "Bueno",
   OR(F286&lt;0,6,  G286&lt;50),  "Alerta",
   TRUE,           "Revisar")</f>
        <v>Alerta</v>
      </c>
      <c r="J286" s="28">
        <f t="shared" si="4"/>
        <v>0</v>
      </c>
    </row>
    <row r="287" spans="1:10" ht="18" customHeight="1" x14ac:dyDescent="0.3">
      <c r="A287" s="25" t="s">
        <v>623</v>
      </c>
      <c r="B287" s="8" t="s">
        <v>624</v>
      </c>
      <c r="C287" s="25" t="s">
        <v>77</v>
      </c>
      <c r="D287" s="25" t="s">
        <v>68</v>
      </c>
      <c r="E287" s="9">
        <v>9600000</v>
      </c>
      <c r="F287" s="26">
        <v>0.66</v>
      </c>
      <c r="G287" s="25">
        <v>59</v>
      </c>
      <c r="H287" s="27">
        <v>5</v>
      </c>
      <c r="I287" s="24" t="str" cm="1">
        <f t="array" ref="I287">_xlfn.IFS(
   AND(F287&gt;=0,9, G287&gt;=85), "Excelente",
   AND(F287&gt;=0,8, G287&gt;=70), "Bueno",
   OR(F287&lt;0,6,  G287&lt;50),  "Alerta",
   TRUE,           "Revisar")</f>
        <v>Alerta</v>
      </c>
      <c r="J287" s="28">
        <f t="shared" si="4"/>
        <v>0</v>
      </c>
    </row>
    <row r="288" spans="1:10" ht="18" customHeight="1" x14ac:dyDescent="0.3">
      <c r="A288" s="18" t="s">
        <v>625</v>
      </c>
      <c r="B288" s="5" t="s">
        <v>626</v>
      </c>
      <c r="C288" s="18" t="s">
        <v>74</v>
      </c>
      <c r="D288" s="18" t="s">
        <v>64</v>
      </c>
      <c r="E288" s="6">
        <v>11200000</v>
      </c>
      <c r="F288" s="19">
        <v>0.68</v>
      </c>
      <c r="G288" s="18">
        <v>32</v>
      </c>
      <c r="H288" s="20">
        <v>4.8</v>
      </c>
      <c r="I288" s="24" t="str" cm="1">
        <f t="array" ref="I288">_xlfn.IFS(
   AND(F288&gt;=0,9, G288&gt;=85), "Excelente",
   AND(F288&gt;=0,8, G288&gt;=70), "Bueno",
   OR(F288&lt;0,6,  G288&lt;50),  "Alerta",
   TRUE,           "Revisar")</f>
        <v>Alerta</v>
      </c>
      <c r="J288" s="28">
        <f t="shared" si="4"/>
        <v>0</v>
      </c>
    </row>
    <row r="289" spans="1:10" ht="18" customHeight="1" x14ac:dyDescent="0.3">
      <c r="A289" s="25" t="s">
        <v>627</v>
      </c>
      <c r="B289" s="8" t="s">
        <v>628</v>
      </c>
      <c r="C289" s="25" t="s">
        <v>91</v>
      </c>
      <c r="D289" s="25" t="s">
        <v>105</v>
      </c>
      <c r="E289" s="9">
        <v>10400000</v>
      </c>
      <c r="F289" s="26">
        <v>0.82</v>
      </c>
      <c r="G289" s="25">
        <v>36</v>
      </c>
      <c r="H289" s="27">
        <v>4.9000000000000004</v>
      </c>
      <c r="I289" s="24" t="str" cm="1">
        <f t="array" ref="I289">_xlfn.IFS(
   AND(F289&gt;=0,9, G289&gt;=85), "Excelente",
   AND(F289&gt;=0,8, G289&gt;=70), "Bueno",
   OR(F289&lt;0,6,  G289&lt;50),  "Alerta",
   TRUE,           "Revisar")</f>
        <v>Alerta</v>
      </c>
      <c r="J289" s="28">
        <f t="shared" si="4"/>
        <v>0</v>
      </c>
    </row>
    <row r="290" spans="1:10" ht="18" customHeight="1" x14ac:dyDescent="0.3">
      <c r="A290" s="18" t="s">
        <v>629</v>
      </c>
      <c r="B290" s="5" t="s">
        <v>630</v>
      </c>
      <c r="C290" s="18" t="s">
        <v>77</v>
      </c>
      <c r="D290" s="18" t="s">
        <v>60</v>
      </c>
      <c r="E290" s="6">
        <v>9700000</v>
      </c>
      <c r="F290" s="19">
        <v>0.56999999999999995</v>
      </c>
      <c r="G290" s="18">
        <v>37</v>
      </c>
      <c r="H290" s="20">
        <v>2.8</v>
      </c>
      <c r="I290" s="24" t="str" cm="1">
        <f t="array" ref="I290">_xlfn.IFS(
   AND(F290&gt;=0,9, G290&gt;=85), "Excelente",
   AND(F290&gt;=0,8, G290&gt;=70), "Bueno",
   OR(F290&lt;0,6,  G290&lt;50),  "Alerta",
   TRUE,           "Revisar")</f>
        <v>Alerta</v>
      </c>
      <c r="J290" s="28">
        <f t="shared" si="4"/>
        <v>0</v>
      </c>
    </row>
    <row r="291" spans="1:10" ht="18" customHeight="1" x14ac:dyDescent="0.3">
      <c r="A291" s="25" t="s">
        <v>631</v>
      </c>
      <c r="B291" s="8" t="s">
        <v>632</v>
      </c>
      <c r="C291" s="25" t="s">
        <v>81</v>
      </c>
      <c r="D291" s="25" t="s">
        <v>92</v>
      </c>
      <c r="E291" s="9">
        <v>5800000</v>
      </c>
      <c r="F291" s="26">
        <v>0.62</v>
      </c>
      <c r="G291" s="25">
        <v>48</v>
      </c>
      <c r="H291" s="27">
        <v>19.7</v>
      </c>
      <c r="I291" s="24" t="str" cm="1">
        <f t="array" ref="I291">_xlfn.IFS(
   AND(F291&gt;=0,9, G291&gt;=85), "Excelente",
   AND(F291&gt;=0,8, G291&gt;=70), "Bueno",
   OR(F291&lt;0,6,  G291&lt;50),  "Alerta",
   TRUE,           "Revisar")</f>
        <v>Alerta</v>
      </c>
      <c r="J291" s="28">
        <f t="shared" si="4"/>
        <v>0</v>
      </c>
    </row>
    <row r="292" spans="1:10" ht="18" customHeight="1" x14ac:dyDescent="0.3">
      <c r="A292" s="18" t="s">
        <v>633</v>
      </c>
      <c r="B292" s="5" t="s">
        <v>634</v>
      </c>
      <c r="C292" s="18" t="s">
        <v>63</v>
      </c>
      <c r="D292" s="18" t="s">
        <v>88</v>
      </c>
      <c r="E292" s="6">
        <v>6300000</v>
      </c>
      <c r="F292" s="19">
        <v>0.48</v>
      </c>
      <c r="G292" s="18">
        <v>52</v>
      </c>
      <c r="H292" s="20">
        <v>12.5</v>
      </c>
      <c r="I292" s="24" t="str" cm="1">
        <f t="array" ref="I292">_xlfn.IFS(
   AND(F292&gt;=0,9, G292&gt;=85), "Excelente",
   AND(F292&gt;=0,8, G292&gt;=70), "Bueno",
   OR(F292&lt;0,6,  G292&lt;50),  "Alerta",
   TRUE,           "Revisar")</f>
        <v>Alerta</v>
      </c>
      <c r="J292" s="28">
        <f t="shared" si="4"/>
        <v>0</v>
      </c>
    </row>
    <row r="293" spans="1:10" ht="18" customHeight="1" x14ac:dyDescent="0.3">
      <c r="A293" s="25" t="s">
        <v>635</v>
      </c>
      <c r="B293" s="8" t="s">
        <v>636</v>
      </c>
      <c r="C293" s="25" t="s">
        <v>77</v>
      </c>
      <c r="D293" s="25" t="s">
        <v>64</v>
      </c>
      <c r="E293" s="9">
        <v>7200000</v>
      </c>
      <c r="F293" s="26">
        <v>0.97</v>
      </c>
      <c r="G293" s="25">
        <v>78</v>
      </c>
      <c r="H293" s="27">
        <v>15.7</v>
      </c>
      <c r="I293" s="24" t="str" cm="1">
        <f t="array" ref="I293">_xlfn.IFS(
   AND(F293&gt;=0,9, G293&gt;=85), "Excelente",
   AND(F293&gt;=0,8, G293&gt;=70), "Bueno",
   OR(F293&lt;0,6,  G293&lt;50),  "Alerta",
   TRUE,           "Revisar")</f>
        <v>Bueno</v>
      </c>
      <c r="J293" s="28">
        <f t="shared" si="4"/>
        <v>720000</v>
      </c>
    </row>
    <row r="294" spans="1:10" ht="18" customHeight="1" x14ac:dyDescent="0.3">
      <c r="A294" s="18" t="s">
        <v>637</v>
      </c>
      <c r="B294" s="5" t="s">
        <v>638</v>
      </c>
      <c r="C294" s="18" t="s">
        <v>63</v>
      </c>
      <c r="D294" s="18" t="s">
        <v>68</v>
      </c>
      <c r="E294" s="6">
        <v>4700000</v>
      </c>
      <c r="F294" s="19">
        <v>0.61</v>
      </c>
      <c r="G294" s="18">
        <v>53</v>
      </c>
      <c r="H294" s="20">
        <v>15.1</v>
      </c>
      <c r="I294" s="24" t="str" cm="1">
        <f t="array" ref="I294">_xlfn.IFS(
   AND(F294&gt;=0,9, G294&gt;=85), "Excelente",
   AND(F294&gt;=0,8, G294&gt;=70), "Bueno",
   OR(F294&lt;0,6,  G294&lt;50),  "Alerta",
   TRUE,           "Revisar")</f>
        <v>Alerta</v>
      </c>
      <c r="J294" s="28">
        <f t="shared" si="4"/>
        <v>0</v>
      </c>
    </row>
    <row r="295" spans="1:10" ht="18" customHeight="1" x14ac:dyDescent="0.3">
      <c r="A295" s="25" t="s">
        <v>639</v>
      </c>
      <c r="B295" s="8" t="s">
        <v>640</v>
      </c>
      <c r="C295" s="25" t="s">
        <v>67</v>
      </c>
      <c r="D295" s="25" t="s">
        <v>88</v>
      </c>
      <c r="E295" s="9">
        <v>11800000</v>
      </c>
      <c r="F295" s="26">
        <v>0.53</v>
      </c>
      <c r="G295" s="25">
        <v>89</v>
      </c>
      <c r="H295" s="27">
        <v>18.3</v>
      </c>
      <c r="I295" s="24" t="str" cm="1">
        <f t="array" ref="I295">_xlfn.IFS(
   AND(F295&gt;=0,9, G295&gt;=85), "Excelente",
   AND(F295&gt;=0,8, G295&gt;=70), "Bueno",
   OR(F295&lt;0,6,  G295&lt;50),  "Alerta",
   TRUE,           "Revisar")</f>
        <v>Excelente</v>
      </c>
      <c r="J295" s="28">
        <f t="shared" si="4"/>
        <v>1180000</v>
      </c>
    </row>
    <row r="296" spans="1:10" ht="18" customHeight="1" x14ac:dyDescent="0.3">
      <c r="A296" s="18" t="s">
        <v>641</v>
      </c>
      <c r="B296" s="5" t="s">
        <v>642</v>
      </c>
      <c r="C296" s="18" t="s">
        <v>63</v>
      </c>
      <c r="D296" s="18" t="s">
        <v>114</v>
      </c>
      <c r="E296" s="6">
        <v>7700000</v>
      </c>
      <c r="F296" s="19">
        <v>0.57999999999999996</v>
      </c>
      <c r="G296" s="18">
        <v>56</v>
      </c>
      <c r="H296" s="20">
        <v>6.6</v>
      </c>
      <c r="I296" s="24" t="str" cm="1">
        <f t="array" ref="I296">_xlfn.IFS(
   AND(F296&gt;=0,9, G296&gt;=85), "Excelente",
   AND(F296&gt;=0,8, G296&gt;=70), "Bueno",
   OR(F296&lt;0,6,  G296&lt;50),  "Alerta",
   TRUE,           "Revisar")</f>
        <v>Alerta</v>
      </c>
      <c r="J296" s="28">
        <f t="shared" si="4"/>
        <v>0</v>
      </c>
    </row>
    <row r="297" spans="1:10" ht="18" customHeight="1" x14ac:dyDescent="0.3">
      <c r="A297" s="25" t="s">
        <v>643</v>
      </c>
      <c r="B297" s="8" t="s">
        <v>644</v>
      </c>
      <c r="C297" s="25" t="s">
        <v>77</v>
      </c>
      <c r="D297" s="25" t="s">
        <v>92</v>
      </c>
      <c r="E297" s="9">
        <v>3900000</v>
      </c>
      <c r="F297" s="26">
        <v>0.74</v>
      </c>
      <c r="G297" s="25">
        <v>54</v>
      </c>
      <c r="H297" s="27">
        <v>1</v>
      </c>
      <c r="I297" s="24" t="str" cm="1">
        <f t="array" ref="I297">_xlfn.IFS(
   AND(F297&gt;=0,9, G297&gt;=85), "Excelente",
   AND(F297&gt;=0,8, G297&gt;=70), "Bueno",
   OR(F297&lt;0,6,  G297&lt;50),  "Alerta",
   TRUE,           "Revisar")</f>
        <v>Alerta</v>
      </c>
      <c r="J297" s="28">
        <f t="shared" si="4"/>
        <v>0</v>
      </c>
    </row>
    <row r="298" spans="1:10" ht="18" customHeight="1" x14ac:dyDescent="0.3">
      <c r="A298" s="18" t="s">
        <v>645</v>
      </c>
      <c r="B298" s="5" t="s">
        <v>646</v>
      </c>
      <c r="C298" s="18" t="s">
        <v>91</v>
      </c>
      <c r="D298" s="18" t="s">
        <v>78</v>
      </c>
      <c r="E298" s="6">
        <v>5200000</v>
      </c>
      <c r="F298" s="19">
        <v>0.89</v>
      </c>
      <c r="G298" s="18">
        <v>57</v>
      </c>
      <c r="H298" s="20">
        <v>9.6</v>
      </c>
      <c r="I298" s="24" t="str" cm="1">
        <f t="array" ref="I298">_xlfn.IFS(
   AND(F298&gt;=0,9, G298&gt;=85), "Excelente",
   AND(F298&gt;=0,8, G298&gt;=70), "Bueno",
   OR(F298&lt;0,6,  G298&lt;50),  "Alerta",
   TRUE,           "Revisar")</f>
        <v>Alerta</v>
      </c>
      <c r="J298" s="28">
        <f t="shared" si="4"/>
        <v>0</v>
      </c>
    </row>
    <row r="299" spans="1:10" ht="18" customHeight="1" x14ac:dyDescent="0.3">
      <c r="A299" s="25" t="s">
        <v>647</v>
      </c>
      <c r="B299" s="8" t="s">
        <v>648</v>
      </c>
      <c r="C299" s="25" t="s">
        <v>91</v>
      </c>
      <c r="D299" s="25" t="s">
        <v>60</v>
      </c>
      <c r="E299" s="9">
        <v>5200000</v>
      </c>
      <c r="F299" s="26">
        <v>0.98</v>
      </c>
      <c r="G299" s="25">
        <v>45</v>
      </c>
      <c r="H299" s="27">
        <v>14.9</v>
      </c>
      <c r="I299" s="24" t="str" cm="1">
        <f t="array" ref="I299">_xlfn.IFS(
   AND(F299&gt;=0,9, G299&gt;=85), "Excelente",
   AND(F299&gt;=0,8, G299&gt;=70), "Bueno",
   OR(F299&lt;0,6,  G299&lt;50),  "Alerta",
   TRUE,           "Revisar")</f>
        <v>Alerta</v>
      </c>
      <c r="J299" s="28">
        <f t="shared" si="4"/>
        <v>0</v>
      </c>
    </row>
    <row r="300" spans="1:10" ht="18" customHeight="1" x14ac:dyDescent="0.3">
      <c r="A300" s="18" t="s">
        <v>649</v>
      </c>
      <c r="B300" s="5" t="s">
        <v>650</v>
      </c>
      <c r="C300" s="18" t="s">
        <v>67</v>
      </c>
      <c r="D300" s="18" t="s">
        <v>60</v>
      </c>
      <c r="E300" s="6">
        <v>7800000</v>
      </c>
      <c r="F300" s="19">
        <v>0.95</v>
      </c>
      <c r="G300" s="18">
        <v>100</v>
      </c>
      <c r="H300" s="20">
        <v>6.4</v>
      </c>
      <c r="I300" s="24" t="str" cm="1">
        <f t="array" ref="I300">_xlfn.IFS(
   AND(F300&gt;=0,9, G300&gt;=85), "Excelente",
   AND(F300&gt;=0,8, G300&gt;=70), "Bueno",
   OR(F300&lt;0,6,  G300&lt;50),  "Alerta",
   TRUE,           "Revisar")</f>
        <v>Excelente</v>
      </c>
      <c r="J300" s="28">
        <f t="shared" si="4"/>
        <v>780000</v>
      </c>
    </row>
    <row r="301" spans="1:10" ht="18" customHeight="1" x14ac:dyDescent="0.3">
      <c r="A301" s="25" t="s">
        <v>651</v>
      </c>
      <c r="B301" s="8" t="s">
        <v>652</v>
      </c>
      <c r="C301" s="25" t="s">
        <v>77</v>
      </c>
      <c r="D301" s="25" t="s">
        <v>92</v>
      </c>
      <c r="E301" s="9">
        <v>6700000</v>
      </c>
      <c r="F301" s="26">
        <v>0.59</v>
      </c>
      <c r="G301" s="25">
        <v>95</v>
      </c>
      <c r="H301" s="27">
        <v>17.7</v>
      </c>
      <c r="I301" s="24" t="str" cm="1">
        <f t="array" ref="I301">_xlfn.IFS(
   AND(F301&gt;=0,9, G301&gt;=85), "Excelente",
   AND(F301&gt;=0,8, G301&gt;=70), "Bueno",
   OR(F301&lt;0,6,  G301&lt;50),  "Alerta",
   TRUE,           "Revisar")</f>
        <v>Excelente</v>
      </c>
      <c r="J301" s="28">
        <f t="shared" si="4"/>
        <v>670000</v>
      </c>
    </row>
    <row r="302" spans="1:10" ht="18" customHeight="1" x14ac:dyDescent="0.3">
      <c r="A302" s="18" t="s">
        <v>653</v>
      </c>
      <c r="B302" s="5" t="s">
        <v>654</v>
      </c>
      <c r="C302" s="18" t="s">
        <v>77</v>
      </c>
      <c r="D302" s="18" t="s">
        <v>92</v>
      </c>
      <c r="E302" s="6">
        <v>5400000</v>
      </c>
      <c r="F302" s="19">
        <v>0.65</v>
      </c>
      <c r="G302" s="18">
        <v>82</v>
      </c>
      <c r="H302" s="20">
        <v>0.9</v>
      </c>
      <c r="I302" s="24" t="str" cm="1">
        <f t="array" ref="I302">_xlfn.IFS(
   AND(F302&gt;=0,9, G302&gt;=85), "Excelente",
   AND(F302&gt;=0,8, G302&gt;=70), "Bueno",
   OR(F302&lt;0,6,  G302&lt;50),  "Alerta",
   TRUE,           "Revisar")</f>
        <v>Bueno</v>
      </c>
      <c r="J302" s="28">
        <f t="shared" si="4"/>
        <v>540000</v>
      </c>
    </row>
    <row r="303" spans="1:10" ht="18" customHeight="1" x14ac:dyDescent="0.3">
      <c r="A303" s="25" t="s">
        <v>655</v>
      </c>
      <c r="B303" s="8" t="s">
        <v>656</v>
      </c>
      <c r="C303" s="25" t="s">
        <v>71</v>
      </c>
      <c r="D303" s="25" t="s">
        <v>64</v>
      </c>
      <c r="E303" s="9">
        <v>6100000</v>
      </c>
      <c r="F303" s="26">
        <v>0.75</v>
      </c>
      <c r="G303" s="25">
        <v>83</v>
      </c>
      <c r="H303" s="27">
        <v>5.9</v>
      </c>
      <c r="I303" s="24" t="str" cm="1">
        <f t="array" ref="I303">_xlfn.IFS(
   AND(F303&gt;=0,9, G303&gt;=85), "Excelente",
   AND(F303&gt;=0,8, G303&gt;=70), "Bueno",
   OR(F303&lt;0,6,  G303&lt;50),  "Alerta",
   TRUE,           "Revisar")</f>
        <v>Bueno</v>
      </c>
      <c r="J303" s="28">
        <f t="shared" si="4"/>
        <v>610000</v>
      </c>
    </row>
    <row r="304" spans="1:10" ht="18" customHeight="1" x14ac:dyDescent="0.3">
      <c r="A304" s="18" t="s">
        <v>657</v>
      </c>
      <c r="B304" s="5" t="s">
        <v>658</v>
      </c>
      <c r="C304" s="18" t="s">
        <v>67</v>
      </c>
      <c r="D304" s="18" t="s">
        <v>68</v>
      </c>
      <c r="E304" s="6">
        <v>10000000</v>
      </c>
      <c r="F304" s="19">
        <v>0.91</v>
      </c>
      <c r="G304" s="18">
        <v>93</v>
      </c>
      <c r="H304" s="20">
        <v>11</v>
      </c>
      <c r="I304" s="24" t="str" cm="1">
        <f t="array" ref="I304">_xlfn.IFS(
   AND(F304&gt;=0,9, G304&gt;=85), "Excelente",
   AND(F304&gt;=0,8, G304&gt;=70), "Bueno",
   OR(F304&lt;0,6,  G304&lt;50),  "Alerta",
   TRUE,           "Revisar")</f>
        <v>Excelente</v>
      </c>
      <c r="J304" s="28">
        <f t="shared" si="4"/>
        <v>1000000</v>
      </c>
    </row>
    <row r="305" spans="1:10" ht="18" customHeight="1" x14ac:dyDescent="0.3">
      <c r="A305" s="25" t="s">
        <v>659</v>
      </c>
      <c r="B305" s="8" t="s">
        <v>660</v>
      </c>
      <c r="C305" s="25" t="s">
        <v>77</v>
      </c>
      <c r="D305" s="25" t="s">
        <v>105</v>
      </c>
      <c r="E305" s="9">
        <v>8600000</v>
      </c>
      <c r="F305" s="26">
        <v>0.54</v>
      </c>
      <c r="G305" s="25">
        <v>75</v>
      </c>
      <c r="H305" s="27">
        <v>3.4</v>
      </c>
      <c r="I305" s="24" t="str" cm="1">
        <f t="array" ref="I305">_xlfn.IFS(
   AND(F305&gt;=0,9, G305&gt;=85), "Excelente",
   AND(F305&gt;=0,8, G305&gt;=70), "Bueno",
   OR(F305&lt;0,6,  G305&lt;50),  "Alerta",
   TRUE,           "Revisar")</f>
        <v>Bueno</v>
      </c>
      <c r="J305" s="28">
        <f t="shared" si="4"/>
        <v>860000</v>
      </c>
    </row>
    <row r="306" spans="1:10" ht="18" customHeight="1" x14ac:dyDescent="0.3">
      <c r="A306" s="18" t="s">
        <v>661</v>
      </c>
      <c r="B306" s="5" t="s">
        <v>662</v>
      </c>
      <c r="C306" s="18" t="s">
        <v>91</v>
      </c>
      <c r="D306" s="18" t="s">
        <v>64</v>
      </c>
      <c r="E306" s="6">
        <v>3700000</v>
      </c>
      <c r="F306" s="19">
        <v>0.97</v>
      </c>
      <c r="G306" s="18">
        <v>36</v>
      </c>
      <c r="H306" s="20">
        <v>15.3</v>
      </c>
      <c r="I306" s="24" t="str" cm="1">
        <f t="array" ref="I306">_xlfn.IFS(
   AND(F306&gt;=0,9, G306&gt;=85), "Excelente",
   AND(F306&gt;=0,8, G306&gt;=70), "Bueno",
   OR(F306&lt;0,6,  G306&lt;50),  "Alerta",
   TRUE,           "Revisar")</f>
        <v>Alerta</v>
      </c>
      <c r="J306" s="28">
        <f t="shared" si="4"/>
        <v>0</v>
      </c>
    </row>
    <row r="307" spans="1:10" ht="18" customHeight="1" x14ac:dyDescent="0.3">
      <c r="A307" s="25" t="s">
        <v>663</v>
      </c>
      <c r="B307" s="8" t="s">
        <v>664</v>
      </c>
      <c r="C307" s="25" t="s">
        <v>67</v>
      </c>
      <c r="D307" s="25" t="s">
        <v>78</v>
      </c>
      <c r="E307" s="9">
        <v>11800000</v>
      </c>
      <c r="F307" s="26">
        <v>0.53</v>
      </c>
      <c r="G307" s="25">
        <v>57</v>
      </c>
      <c r="H307" s="27">
        <v>10.1</v>
      </c>
      <c r="I307" s="24" t="str" cm="1">
        <f t="array" ref="I307">_xlfn.IFS(
   AND(F307&gt;=0,9, G307&gt;=85), "Excelente",
   AND(F307&gt;=0,8, G307&gt;=70), "Bueno",
   OR(F307&lt;0,6,  G307&lt;50),  "Alerta",
   TRUE,           "Revisar")</f>
        <v>Alerta</v>
      </c>
      <c r="J307" s="28">
        <f t="shared" si="4"/>
        <v>0</v>
      </c>
    </row>
    <row r="308" spans="1:10" ht="18" customHeight="1" x14ac:dyDescent="0.3">
      <c r="A308" s="18" t="s">
        <v>665</v>
      </c>
      <c r="B308" s="5" t="s">
        <v>666</v>
      </c>
      <c r="C308" s="18" t="s">
        <v>77</v>
      </c>
      <c r="D308" s="18" t="s">
        <v>105</v>
      </c>
      <c r="E308" s="6">
        <v>3000000</v>
      </c>
      <c r="F308" s="19">
        <v>0.45</v>
      </c>
      <c r="G308" s="18">
        <v>100</v>
      </c>
      <c r="H308" s="20">
        <v>8.1999999999999993</v>
      </c>
      <c r="I308" s="24" t="str" cm="1">
        <f t="array" ref="I308">_xlfn.IFS(
   AND(F308&gt;=0,9, G308&gt;=85), "Excelente",
   AND(F308&gt;=0,8, G308&gt;=70), "Bueno",
   OR(F308&lt;0,6,  G308&lt;50),  "Alerta",
   TRUE,           "Revisar")</f>
        <v>Excelente</v>
      </c>
      <c r="J308" s="28">
        <f t="shared" si="4"/>
        <v>300000</v>
      </c>
    </row>
    <row r="309" spans="1:10" ht="18" customHeight="1" x14ac:dyDescent="0.3">
      <c r="A309" s="25" t="s">
        <v>667</v>
      </c>
      <c r="B309" s="8" t="s">
        <v>668</v>
      </c>
      <c r="C309" s="25" t="s">
        <v>59</v>
      </c>
      <c r="D309" s="25" t="s">
        <v>88</v>
      </c>
      <c r="E309" s="9">
        <v>3000000</v>
      </c>
      <c r="F309" s="26">
        <v>0.73</v>
      </c>
      <c r="G309" s="25">
        <v>85</v>
      </c>
      <c r="H309" s="27">
        <v>16.100000000000001</v>
      </c>
      <c r="I309" s="24" t="str" cm="1">
        <f t="array" ref="I309">_xlfn.IFS(
   AND(F309&gt;=0,9, G309&gt;=85), "Excelente",
   AND(F309&gt;=0,8, G309&gt;=70), "Bueno",
   OR(F309&lt;0,6,  G309&lt;50),  "Alerta",
   TRUE,           "Revisar")</f>
        <v>Excelente</v>
      </c>
      <c r="J309" s="28">
        <f t="shared" si="4"/>
        <v>300000</v>
      </c>
    </row>
    <row r="310" spans="1:10" ht="18" customHeight="1" x14ac:dyDescent="0.3">
      <c r="A310" s="18" t="s">
        <v>669</v>
      </c>
      <c r="B310" s="5" t="s">
        <v>670</v>
      </c>
      <c r="C310" s="18" t="s">
        <v>71</v>
      </c>
      <c r="D310" s="18" t="s">
        <v>60</v>
      </c>
      <c r="E310" s="6">
        <v>5200000</v>
      </c>
      <c r="F310" s="19">
        <v>0.79</v>
      </c>
      <c r="G310" s="18">
        <v>62</v>
      </c>
      <c r="H310" s="20">
        <v>16.3</v>
      </c>
      <c r="I310" s="24" t="str" cm="1">
        <f t="array" ref="I310">_xlfn.IFS(
   AND(F310&gt;=0,9, G310&gt;=85), "Excelente",
   AND(F310&gt;=0,8, G310&gt;=70), "Bueno",
   OR(F310&lt;0,6,  G310&lt;50),  "Alerta",
   TRUE,           "Revisar")</f>
        <v>Alerta</v>
      </c>
      <c r="J310" s="28">
        <f t="shared" si="4"/>
        <v>0</v>
      </c>
    </row>
    <row r="311" spans="1:10" ht="18" customHeight="1" x14ac:dyDescent="0.3">
      <c r="A311" s="25" t="s">
        <v>671</v>
      </c>
      <c r="B311" s="8" t="s">
        <v>672</v>
      </c>
      <c r="C311" s="25" t="s">
        <v>63</v>
      </c>
      <c r="D311" s="25" t="s">
        <v>78</v>
      </c>
      <c r="E311" s="9">
        <v>7500000</v>
      </c>
      <c r="F311" s="26">
        <v>0.98</v>
      </c>
      <c r="G311" s="25">
        <v>88</v>
      </c>
      <c r="H311" s="27">
        <v>11.3</v>
      </c>
      <c r="I311" s="24" t="str" cm="1">
        <f t="array" ref="I311">_xlfn.IFS(
   AND(F311&gt;=0,9, G311&gt;=85), "Excelente",
   AND(F311&gt;=0,8, G311&gt;=70), "Bueno",
   OR(F311&lt;0,6,  G311&lt;50),  "Alerta",
   TRUE,           "Revisar")</f>
        <v>Excelente</v>
      </c>
      <c r="J311" s="28">
        <f t="shared" si="4"/>
        <v>750000</v>
      </c>
    </row>
    <row r="312" spans="1:10" ht="18" customHeight="1" x14ac:dyDescent="0.3">
      <c r="A312" s="18" t="s">
        <v>673</v>
      </c>
      <c r="B312" s="5" t="s">
        <v>674</v>
      </c>
      <c r="C312" s="18" t="s">
        <v>91</v>
      </c>
      <c r="D312" s="18" t="s">
        <v>78</v>
      </c>
      <c r="E312" s="6">
        <v>7900000</v>
      </c>
      <c r="F312" s="19">
        <v>0.66</v>
      </c>
      <c r="G312" s="18">
        <v>100</v>
      </c>
      <c r="H312" s="20">
        <v>9.5</v>
      </c>
      <c r="I312" s="24" t="str" cm="1">
        <f t="array" ref="I312">_xlfn.IFS(
   AND(F312&gt;=0,9, G312&gt;=85), "Excelente",
   AND(F312&gt;=0,8, G312&gt;=70), "Bueno",
   OR(F312&lt;0,6,  G312&lt;50),  "Alerta",
   TRUE,           "Revisar")</f>
        <v>Excelente</v>
      </c>
      <c r="J312" s="28">
        <f t="shared" si="4"/>
        <v>790000</v>
      </c>
    </row>
    <row r="313" spans="1:10" ht="18" customHeight="1" x14ac:dyDescent="0.3">
      <c r="A313" s="25" t="s">
        <v>675</v>
      </c>
      <c r="B313" s="8" t="s">
        <v>676</v>
      </c>
      <c r="C313" s="25" t="s">
        <v>77</v>
      </c>
      <c r="D313" s="25" t="s">
        <v>68</v>
      </c>
      <c r="E313" s="9">
        <v>11000000</v>
      </c>
      <c r="F313" s="26">
        <v>0.88</v>
      </c>
      <c r="G313" s="25">
        <v>42</v>
      </c>
      <c r="H313" s="27">
        <v>17.899999999999999</v>
      </c>
      <c r="I313" s="24" t="str" cm="1">
        <f t="array" ref="I313">_xlfn.IFS(
   AND(F313&gt;=0,9, G313&gt;=85), "Excelente",
   AND(F313&gt;=0,8, G313&gt;=70), "Bueno",
   OR(F313&lt;0,6,  G313&lt;50),  "Alerta",
   TRUE,           "Revisar")</f>
        <v>Alerta</v>
      </c>
      <c r="J313" s="28">
        <f t="shared" si="4"/>
        <v>0</v>
      </c>
    </row>
    <row r="314" spans="1:10" ht="18" customHeight="1" x14ac:dyDescent="0.3">
      <c r="A314" s="18" t="s">
        <v>677</v>
      </c>
      <c r="B314" s="5" t="s">
        <v>678</v>
      </c>
      <c r="C314" s="18" t="s">
        <v>77</v>
      </c>
      <c r="D314" s="18" t="s">
        <v>88</v>
      </c>
      <c r="E314" s="6">
        <v>3300000</v>
      </c>
      <c r="F314" s="19">
        <v>0.96</v>
      </c>
      <c r="G314" s="18">
        <v>65</v>
      </c>
      <c r="H314" s="20">
        <v>18</v>
      </c>
      <c r="I314" s="24" t="str" cm="1">
        <f t="array" ref="I314">_xlfn.IFS(
   AND(F314&gt;=0,9, G314&gt;=85), "Excelente",
   AND(F314&gt;=0,8, G314&gt;=70), "Bueno",
   OR(F314&lt;0,6,  G314&lt;50),  "Alerta",
   TRUE,           "Revisar")</f>
        <v>Alerta</v>
      </c>
      <c r="J314" s="28">
        <f t="shared" si="4"/>
        <v>0</v>
      </c>
    </row>
    <row r="315" spans="1:10" ht="18" customHeight="1" x14ac:dyDescent="0.3">
      <c r="A315" s="25" t="s">
        <v>679</v>
      </c>
      <c r="B315" s="8" t="s">
        <v>680</v>
      </c>
      <c r="C315" s="25" t="s">
        <v>81</v>
      </c>
      <c r="D315" s="25" t="s">
        <v>64</v>
      </c>
      <c r="E315" s="9">
        <v>5400000</v>
      </c>
      <c r="F315" s="26">
        <v>0.77</v>
      </c>
      <c r="G315" s="25">
        <v>80</v>
      </c>
      <c r="H315" s="27">
        <v>18.600000000000001</v>
      </c>
      <c r="I315" s="24" t="str" cm="1">
        <f t="array" ref="I315">_xlfn.IFS(
   AND(F315&gt;=0,9, G315&gt;=85), "Excelente",
   AND(F315&gt;=0,8, G315&gt;=70), "Bueno",
   OR(F315&lt;0,6,  G315&lt;50),  "Alerta",
   TRUE,           "Revisar")</f>
        <v>Bueno</v>
      </c>
      <c r="J315" s="28">
        <f t="shared" si="4"/>
        <v>540000</v>
      </c>
    </row>
    <row r="316" spans="1:10" ht="18" customHeight="1" x14ac:dyDescent="0.3">
      <c r="A316" s="18" t="s">
        <v>681</v>
      </c>
      <c r="B316" s="5" t="s">
        <v>682</v>
      </c>
      <c r="C316" s="18" t="s">
        <v>63</v>
      </c>
      <c r="D316" s="18" t="s">
        <v>92</v>
      </c>
      <c r="E316" s="6">
        <v>7700000</v>
      </c>
      <c r="F316" s="19">
        <v>0.87</v>
      </c>
      <c r="G316" s="18">
        <v>47</v>
      </c>
      <c r="H316" s="20">
        <v>15.8</v>
      </c>
      <c r="I316" s="24" t="str" cm="1">
        <f t="array" ref="I316">_xlfn.IFS(
   AND(F316&gt;=0,9, G316&gt;=85), "Excelente",
   AND(F316&gt;=0,8, G316&gt;=70), "Bueno",
   OR(F316&lt;0,6,  G316&lt;50),  "Alerta",
   TRUE,           "Revisar")</f>
        <v>Alerta</v>
      </c>
      <c r="J316" s="28">
        <f t="shared" si="4"/>
        <v>0</v>
      </c>
    </row>
    <row r="317" spans="1:10" ht="18" customHeight="1" x14ac:dyDescent="0.3">
      <c r="A317" s="25" t="s">
        <v>683</v>
      </c>
      <c r="B317" s="8" t="s">
        <v>684</v>
      </c>
      <c r="C317" s="25" t="s">
        <v>74</v>
      </c>
      <c r="D317" s="25" t="s">
        <v>68</v>
      </c>
      <c r="E317" s="9">
        <v>5700000</v>
      </c>
      <c r="F317" s="26">
        <v>0.91</v>
      </c>
      <c r="G317" s="25">
        <v>73</v>
      </c>
      <c r="H317" s="27">
        <v>12.1</v>
      </c>
      <c r="I317" s="24" t="str" cm="1">
        <f t="array" ref="I317">_xlfn.IFS(
   AND(F317&gt;=0,9, G317&gt;=85), "Excelente",
   AND(F317&gt;=0,8, G317&gt;=70), "Bueno",
   OR(F317&lt;0,6,  G317&lt;50),  "Alerta",
   TRUE,           "Revisar")</f>
        <v>Bueno</v>
      </c>
      <c r="J317" s="28">
        <f t="shared" si="4"/>
        <v>570000</v>
      </c>
    </row>
    <row r="318" spans="1:10" ht="18" customHeight="1" x14ac:dyDescent="0.3">
      <c r="A318" s="18" t="s">
        <v>685</v>
      </c>
      <c r="B318" s="5" t="s">
        <v>686</v>
      </c>
      <c r="C318" s="18" t="s">
        <v>63</v>
      </c>
      <c r="D318" s="18" t="s">
        <v>92</v>
      </c>
      <c r="E318" s="6">
        <v>3100000</v>
      </c>
      <c r="F318" s="19">
        <v>0.8</v>
      </c>
      <c r="G318" s="18">
        <v>87</v>
      </c>
      <c r="H318" s="20">
        <v>9.8000000000000007</v>
      </c>
      <c r="I318" s="24" t="str" cm="1">
        <f t="array" ref="I318">_xlfn.IFS(
   AND(F318&gt;=0,9, G318&gt;=85), "Excelente",
   AND(F318&gt;=0,8, G318&gt;=70), "Bueno",
   OR(F318&lt;0,6,  G318&lt;50),  "Alerta",
   TRUE,           "Revisar")</f>
        <v>Excelente</v>
      </c>
      <c r="J318" s="28">
        <f t="shared" si="4"/>
        <v>310000</v>
      </c>
    </row>
    <row r="319" spans="1:10" ht="18" customHeight="1" x14ac:dyDescent="0.3">
      <c r="A319" s="25" t="s">
        <v>687</v>
      </c>
      <c r="B319" s="8" t="s">
        <v>688</v>
      </c>
      <c r="C319" s="25" t="s">
        <v>63</v>
      </c>
      <c r="D319" s="25" t="s">
        <v>68</v>
      </c>
      <c r="E319" s="9">
        <v>5100000</v>
      </c>
      <c r="F319" s="26">
        <v>0.82</v>
      </c>
      <c r="G319" s="25">
        <v>78</v>
      </c>
      <c r="H319" s="27">
        <v>1.7</v>
      </c>
      <c r="I319" s="24" t="str" cm="1">
        <f t="array" ref="I319">_xlfn.IFS(
   AND(F319&gt;=0,9, G319&gt;=85), "Excelente",
   AND(F319&gt;=0,8, G319&gt;=70), "Bueno",
   OR(F319&lt;0,6,  G319&lt;50),  "Alerta",
   TRUE,           "Revisar")</f>
        <v>Bueno</v>
      </c>
      <c r="J319" s="28">
        <f t="shared" si="4"/>
        <v>510000</v>
      </c>
    </row>
    <row r="320" spans="1:10" ht="18" customHeight="1" x14ac:dyDescent="0.3">
      <c r="A320" s="18" t="s">
        <v>689</v>
      </c>
      <c r="B320" s="5" t="s">
        <v>690</v>
      </c>
      <c r="C320" s="18" t="s">
        <v>74</v>
      </c>
      <c r="D320" s="18" t="s">
        <v>78</v>
      </c>
      <c r="E320" s="6">
        <v>6200000</v>
      </c>
      <c r="F320" s="19">
        <v>0.53</v>
      </c>
      <c r="G320" s="18">
        <v>49</v>
      </c>
      <c r="H320" s="20">
        <v>14.8</v>
      </c>
      <c r="I320" s="24" t="str" cm="1">
        <f t="array" ref="I320">_xlfn.IFS(
   AND(F320&gt;=0,9, G320&gt;=85), "Excelente",
   AND(F320&gt;=0,8, G320&gt;=70), "Bueno",
   OR(F320&lt;0,6,  G320&lt;50),  "Alerta",
   TRUE,           "Revisar")</f>
        <v>Alerta</v>
      </c>
      <c r="J320" s="28">
        <f t="shared" si="4"/>
        <v>0</v>
      </c>
    </row>
    <row r="321" spans="1:10" ht="18" customHeight="1" x14ac:dyDescent="0.3">
      <c r="A321" s="25" t="s">
        <v>691</v>
      </c>
      <c r="B321" s="8" t="s">
        <v>692</v>
      </c>
      <c r="C321" s="25" t="s">
        <v>74</v>
      </c>
      <c r="D321" s="25" t="s">
        <v>78</v>
      </c>
      <c r="E321" s="9">
        <v>2800000</v>
      </c>
      <c r="F321" s="26">
        <v>0.97</v>
      </c>
      <c r="G321" s="25">
        <v>86</v>
      </c>
      <c r="H321" s="27">
        <v>7.2</v>
      </c>
      <c r="I321" s="24" t="str" cm="1">
        <f t="array" ref="I321">_xlfn.IFS(
   AND(F321&gt;=0,9, G321&gt;=85), "Excelente",
   AND(F321&gt;=0,8, G321&gt;=70), "Bueno",
   OR(F321&lt;0,6,  G321&lt;50),  "Alerta",
   TRUE,           "Revisar")</f>
        <v>Excelente</v>
      </c>
      <c r="J321" s="28">
        <f t="shared" si="4"/>
        <v>280000</v>
      </c>
    </row>
    <row r="322" spans="1:10" ht="18" customHeight="1" x14ac:dyDescent="0.3">
      <c r="A322" s="18" t="s">
        <v>693</v>
      </c>
      <c r="B322" s="5" t="s">
        <v>694</v>
      </c>
      <c r="C322" s="18" t="s">
        <v>71</v>
      </c>
      <c r="D322" s="18" t="s">
        <v>78</v>
      </c>
      <c r="E322" s="6">
        <v>5100000</v>
      </c>
      <c r="F322" s="19">
        <v>0.69</v>
      </c>
      <c r="G322" s="18">
        <v>95</v>
      </c>
      <c r="H322" s="20">
        <v>8.1999999999999993</v>
      </c>
      <c r="I322" s="24" t="str" cm="1">
        <f t="array" ref="I322">_xlfn.IFS(
   AND(F322&gt;=0,9, G322&gt;=85), "Excelente",
   AND(F322&gt;=0,8, G322&gt;=70), "Bueno",
   OR(F322&lt;0,6,  G322&lt;50),  "Alerta",
   TRUE,           "Revisar")</f>
        <v>Excelente</v>
      </c>
      <c r="J322" s="28">
        <f t="shared" si="4"/>
        <v>510000</v>
      </c>
    </row>
    <row r="323" spans="1:10" ht="18" customHeight="1" x14ac:dyDescent="0.3">
      <c r="A323" s="25" t="s">
        <v>695</v>
      </c>
      <c r="B323" s="8" t="s">
        <v>696</v>
      </c>
      <c r="C323" s="25" t="s">
        <v>81</v>
      </c>
      <c r="D323" s="25" t="s">
        <v>78</v>
      </c>
      <c r="E323" s="9">
        <v>10400000</v>
      </c>
      <c r="F323" s="26">
        <v>0.78</v>
      </c>
      <c r="G323" s="25">
        <v>71</v>
      </c>
      <c r="H323" s="27">
        <v>17.3</v>
      </c>
      <c r="I323" s="24" t="str" cm="1">
        <f t="array" ref="I323">_xlfn.IFS(
   AND(F323&gt;=0,9, G323&gt;=85), "Excelente",
   AND(F323&gt;=0,8, G323&gt;=70), "Bueno",
   OR(F323&lt;0,6,  G323&lt;50),  "Alerta",
   TRUE,           "Revisar")</f>
        <v>Bueno</v>
      </c>
      <c r="J323" s="28">
        <f t="shared" si="4"/>
        <v>1040000</v>
      </c>
    </row>
    <row r="324" spans="1:10" ht="18" customHeight="1" x14ac:dyDescent="0.3">
      <c r="A324" s="18" t="s">
        <v>697</v>
      </c>
      <c r="B324" s="5" t="s">
        <v>698</v>
      </c>
      <c r="C324" s="18" t="s">
        <v>74</v>
      </c>
      <c r="D324" s="18" t="s">
        <v>60</v>
      </c>
      <c r="E324" s="6">
        <v>10100000</v>
      </c>
      <c r="F324" s="19">
        <v>0.74</v>
      </c>
      <c r="G324" s="18">
        <v>78</v>
      </c>
      <c r="H324" s="20">
        <v>3.4</v>
      </c>
      <c r="I324" s="24" t="str" cm="1">
        <f t="array" ref="I324">_xlfn.IFS(
   AND(F324&gt;=0,9, G324&gt;=85), "Excelente",
   AND(F324&gt;=0,8, G324&gt;=70), "Bueno",
   OR(F324&lt;0,6,  G324&lt;50),  "Alerta",
   TRUE,           "Revisar")</f>
        <v>Bueno</v>
      </c>
      <c r="J324" s="28">
        <f t="shared" si="4"/>
        <v>1010000</v>
      </c>
    </row>
    <row r="325" spans="1:10" ht="18" customHeight="1" x14ac:dyDescent="0.3">
      <c r="A325" s="25" t="s">
        <v>699</v>
      </c>
      <c r="B325" s="8" t="s">
        <v>700</v>
      </c>
      <c r="C325" s="25" t="s">
        <v>59</v>
      </c>
      <c r="D325" s="25" t="s">
        <v>105</v>
      </c>
      <c r="E325" s="9">
        <v>4600000</v>
      </c>
      <c r="F325" s="26">
        <v>0.48</v>
      </c>
      <c r="G325" s="25">
        <v>85</v>
      </c>
      <c r="H325" s="27">
        <v>5.5</v>
      </c>
      <c r="I325" s="24" t="str" cm="1">
        <f t="array" ref="I325">_xlfn.IFS(
   AND(F325&gt;=0,9, G325&gt;=85), "Excelente",
   AND(F325&gt;=0,8, G325&gt;=70), "Bueno",
   OR(F325&lt;0,6,  G325&lt;50),  "Alerta",
   TRUE,           "Revisar")</f>
        <v>Excelente</v>
      </c>
      <c r="J325" s="28">
        <f t="shared" si="4"/>
        <v>460000</v>
      </c>
    </row>
    <row r="326" spans="1:10" ht="18" customHeight="1" x14ac:dyDescent="0.3">
      <c r="A326" s="18" t="s">
        <v>701</v>
      </c>
      <c r="B326" s="5" t="s">
        <v>702</v>
      </c>
      <c r="C326" s="18" t="s">
        <v>74</v>
      </c>
      <c r="D326" s="18" t="s">
        <v>92</v>
      </c>
      <c r="E326" s="6">
        <v>6000000</v>
      </c>
      <c r="F326" s="19">
        <v>0.97</v>
      </c>
      <c r="G326" s="18">
        <v>93</v>
      </c>
      <c r="H326" s="20">
        <v>11.9</v>
      </c>
      <c r="I326" s="24" t="str" cm="1">
        <f t="array" ref="I326">_xlfn.IFS(
   AND(F326&gt;=0,9, G326&gt;=85), "Excelente",
   AND(F326&gt;=0,8, G326&gt;=70), "Bueno",
   OR(F326&lt;0,6,  G326&lt;50),  "Alerta",
   TRUE,           "Revisar")</f>
        <v>Excelente</v>
      </c>
      <c r="J326" s="28">
        <f t="shared" si="4"/>
        <v>600000</v>
      </c>
    </row>
    <row r="327" spans="1:10" ht="18" customHeight="1" x14ac:dyDescent="0.3">
      <c r="A327" s="25" t="s">
        <v>703</v>
      </c>
      <c r="B327" s="8" t="s">
        <v>704</v>
      </c>
      <c r="C327" s="25" t="s">
        <v>74</v>
      </c>
      <c r="D327" s="25" t="s">
        <v>114</v>
      </c>
      <c r="E327" s="9">
        <v>6600000</v>
      </c>
      <c r="F327" s="26">
        <v>0.45</v>
      </c>
      <c r="G327" s="25">
        <v>80</v>
      </c>
      <c r="H327" s="27">
        <v>6.6</v>
      </c>
      <c r="I327" s="24" t="str" cm="1">
        <f t="array" ref="I327">_xlfn.IFS(
   AND(F327&gt;=0,9, G327&gt;=85), "Excelente",
   AND(F327&gt;=0,8, G327&gt;=70), "Bueno",
   OR(F327&lt;0,6,  G327&lt;50),  "Alerta",
   TRUE,           "Revisar")</f>
        <v>Bueno</v>
      </c>
      <c r="J327" s="28">
        <f t="shared" si="4"/>
        <v>660000</v>
      </c>
    </row>
    <row r="328" spans="1:10" ht="18" customHeight="1" x14ac:dyDescent="0.3">
      <c r="A328" s="18" t="s">
        <v>705</v>
      </c>
      <c r="B328" s="5" t="s">
        <v>706</v>
      </c>
      <c r="C328" s="18" t="s">
        <v>81</v>
      </c>
      <c r="D328" s="18" t="s">
        <v>105</v>
      </c>
      <c r="E328" s="6">
        <v>7000000</v>
      </c>
      <c r="F328" s="19">
        <v>0.69</v>
      </c>
      <c r="G328" s="18">
        <v>47</v>
      </c>
      <c r="H328" s="20">
        <v>6</v>
      </c>
      <c r="I328" s="24" t="str" cm="1">
        <f t="array" ref="I328">_xlfn.IFS(
   AND(F328&gt;=0,9, G328&gt;=85), "Excelente",
   AND(F328&gt;=0,8, G328&gt;=70), "Bueno",
   OR(F328&lt;0,6,  G328&lt;50),  "Alerta",
   TRUE,           "Revisar")</f>
        <v>Alerta</v>
      </c>
      <c r="J328" s="28">
        <f t="shared" si="4"/>
        <v>0</v>
      </c>
    </row>
    <row r="329" spans="1:10" ht="18" customHeight="1" x14ac:dyDescent="0.3">
      <c r="A329" s="25" t="s">
        <v>707</v>
      </c>
      <c r="B329" s="8" t="s">
        <v>708</v>
      </c>
      <c r="C329" s="25" t="s">
        <v>81</v>
      </c>
      <c r="D329" s="25" t="s">
        <v>114</v>
      </c>
      <c r="E329" s="9">
        <v>7800000</v>
      </c>
      <c r="F329" s="26">
        <v>0.98</v>
      </c>
      <c r="G329" s="25">
        <v>67</v>
      </c>
      <c r="H329" s="27">
        <v>14.7</v>
      </c>
      <c r="I329" s="24" t="str" cm="1">
        <f t="array" ref="I329">_xlfn.IFS(
   AND(F329&gt;=0,9, G329&gt;=85), "Excelente",
   AND(F329&gt;=0,8, G329&gt;=70), "Bueno",
   OR(F329&lt;0,6,  G329&lt;50),  "Alerta",
   TRUE,           "Revisar")</f>
        <v>Alerta</v>
      </c>
      <c r="J329" s="28">
        <f t="shared" si="4"/>
        <v>0</v>
      </c>
    </row>
    <row r="330" spans="1:10" ht="18" customHeight="1" x14ac:dyDescent="0.3">
      <c r="A330" s="18" t="s">
        <v>709</v>
      </c>
      <c r="B330" s="5" t="s">
        <v>710</v>
      </c>
      <c r="C330" s="18" t="s">
        <v>67</v>
      </c>
      <c r="D330" s="18" t="s">
        <v>92</v>
      </c>
      <c r="E330" s="6">
        <v>7600000</v>
      </c>
      <c r="F330" s="19">
        <v>0.6</v>
      </c>
      <c r="G330" s="18">
        <v>80</v>
      </c>
      <c r="H330" s="20">
        <v>7.3</v>
      </c>
      <c r="I330" s="24" t="str" cm="1">
        <f t="array" ref="I330">_xlfn.IFS(
   AND(F330&gt;=0,9, G330&gt;=85), "Excelente",
   AND(F330&gt;=0,8, G330&gt;=70), "Bueno",
   OR(F330&lt;0,6,  G330&lt;50),  "Alerta",
   TRUE,           "Revisar")</f>
        <v>Bueno</v>
      </c>
      <c r="J330" s="28">
        <f t="shared" si="4"/>
        <v>760000</v>
      </c>
    </row>
    <row r="331" spans="1:10" ht="18" customHeight="1" x14ac:dyDescent="0.3">
      <c r="A331" s="25" t="s">
        <v>711</v>
      </c>
      <c r="B331" s="8" t="s">
        <v>712</v>
      </c>
      <c r="C331" s="25" t="s">
        <v>91</v>
      </c>
      <c r="D331" s="25" t="s">
        <v>105</v>
      </c>
      <c r="E331" s="9">
        <v>11800000</v>
      </c>
      <c r="F331" s="26">
        <v>0.56999999999999995</v>
      </c>
      <c r="G331" s="25">
        <v>67</v>
      </c>
      <c r="H331" s="27">
        <v>16.600000000000001</v>
      </c>
      <c r="I331" s="24" t="str" cm="1">
        <f t="array" ref="I331">_xlfn.IFS(
   AND(F331&gt;=0,9, G331&gt;=85), "Excelente",
   AND(F331&gt;=0,8, G331&gt;=70), "Bueno",
   OR(F331&lt;0,6,  G331&lt;50),  "Alerta",
   TRUE,           "Revisar")</f>
        <v>Alerta</v>
      </c>
      <c r="J331" s="28">
        <f t="shared" si="4"/>
        <v>0</v>
      </c>
    </row>
    <row r="332" spans="1:10" ht="18" customHeight="1" x14ac:dyDescent="0.3">
      <c r="A332" s="18" t="s">
        <v>713</v>
      </c>
      <c r="B332" s="5" t="s">
        <v>714</v>
      </c>
      <c r="C332" s="18" t="s">
        <v>63</v>
      </c>
      <c r="D332" s="18" t="s">
        <v>105</v>
      </c>
      <c r="E332" s="6">
        <v>4500000</v>
      </c>
      <c r="F332" s="19">
        <v>0.8</v>
      </c>
      <c r="G332" s="18">
        <v>60</v>
      </c>
      <c r="H332" s="20">
        <v>5.0999999999999996</v>
      </c>
      <c r="I332" s="24" t="str" cm="1">
        <f t="array" ref="I332">_xlfn.IFS(
   AND(F332&gt;=0,9, G332&gt;=85), "Excelente",
   AND(F332&gt;=0,8, G332&gt;=70), "Bueno",
   OR(F332&lt;0,6,  G332&lt;50),  "Alerta",
   TRUE,           "Revisar")</f>
        <v>Alerta</v>
      </c>
      <c r="J332" s="28">
        <f t="shared" ref="J332:J395" si="5">IF(OR(I332="Excelente",I332="Bueno"),E332*0.1,0)</f>
        <v>0</v>
      </c>
    </row>
    <row r="333" spans="1:10" ht="18" customHeight="1" x14ac:dyDescent="0.3">
      <c r="A333" s="25" t="s">
        <v>715</v>
      </c>
      <c r="B333" s="8" t="s">
        <v>716</v>
      </c>
      <c r="C333" s="25" t="s">
        <v>63</v>
      </c>
      <c r="D333" s="25" t="s">
        <v>68</v>
      </c>
      <c r="E333" s="9">
        <v>3700000</v>
      </c>
      <c r="F333" s="26">
        <v>0.7</v>
      </c>
      <c r="G333" s="25">
        <v>91</v>
      </c>
      <c r="H333" s="27">
        <v>11.6</v>
      </c>
      <c r="I333" s="24" t="str" cm="1">
        <f t="array" ref="I333">_xlfn.IFS(
   AND(F333&gt;=0,9, G333&gt;=85), "Excelente",
   AND(F333&gt;=0,8, G333&gt;=70), "Bueno",
   OR(F333&lt;0,6,  G333&lt;50),  "Alerta",
   TRUE,           "Revisar")</f>
        <v>Excelente</v>
      </c>
      <c r="J333" s="28">
        <f t="shared" si="5"/>
        <v>370000</v>
      </c>
    </row>
    <row r="334" spans="1:10" ht="18" customHeight="1" x14ac:dyDescent="0.3">
      <c r="A334" s="18" t="s">
        <v>717</v>
      </c>
      <c r="B334" s="5" t="s">
        <v>718</v>
      </c>
      <c r="C334" s="18" t="s">
        <v>63</v>
      </c>
      <c r="D334" s="18" t="s">
        <v>64</v>
      </c>
      <c r="E334" s="6">
        <v>7400000</v>
      </c>
      <c r="F334" s="19">
        <v>0.84</v>
      </c>
      <c r="G334" s="18">
        <v>98</v>
      </c>
      <c r="H334" s="20">
        <v>11.9</v>
      </c>
      <c r="I334" s="24" t="str" cm="1">
        <f t="array" ref="I334">_xlfn.IFS(
   AND(F334&gt;=0,9, G334&gt;=85), "Excelente",
   AND(F334&gt;=0,8, G334&gt;=70), "Bueno",
   OR(F334&lt;0,6,  G334&lt;50),  "Alerta",
   TRUE,           "Revisar")</f>
        <v>Excelente</v>
      </c>
      <c r="J334" s="28">
        <f t="shared" si="5"/>
        <v>740000</v>
      </c>
    </row>
    <row r="335" spans="1:10" ht="18" customHeight="1" x14ac:dyDescent="0.3">
      <c r="A335" s="25" t="s">
        <v>719</v>
      </c>
      <c r="B335" s="8" t="s">
        <v>720</v>
      </c>
      <c r="C335" s="25" t="s">
        <v>67</v>
      </c>
      <c r="D335" s="25" t="s">
        <v>92</v>
      </c>
      <c r="E335" s="9">
        <v>4900000</v>
      </c>
      <c r="F335" s="26">
        <v>0.81</v>
      </c>
      <c r="G335" s="25">
        <v>35</v>
      </c>
      <c r="H335" s="27">
        <v>11.3</v>
      </c>
      <c r="I335" s="24" t="str" cm="1">
        <f t="array" ref="I335">_xlfn.IFS(
   AND(F335&gt;=0,9, G335&gt;=85), "Excelente",
   AND(F335&gt;=0,8, G335&gt;=70), "Bueno",
   OR(F335&lt;0,6,  G335&lt;50),  "Alerta",
   TRUE,           "Revisar")</f>
        <v>Alerta</v>
      </c>
      <c r="J335" s="28">
        <f t="shared" si="5"/>
        <v>0</v>
      </c>
    </row>
    <row r="336" spans="1:10" ht="18" customHeight="1" x14ac:dyDescent="0.3">
      <c r="A336" s="18" t="s">
        <v>721</v>
      </c>
      <c r="B336" s="5" t="s">
        <v>722</v>
      </c>
      <c r="C336" s="18" t="s">
        <v>81</v>
      </c>
      <c r="D336" s="18" t="s">
        <v>68</v>
      </c>
      <c r="E336" s="6">
        <v>4100000</v>
      </c>
      <c r="F336" s="19">
        <v>0.46</v>
      </c>
      <c r="G336" s="18">
        <v>63</v>
      </c>
      <c r="H336" s="20">
        <v>4.4000000000000004</v>
      </c>
      <c r="I336" s="24" t="str" cm="1">
        <f t="array" ref="I336">_xlfn.IFS(
   AND(F336&gt;=0,9, G336&gt;=85), "Excelente",
   AND(F336&gt;=0,8, G336&gt;=70), "Bueno",
   OR(F336&lt;0,6,  G336&lt;50),  "Alerta",
   TRUE,           "Revisar")</f>
        <v>Alerta</v>
      </c>
      <c r="J336" s="28">
        <f t="shared" si="5"/>
        <v>0</v>
      </c>
    </row>
    <row r="337" spans="1:10" ht="18" customHeight="1" x14ac:dyDescent="0.3">
      <c r="A337" s="25" t="s">
        <v>723</v>
      </c>
      <c r="B337" s="8" t="s">
        <v>724</v>
      </c>
      <c r="C337" s="25" t="s">
        <v>67</v>
      </c>
      <c r="D337" s="25" t="s">
        <v>105</v>
      </c>
      <c r="E337" s="9">
        <v>7500000</v>
      </c>
      <c r="F337" s="26">
        <v>0.67</v>
      </c>
      <c r="G337" s="25">
        <v>94</v>
      </c>
      <c r="H337" s="27">
        <v>3</v>
      </c>
      <c r="I337" s="24" t="str" cm="1">
        <f t="array" ref="I337">_xlfn.IFS(
   AND(F337&gt;=0,9, G337&gt;=85), "Excelente",
   AND(F337&gt;=0,8, G337&gt;=70), "Bueno",
   OR(F337&lt;0,6,  G337&lt;50),  "Alerta",
   TRUE,           "Revisar")</f>
        <v>Excelente</v>
      </c>
      <c r="J337" s="28">
        <f t="shared" si="5"/>
        <v>750000</v>
      </c>
    </row>
    <row r="338" spans="1:10" ht="18" customHeight="1" x14ac:dyDescent="0.3">
      <c r="A338" s="18" t="s">
        <v>725</v>
      </c>
      <c r="B338" s="5" t="s">
        <v>726</v>
      </c>
      <c r="C338" s="18" t="s">
        <v>63</v>
      </c>
      <c r="D338" s="18" t="s">
        <v>78</v>
      </c>
      <c r="E338" s="6">
        <v>4200000</v>
      </c>
      <c r="F338" s="19">
        <v>0.91</v>
      </c>
      <c r="G338" s="18">
        <v>48</v>
      </c>
      <c r="H338" s="20">
        <v>7</v>
      </c>
      <c r="I338" s="24" t="str" cm="1">
        <f t="array" ref="I338">_xlfn.IFS(
   AND(F338&gt;=0,9, G338&gt;=85), "Excelente",
   AND(F338&gt;=0,8, G338&gt;=70), "Bueno",
   OR(F338&lt;0,6,  G338&lt;50),  "Alerta",
   TRUE,           "Revisar")</f>
        <v>Alerta</v>
      </c>
      <c r="J338" s="28">
        <f t="shared" si="5"/>
        <v>0</v>
      </c>
    </row>
    <row r="339" spans="1:10" ht="18" customHeight="1" x14ac:dyDescent="0.3">
      <c r="A339" s="25" t="s">
        <v>727</v>
      </c>
      <c r="B339" s="8" t="s">
        <v>728</v>
      </c>
      <c r="C339" s="25" t="s">
        <v>67</v>
      </c>
      <c r="D339" s="25" t="s">
        <v>105</v>
      </c>
      <c r="E339" s="9">
        <v>7200000</v>
      </c>
      <c r="F339" s="26">
        <v>0.71</v>
      </c>
      <c r="G339" s="25">
        <v>86</v>
      </c>
      <c r="H339" s="27">
        <v>14.4</v>
      </c>
      <c r="I339" s="24" t="str" cm="1">
        <f t="array" ref="I339">_xlfn.IFS(
   AND(F339&gt;=0,9, G339&gt;=85), "Excelente",
   AND(F339&gt;=0,8, G339&gt;=70), "Bueno",
   OR(F339&lt;0,6,  G339&lt;50),  "Alerta",
   TRUE,           "Revisar")</f>
        <v>Excelente</v>
      </c>
      <c r="J339" s="28">
        <f t="shared" si="5"/>
        <v>720000</v>
      </c>
    </row>
    <row r="340" spans="1:10" ht="18" customHeight="1" x14ac:dyDescent="0.3">
      <c r="A340" s="18" t="s">
        <v>729</v>
      </c>
      <c r="B340" s="5" t="s">
        <v>730</v>
      </c>
      <c r="C340" s="18" t="s">
        <v>74</v>
      </c>
      <c r="D340" s="18" t="s">
        <v>88</v>
      </c>
      <c r="E340" s="6">
        <v>3300000</v>
      </c>
      <c r="F340" s="19">
        <v>0.9</v>
      </c>
      <c r="G340" s="18">
        <v>44</v>
      </c>
      <c r="H340" s="20">
        <v>0.5</v>
      </c>
      <c r="I340" s="24" t="str" cm="1">
        <f t="array" ref="I340">_xlfn.IFS(
   AND(F340&gt;=0,9, G340&gt;=85), "Excelente",
   AND(F340&gt;=0,8, G340&gt;=70), "Bueno",
   OR(F340&lt;0,6,  G340&lt;50),  "Alerta",
   TRUE,           "Revisar")</f>
        <v>Alerta</v>
      </c>
      <c r="J340" s="28">
        <f t="shared" si="5"/>
        <v>0</v>
      </c>
    </row>
    <row r="341" spans="1:10" ht="18" customHeight="1" x14ac:dyDescent="0.3">
      <c r="A341" s="25" t="s">
        <v>731</v>
      </c>
      <c r="B341" s="8" t="s">
        <v>732</v>
      </c>
      <c r="C341" s="25" t="s">
        <v>74</v>
      </c>
      <c r="D341" s="25" t="s">
        <v>114</v>
      </c>
      <c r="E341" s="9">
        <v>5900000</v>
      </c>
      <c r="F341" s="26">
        <v>0.73</v>
      </c>
      <c r="G341" s="25">
        <v>100</v>
      </c>
      <c r="H341" s="27">
        <v>3.2</v>
      </c>
      <c r="I341" s="24" t="str" cm="1">
        <f t="array" ref="I341">_xlfn.IFS(
   AND(F341&gt;=0,9, G341&gt;=85), "Excelente",
   AND(F341&gt;=0,8, G341&gt;=70), "Bueno",
   OR(F341&lt;0,6,  G341&lt;50),  "Alerta",
   TRUE,           "Revisar")</f>
        <v>Excelente</v>
      </c>
      <c r="J341" s="28">
        <f t="shared" si="5"/>
        <v>590000</v>
      </c>
    </row>
    <row r="342" spans="1:10" ht="18" customHeight="1" x14ac:dyDescent="0.3">
      <c r="A342" s="18" t="s">
        <v>733</v>
      </c>
      <c r="B342" s="5" t="s">
        <v>734</v>
      </c>
      <c r="C342" s="18" t="s">
        <v>63</v>
      </c>
      <c r="D342" s="18" t="s">
        <v>114</v>
      </c>
      <c r="E342" s="6">
        <v>5100000</v>
      </c>
      <c r="F342" s="19">
        <v>0.8</v>
      </c>
      <c r="G342" s="18">
        <v>85</v>
      </c>
      <c r="H342" s="20">
        <v>7.9</v>
      </c>
      <c r="I342" s="24" t="str" cm="1">
        <f t="array" ref="I342">_xlfn.IFS(
   AND(F342&gt;=0,9, G342&gt;=85), "Excelente",
   AND(F342&gt;=0,8, G342&gt;=70), "Bueno",
   OR(F342&lt;0,6,  G342&lt;50),  "Alerta",
   TRUE,           "Revisar")</f>
        <v>Excelente</v>
      </c>
      <c r="J342" s="28">
        <f t="shared" si="5"/>
        <v>510000</v>
      </c>
    </row>
    <row r="343" spans="1:10" ht="18" customHeight="1" x14ac:dyDescent="0.3">
      <c r="A343" s="25" t="s">
        <v>735</v>
      </c>
      <c r="B343" s="8" t="s">
        <v>736</v>
      </c>
      <c r="C343" s="25" t="s">
        <v>67</v>
      </c>
      <c r="D343" s="25" t="s">
        <v>60</v>
      </c>
      <c r="E343" s="9">
        <v>6300000</v>
      </c>
      <c r="F343" s="26">
        <v>0.86</v>
      </c>
      <c r="G343" s="25">
        <v>38</v>
      </c>
      <c r="H343" s="27">
        <v>11.5</v>
      </c>
      <c r="I343" s="24" t="str" cm="1">
        <f t="array" ref="I343">_xlfn.IFS(
   AND(F343&gt;=0,9, G343&gt;=85), "Excelente",
   AND(F343&gt;=0,8, G343&gt;=70), "Bueno",
   OR(F343&lt;0,6,  G343&lt;50),  "Alerta",
   TRUE,           "Revisar")</f>
        <v>Alerta</v>
      </c>
      <c r="J343" s="28">
        <f t="shared" si="5"/>
        <v>0</v>
      </c>
    </row>
    <row r="344" spans="1:10" ht="18" customHeight="1" x14ac:dyDescent="0.3">
      <c r="A344" s="18" t="s">
        <v>737</v>
      </c>
      <c r="B344" s="5" t="s">
        <v>738</v>
      </c>
      <c r="C344" s="18" t="s">
        <v>81</v>
      </c>
      <c r="D344" s="18" t="s">
        <v>92</v>
      </c>
      <c r="E344" s="6">
        <v>5300000</v>
      </c>
      <c r="F344" s="19">
        <v>0.7</v>
      </c>
      <c r="G344" s="18">
        <v>63</v>
      </c>
      <c r="H344" s="20">
        <v>13.4</v>
      </c>
      <c r="I344" s="24" t="str" cm="1">
        <f t="array" ref="I344">_xlfn.IFS(
   AND(F344&gt;=0,9, G344&gt;=85), "Excelente",
   AND(F344&gt;=0,8, G344&gt;=70), "Bueno",
   OR(F344&lt;0,6,  G344&lt;50),  "Alerta",
   TRUE,           "Revisar")</f>
        <v>Alerta</v>
      </c>
      <c r="J344" s="28">
        <f t="shared" si="5"/>
        <v>0</v>
      </c>
    </row>
    <row r="345" spans="1:10" ht="18" customHeight="1" x14ac:dyDescent="0.3">
      <c r="A345" s="25" t="s">
        <v>739</v>
      </c>
      <c r="B345" s="8" t="s">
        <v>740</v>
      </c>
      <c r="C345" s="25" t="s">
        <v>81</v>
      </c>
      <c r="D345" s="25" t="s">
        <v>68</v>
      </c>
      <c r="E345" s="9">
        <v>10600000</v>
      </c>
      <c r="F345" s="26">
        <v>0.67</v>
      </c>
      <c r="G345" s="25">
        <v>44</v>
      </c>
      <c r="H345" s="27">
        <v>7</v>
      </c>
      <c r="I345" s="24" t="str" cm="1">
        <f t="array" ref="I345">_xlfn.IFS(
   AND(F345&gt;=0,9, G345&gt;=85), "Excelente",
   AND(F345&gt;=0,8, G345&gt;=70), "Bueno",
   OR(F345&lt;0,6,  G345&lt;50),  "Alerta",
   TRUE,           "Revisar")</f>
        <v>Alerta</v>
      </c>
      <c r="J345" s="28">
        <f t="shared" si="5"/>
        <v>0</v>
      </c>
    </row>
    <row r="346" spans="1:10" ht="18" customHeight="1" x14ac:dyDescent="0.3">
      <c r="A346" s="18" t="s">
        <v>741</v>
      </c>
      <c r="B346" s="5" t="s">
        <v>742</v>
      </c>
      <c r="C346" s="18" t="s">
        <v>71</v>
      </c>
      <c r="D346" s="18" t="s">
        <v>88</v>
      </c>
      <c r="E346" s="6">
        <v>10600000</v>
      </c>
      <c r="F346" s="19">
        <v>0.77</v>
      </c>
      <c r="G346" s="18">
        <v>47</v>
      </c>
      <c r="H346" s="20">
        <v>6.3</v>
      </c>
      <c r="I346" s="24" t="str" cm="1">
        <f t="array" ref="I346">_xlfn.IFS(
   AND(F346&gt;=0,9, G346&gt;=85), "Excelente",
   AND(F346&gt;=0,8, G346&gt;=70), "Bueno",
   OR(F346&lt;0,6,  G346&lt;50),  "Alerta",
   TRUE,           "Revisar")</f>
        <v>Alerta</v>
      </c>
      <c r="J346" s="28">
        <f t="shared" si="5"/>
        <v>0</v>
      </c>
    </row>
    <row r="347" spans="1:10" ht="18" customHeight="1" x14ac:dyDescent="0.3">
      <c r="A347" s="25" t="s">
        <v>743</v>
      </c>
      <c r="B347" s="8" t="s">
        <v>744</v>
      </c>
      <c r="C347" s="25" t="s">
        <v>74</v>
      </c>
      <c r="D347" s="25" t="s">
        <v>114</v>
      </c>
      <c r="E347" s="9">
        <v>7500000</v>
      </c>
      <c r="F347" s="26">
        <v>0.83</v>
      </c>
      <c r="G347" s="25">
        <v>95</v>
      </c>
      <c r="H347" s="27">
        <v>7.8</v>
      </c>
      <c r="I347" s="24" t="str" cm="1">
        <f t="array" ref="I347">_xlfn.IFS(
   AND(F347&gt;=0,9, G347&gt;=85), "Excelente",
   AND(F347&gt;=0,8, G347&gt;=70), "Bueno",
   OR(F347&lt;0,6,  G347&lt;50),  "Alerta",
   TRUE,           "Revisar")</f>
        <v>Excelente</v>
      </c>
      <c r="J347" s="28">
        <f t="shared" si="5"/>
        <v>750000</v>
      </c>
    </row>
    <row r="348" spans="1:10" ht="18" customHeight="1" x14ac:dyDescent="0.3">
      <c r="A348" s="18" t="s">
        <v>745</v>
      </c>
      <c r="B348" s="5" t="s">
        <v>746</v>
      </c>
      <c r="C348" s="18" t="s">
        <v>63</v>
      </c>
      <c r="D348" s="18" t="s">
        <v>68</v>
      </c>
      <c r="E348" s="6">
        <v>5100000</v>
      </c>
      <c r="F348" s="19">
        <v>0.72</v>
      </c>
      <c r="G348" s="18">
        <v>98</v>
      </c>
      <c r="H348" s="20">
        <v>13.9</v>
      </c>
      <c r="I348" s="24" t="str" cm="1">
        <f t="array" ref="I348">_xlfn.IFS(
   AND(F348&gt;=0,9, G348&gt;=85), "Excelente",
   AND(F348&gt;=0,8, G348&gt;=70), "Bueno",
   OR(F348&lt;0,6,  G348&lt;50),  "Alerta",
   TRUE,           "Revisar")</f>
        <v>Excelente</v>
      </c>
      <c r="J348" s="28">
        <f t="shared" si="5"/>
        <v>510000</v>
      </c>
    </row>
    <row r="349" spans="1:10" ht="18" customHeight="1" x14ac:dyDescent="0.3">
      <c r="A349" s="25" t="s">
        <v>747</v>
      </c>
      <c r="B349" s="8" t="s">
        <v>748</v>
      </c>
      <c r="C349" s="25" t="s">
        <v>71</v>
      </c>
      <c r="D349" s="25" t="s">
        <v>105</v>
      </c>
      <c r="E349" s="9">
        <v>6400000</v>
      </c>
      <c r="F349" s="26">
        <v>0.53</v>
      </c>
      <c r="G349" s="25">
        <v>70</v>
      </c>
      <c r="H349" s="27">
        <v>16.8</v>
      </c>
      <c r="I349" s="24" t="str" cm="1">
        <f t="array" ref="I349">_xlfn.IFS(
   AND(F349&gt;=0,9, G349&gt;=85), "Excelente",
   AND(F349&gt;=0,8, G349&gt;=70), "Bueno",
   OR(F349&lt;0,6,  G349&lt;50),  "Alerta",
   TRUE,           "Revisar")</f>
        <v>Bueno</v>
      </c>
      <c r="J349" s="28">
        <f t="shared" si="5"/>
        <v>640000</v>
      </c>
    </row>
    <row r="350" spans="1:10" ht="18" customHeight="1" x14ac:dyDescent="0.3">
      <c r="A350" s="18" t="s">
        <v>749</v>
      </c>
      <c r="B350" s="5" t="s">
        <v>750</v>
      </c>
      <c r="C350" s="18" t="s">
        <v>81</v>
      </c>
      <c r="D350" s="18" t="s">
        <v>64</v>
      </c>
      <c r="E350" s="6">
        <v>9000000</v>
      </c>
      <c r="F350" s="19">
        <v>0.53</v>
      </c>
      <c r="G350" s="18">
        <v>79</v>
      </c>
      <c r="H350" s="20">
        <v>19.3</v>
      </c>
      <c r="I350" s="24" t="str" cm="1">
        <f t="array" ref="I350">_xlfn.IFS(
   AND(F350&gt;=0,9, G350&gt;=85), "Excelente",
   AND(F350&gt;=0,8, G350&gt;=70), "Bueno",
   OR(F350&lt;0,6,  G350&lt;50),  "Alerta",
   TRUE,           "Revisar")</f>
        <v>Bueno</v>
      </c>
      <c r="J350" s="28">
        <f t="shared" si="5"/>
        <v>900000</v>
      </c>
    </row>
    <row r="351" spans="1:10" ht="18" customHeight="1" x14ac:dyDescent="0.3">
      <c r="A351" s="25" t="s">
        <v>751</v>
      </c>
      <c r="B351" s="8" t="s">
        <v>752</v>
      </c>
      <c r="C351" s="25" t="s">
        <v>77</v>
      </c>
      <c r="D351" s="25" t="s">
        <v>68</v>
      </c>
      <c r="E351" s="9">
        <v>11800000</v>
      </c>
      <c r="F351" s="26">
        <v>0.91</v>
      </c>
      <c r="G351" s="25">
        <v>92</v>
      </c>
      <c r="H351" s="27">
        <v>3.3</v>
      </c>
      <c r="I351" s="24" t="str" cm="1">
        <f t="array" ref="I351">_xlfn.IFS(
   AND(F351&gt;=0,9, G351&gt;=85), "Excelente",
   AND(F351&gt;=0,8, G351&gt;=70), "Bueno",
   OR(F351&lt;0,6,  G351&lt;50),  "Alerta",
   TRUE,           "Revisar")</f>
        <v>Excelente</v>
      </c>
      <c r="J351" s="28">
        <f t="shared" si="5"/>
        <v>1180000</v>
      </c>
    </row>
    <row r="352" spans="1:10" ht="18" customHeight="1" x14ac:dyDescent="0.3">
      <c r="A352" s="18" t="s">
        <v>753</v>
      </c>
      <c r="B352" s="5" t="s">
        <v>754</v>
      </c>
      <c r="C352" s="18" t="s">
        <v>67</v>
      </c>
      <c r="D352" s="18" t="s">
        <v>88</v>
      </c>
      <c r="E352" s="6">
        <v>3200000</v>
      </c>
      <c r="F352" s="19">
        <v>0.6</v>
      </c>
      <c r="G352" s="18">
        <v>98</v>
      </c>
      <c r="H352" s="20">
        <v>5.8</v>
      </c>
      <c r="I352" s="24" t="str" cm="1">
        <f t="array" ref="I352">_xlfn.IFS(
   AND(F352&gt;=0,9, G352&gt;=85), "Excelente",
   AND(F352&gt;=0,8, G352&gt;=70), "Bueno",
   OR(F352&lt;0,6,  G352&lt;50),  "Alerta",
   TRUE,           "Revisar")</f>
        <v>Excelente</v>
      </c>
      <c r="J352" s="28">
        <f t="shared" si="5"/>
        <v>320000</v>
      </c>
    </row>
    <row r="353" spans="1:10" ht="18" customHeight="1" x14ac:dyDescent="0.3">
      <c r="A353" s="25" t="s">
        <v>755</v>
      </c>
      <c r="B353" s="8" t="s">
        <v>756</v>
      </c>
      <c r="C353" s="25" t="s">
        <v>77</v>
      </c>
      <c r="D353" s="25" t="s">
        <v>78</v>
      </c>
      <c r="E353" s="9">
        <v>10100000</v>
      </c>
      <c r="F353" s="26">
        <v>0.51</v>
      </c>
      <c r="G353" s="25">
        <v>99</v>
      </c>
      <c r="H353" s="27">
        <v>16.5</v>
      </c>
      <c r="I353" s="24" t="str" cm="1">
        <f t="array" ref="I353">_xlfn.IFS(
   AND(F353&gt;=0,9, G353&gt;=85), "Excelente",
   AND(F353&gt;=0,8, G353&gt;=70), "Bueno",
   OR(F353&lt;0,6,  G353&lt;50),  "Alerta",
   TRUE,           "Revisar")</f>
        <v>Excelente</v>
      </c>
      <c r="J353" s="28">
        <f t="shared" si="5"/>
        <v>1010000</v>
      </c>
    </row>
    <row r="354" spans="1:10" ht="18" customHeight="1" x14ac:dyDescent="0.3">
      <c r="A354" s="18" t="s">
        <v>757</v>
      </c>
      <c r="B354" s="5" t="s">
        <v>758</v>
      </c>
      <c r="C354" s="18" t="s">
        <v>91</v>
      </c>
      <c r="D354" s="18" t="s">
        <v>105</v>
      </c>
      <c r="E354" s="6">
        <v>9700000</v>
      </c>
      <c r="F354" s="19">
        <v>0.56999999999999995</v>
      </c>
      <c r="G354" s="18">
        <v>84</v>
      </c>
      <c r="H354" s="20">
        <v>2</v>
      </c>
      <c r="I354" s="24" t="str" cm="1">
        <f t="array" ref="I354">_xlfn.IFS(
   AND(F354&gt;=0,9, G354&gt;=85), "Excelente",
   AND(F354&gt;=0,8, G354&gt;=70), "Bueno",
   OR(F354&lt;0,6,  G354&lt;50),  "Alerta",
   TRUE,           "Revisar")</f>
        <v>Bueno</v>
      </c>
      <c r="J354" s="28">
        <f t="shared" si="5"/>
        <v>970000</v>
      </c>
    </row>
    <row r="355" spans="1:10" ht="18" customHeight="1" x14ac:dyDescent="0.3">
      <c r="A355" s="25" t="s">
        <v>759</v>
      </c>
      <c r="B355" s="8" t="s">
        <v>760</v>
      </c>
      <c r="C355" s="25" t="s">
        <v>59</v>
      </c>
      <c r="D355" s="25" t="s">
        <v>92</v>
      </c>
      <c r="E355" s="9">
        <v>3900000</v>
      </c>
      <c r="F355" s="26">
        <v>0.69</v>
      </c>
      <c r="G355" s="25">
        <v>45</v>
      </c>
      <c r="H355" s="27">
        <v>15.5</v>
      </c>
      <c r="I355" s="24" t="str" cm="1">
        <f t="array" ref="I355">_xlfn.IFS(
   AND(F355&gt;=0,9, G355&gt;=85), "Excelente",
   AND(F355&gt;=0,8, G355&gt;=70), "Bueno",
   OR(F355&lt;0,6,  G355&lt;50),  "Alerta",
   TRUE,           "Revisar")</f>
        <v>Alerta</v>
      </c>
      <c r="J355" s="28">
        <f t="shared" si="5"/>
        <v>0</v>
      </c>
    </row>
    <row r="356" spans="1:10" ht="18" customHeight="1" x14ac:dyDescent="0.3">
      <c r="A356" s="18" t="s">
        <v>761</v>
      </c>
      <c r="B356" s="5" t="s">
        <v>762</v>
      </c>
      <c r="C356" s="18" t="s">
        <v>81</v>
      </c>
      <c r="D356" s="18" t="s">
        <v>68</v>
      </c>
      <c r="E356" s="6">
        <v>4900000</v>
      </c>
      <c r="F356" s="19">
        <v>0.79</v>
      </c>
      <c r="G356" s="18">
        <v>56</v>
      </c>
      <c r="H356" s="20">
        <v>16.3</v>
      </c>
      <c r="I356" s="24" t="str" cm="1">
        <f t="array" ref="I356">_xlfn.IFS(
   AND(F356&gt;=0,9, G356&gt;=85), "Excelente",
   AND(F356&gt;=0,8, G356&gt;=70), "Bueno",
   OR(F356&lt;0,6,  G356&lt;50),  "Alerta",
   TRUE,           "Revisar")</f>
        <v>Alerta</v>
      </c>
      <c r="J356" s="28">
        <f t="shared" si="5"/>
        <v>0</v>
      </c>
    </row>
    <row r="357" spans="1:10" ht="18" customHeight="1" x14ac:dyDescent="0.3">
      <c r="A357" s="25" t="s">
        <v>763</v>
      </c>
      <c r="B357" s="8" t="s">
        <v>764</v>
      </c>
      <c r="C357" s="25" t="s">
        <v>81</v>
      </c>
      <c r="D357" s="25" t="s">
        <v>88</v>
      </c>
      <c r="E357" s="9">
        <v>10400000</v>
      </c>
      <c r="F357" s="26">
        <v>0.75</v>
      </c>
      <c r="G357" s="25">
        <v>71</v>
      </c>
      <c r="H357" s="27">
        <v>19.600000000000001</v>
      </c>
      <c r="I357" s="24" t="str" cm="1">
        <f t="array" ref="I357">_xlfn.IFS(
   AND(F357&gt;=0,9, G357&gt;=85), "Excelente",
   AND(F357&gt;=0,8, G357&gt;=70), "Bueno",
   OR(F357&lt;0,6,  G357&lt;50),  "Alerta",
   TRUE,           "Revisar")</f>
        <v>Bueno</v>
      </c>
      <c r="J357" s="28">
        <f t="shared" si="5"/>
        <v>1040000</v>
      </c>
    </row>
    <row r="358" spans="1:10" ht="18" customHeight="1" x14ac:dyDescent="0.3">
      <c r="A358" s="18" t="s">
        <v>765</v>
      </c>
      <c r="B358" s="5" t="s">
        <v>766</v>
      </c>
      <c r="C358" s="18" t="s">
        <v>59</v>
      </c>
      <c r="D358" s="18" t="s">
        <v>78</v>
      </c>
      <c r="E358" s="6">
        <v>4500000</v>
      </c>
      <c r="F358" s="19">
        <v>0.98</v>
      </c>
      <c r="G358" s="18">
        <v>82</v>
      </c>
      <c r="H358" s="20">
        <v>18.399999999999999</v>
      </c>
      <c r="I358" s="24" t="str" cm="1">
        <f t="array" ref="I358">_xlfn.IFS(
   AND(F358&gt;=0,9, G358&gt;=85), "Excelente",
   AND(F358&gt;=0,8, G358&gt;=70), "Bueno",
   OR(F358&lt;0,6,  G358&lt;50),  "Alerta",
   TRUE,           "Revisar")</f>
        <v>Bueno</v>
      </c>
      <c r="J358" s="28">
        <f t="shared" si="5"/>
        <v>450000</v>
      </c>
    </row>
    <row r="359" spans="1:10" ht="18" customHeight="1" x14ac:dyDescent="0.3">
      <c r="A359" s="25" t="s">
        <v>767</v>
      </c>
      <c r="B359" s="8" t="s">
        <v>768</v>
      </c>
      <c r="C359" s="25" t="s">
        <v>71</v>
      </c>
      <c r="D359" s="25" t="s">
        <v>114</v>
      </c>
      <c r="E359" s="9">
        <v>5900000</v>
      </c>
      <c r="F359" s="26">
        <v>0.53</v>
      </c>
      <c r="G359" s="25">
        <v>71</v>
      </c>
      <c r="H359" s="27">
        <v>16.600000000000001</v>
      </c>
      <c r="I359" s="24" t="str" cm="1">
        <f t="array" ref="I359">_xlfn.IFS(
   AND(F359&gt;=0,9, G359&gt;=85), "Excelente",
   AND(F359&gt;=0,8, G359&gt;=70), "Bueno",
   OR(F359&lt;0,6,  G359&lt;50),  "Alerta",
   TRUE,           "Revisar")</f>
        <v>Bueno</v>
      </c>
      <c r="J359" s="28">
        <f t="shared" si="5"/>
        <v>590000</v>
      </c>
    </row>
    <row r="360" spans="1:10" ht="18" customHeight="1" x14ac:dyDescent="0.3">
      <c r="A360" s="18" t="s">
        <v>769</v>
      </c>
      <c r="B360" s="5" t="s">
        <v>770</v>
      </c>
      <c r="C360" s="18" t="s">
        <v>71</v>
      </c>
      <c r="D360" s="18" t="s">
        <v>88</v>
      </c>
      <c r="E360" s="6">
        <v>10800000</v>
      </c>
      <c r="F360" s="19">
        <v>0.68</v>
      </c>
      <c r="G360" s="18">
        <v>87</v>
      </c>
      <c r="H360" s="20">
        <v>1.5</v>
      </c>
      <c r="I360" s="24" t="str" cm="1">
        <f t="array" ref="I360">_xlfn.IFS(
   AND(F360&gt;=0,9, G360&gt;=85), "Excelente",
   AND(F360&gt;=0,8, G360&gt;=70), "Bueno",
   OR(F360&lt;0,6,  G360&lt;50),  "Alerta",
   TRUE,           "Revisar")</f>
        <v>Excelente</v>
      </c>
      <c r="J360" s="28">
        <f t="shared" si="5"/>
        <v>1080000</v>
      </c>
    </row>
    <row r="361" spans="1:10" ht="18" customHeight="1" x14ac:dyDescent="0.3">
      <c r="A361" s="25" t="s">
        <v>771</v>
      </c>
      <c r="B361" s="8" t="s">
        <v>772</v>
      </c>
      <c r="C361" s="25" t="s">
        <v>59</v>
      </c>
      <c r="D361" s="25" t="s">
        <v>92</v>
      </c>
      <c r="E361" s="9">
        <v>8600000</v>
      </c>
      <c r="F361" s="26">
        <v>0.97</v>
      </c>
      <c r="G361" s="25">
        <v>71</v>
      </c>
      <c r="H361" s="27">
        <v>11.6</v>
      </c>
      <c r="I361" s="24" t="str" cm="1">
        <f t="array" ref="I361">_xlfn.IFS(
   AND(F361&gt;=0,9, G361&gt;=85), "Excelente",
   AND(F361&gt;=0,8, G361&gt;=70), "Bueno",
   OR(F361&lt;0,6,  G361&lt;50),  "Alerta",
   TRUE,           "Revisar")</f>
        <v>Bueno</v>
      </c>
      <c r="J361" s="28">
        <f t="shared" si="5"/>
        <v>860000</v>
      </c>
    </row>
    <row r="362" spans="1:10" ht="18" customHeight="1" x14ac:dyDescent="0.3">
      <c r="A362" s="18" t="s">
        <v>773</v>
      </c>
      <c r="B362" s="5" t="s">
        <v>774</v>
      </c>
      <c r="C362" s="18" t="s">
        <v>77</v>
      </c>
      <c r="D362" s="18" t="s">
        <v>92</v>
      </c>
      <c r="E362" s="6">
        <v>3600000</v>
      </c>
      <c r="F362" s="19">
        <v>0.89</v>
      </c>
      <c r="G362" s="18">
        <v>80</v>
      </c>
      <c r="H362" s="20">
        <v>4.4000000000000004</v>
      </c>
      <c r="I362" s="24" t="str" cm="1">
        <f t="array" ref="I362">_xlfn.IFS(
   AND(F362&gt;=0,9, G362&gt;=85), "Excelente",
   AND(F362&gt;=0,8, G362&gt;=70), "Bueno",
   OR(F362&lt;0,6,  G362&lt;50),  "Alerta",
   TRUE,           "Revisar")</f>
        <v>Bueno</v>
      </c>
      <c r="J362" s="28">
        <f t="shared" si="5"/>
        <v>360000</v>
      </c>
    </row>
    <row r="363" spans="1:10" ht="18" customHeight="1" x14ac:dyDescent="0.3">
      <c r="A363" s="25" t="s">
        <v>775</v>
      </c>
      <c r="B363" s="8" t="s">
        <v>776</v>
      </c>
      <c r="C363" s="25" t="s">
        <v>67</v>
      </c>
      <c r="D363" s="25" t="s">
        <v>105</v>
      </c>
      <c r="E363" s="9">
        <v>6200000</v>
      </c>
      <c r="F363" s="26">
        <v>0.63</v>
      </c>
      <c r="G363" s="25">
        <v>66</v>
      </c>
      <c r="H363" s="27">
        <v>6.8</v>
      </c>
      <c r="I363" s="24" t="str" cm="1">
        <f t="array" ref="I363">_xlfn.IFS(
   AND(F363&gt;=0,9, G363&gt;=85), "Excelente",
   AND(F363&gt;=0,8, G363&gt;=70), "Bueno",
   OR(F363&lt;0,6,  G363&lt;50),  "Alerta",
   TRUE,           "Revisar")</f>
        <v>Alerta</v>
      </c>
      <c r="J363" s="28">
        <f t="shared" si="5"/>
        <v>0</v>
      </c>
    </row>
    <row r="364" spans="1:10" ht="18" customHeight="1" x14ac:dyDescent="0.3">
      <c r="A364" s="18" t="s">
        <v>777</v>
      </c>
      <c r="B364" s="5" t="s">
        <v>778</v>
      </c>
      <c r="C364" s="18" t="s">
        <v>77</v>
      </c>
      <c r="D364" s="18" t="s">
        <v>92</v>
      </c>
      <c r="E364" s="6">
        <v>11500000</v>
      </c>
      <c r="F364" s="19">
        <v>0.87</v>
      </c>
      <c r="G364" s="18">
        <v>35</v>
      </c>
      <c r="H364" s="20">
        <v>2</v>
      </c>
      <c r="I364" s="24" t="str" cm="1">
        <f t="array" ref="I364">_xlfn.IFS(
   AND(F364&gt;=0,9, G364&gt;=85), "Excelente",
   AND(F364&gt;=0,8, G364&gt;=70), "Bueno",
   OR(F364&lt;0,6,  G364&lt;50),  "Alerta",
   TRUE,           "Revisar")</f>
        <v>Alerta</v>
      </c>
      <c r="J364" s="28">
        <f t="shared" si="5"/>
        <v>0</v>
      </c>
    </row>
    <row r="365" spans="1:10" ht="18" customHeight="1" x14ac:dyDescent="0.3">
      <c r="A365" s="25" t="s">
        <v>779</v>
      </c>
      <c r="B365" s="8" t="s">
        <v>780</v>
      </c>
      <c r="C365" s="25" t="s">
        <v>74</v>
      </c>
      <c r="D365" s="25" t="s">
        <v>114</v>
      </c>
      <c r="E365" s="9">
        <v>8400000</v>
      </c>
      <c r="F365" s="26">
        <v>0.7</v>
      </c>
      <c r="G365" s="25">
        <v>84</v>
      </c>
      <c r="H365" s="27">
        <v>4</v>
      </c>
      <c r="I365" s="24" t="str" cm="1">
        <f t="array" ref="I365">_xlfn.IFS(
   AND(F365&gt;=0,9, G365&gt;=85), "Excelente",
   AND(F365&gt;=0,8, G365&gt;=70), "Bueno",
   OR(F365&lt;0,6,  G365&lt;50),  "Alerta",
   TRUE,           "Revisar")</f>
        <v>Bueno</v>
      </c>
      <c r="J365" s="28">
        <f t="shared" si="5"/>
        <v>840000</v>
      </c>
    </row>
    <row r="366" spans="1:10" ht="18" customHeight="1" x14ac:dyDescent="0.3">
      <c r="A366" s="18" t="s">
        <v>781</v>
      </c>
      <c r="B366" s="5" t="s">
        <v>782</v>
      </c>
      <c r="C366" s="18" t="s">
        <v>59</v>
      </c>
      <c r="D366" s="18" t="s">
        <v>114</v>
      </c>
      <c r="E366" s="6">
        <v>6300000</v>
      </c>
      <c r="F366" s="19">
        <v>0.5</v>
      </c>
      <c r="G366" s="18">
        <v>76</v>
      </c>
      <c r="H366" s="20">
        <v>5</v>
      </c>
      <c r="I366" s="24" t="str" cm="1">
        <f t="array" ref="I366">_xlfn.IFS(
   AND(F366&gt;=0,9, G366&gt;=85), "Excelente",
   AND(F366&gt;=0,8, G366&gt;=70), "Bueno",
   OR(F366&lt;0,6,  G366&lt;50),  "Alerta",
   TRUE,           "Revisar")</f>
        <v>Bueno</v>
      </c>
      <c r="J366" s="28">
        <f t="shared" si="5"/>
        <v>630000</v>
      </c>
    </row>
    <row r="367" spans="1:10" ht="18" customHeight="1" x14ac:dyDescent="0.3">
      <c r="A367" s="25" t="s">
        <v>783</v>
      </c>
      <c r="B367" s="8" t="s">
        <v>784</v>
      </c>
      <c r="C367" s="25" t="s">
        <v>71</v>
      </c>
      <c r="D367" s="25" t="s">
        <v>64</v>
      </c>
      <c r="E367" s="9">
        <v>7800000</v>
      </c>
      <c r="F367" s="26">
        <v>0.79</v>
      </c>
      <c r="G367" s="25">
        <v>59</v>
      </c>
      <c r="H367" s="27">
        <v>8.6</v>
      </c>
      <c r="I367" s="24" t="str" cm="1">
        <f t="array" ref="I367">_xlfn.IFS(
   AND(F367&gt;=0,9, G367&gt;=85), "Excelente",
   AND(F367&gt;=0,8, G367&gt;=70), "Bueno",
   OR(F367&lt;0,6,  G367&lt;50),  "Alerta",
   TRUE,           "Revisar")</f>
        <v>Alerta</v>
      </c>
      <c r="J367" s="28">
        <f t="shared" si="5"/>
        <v>0</v>
      </c>
    </row>
    <row r="368" spans="1:10" ht="18" customHeight="1" x14ac:dyDescent="0.3">
      <c r="A368" s="18" t="s">
        <v>785</v>
      </c>
      <c r="B368" s="5" t="s">
        <v>786</v>
      </c>
      <c r="C368" s="18" t="s">
        <v>74</v>
      </c>
      <c r="D368" s="18" t="s">
        <v>64</v>
      </c>
      <c r="E368" s="6">
        <v>5500000</v>
      </c>
      <c r="F368" s="19">
        <v>0.71</v>
      </c>
      <c r="G368" s="18">
        <v>46</v>
      </c>
      <c r="H368" s="20">
        <v>11.9</v>
      </c>
      <c r="I368" s="24" t="str" cm="1">
        <f t="array" ref="I368">_xlfn.IFS(
   AND(F368&gt;=0,9, G368&gt;=85), "Excelente",
   AND(F368&gt;=0,8, G368&gt;=70), "Bueno",
   OR(F368&lt;0,6,  G368&lt;50),  "Alerta",
   TRUE,           "Revisar")</f>
        <v>Alerta</v>
      </c>
      <c r="J368" s="28">
        <f t="shared" si="5"/>
        <v>0</v>
      </c>
    </row>
    <row r="369" spans="1:10" ht="18" customHeight="1" x14ac:dyDescent="0.3">
      <c r="A369" s="25" t="s">
        <v>787</v>
      </c>
      <c r="B369" s="8" t="s">
        <v>788</v>
      </c>
      <c r="C369" s="25" t="s">
        <v>77</v>
      </c>
      <c r="D369" s="25" t="s">
        <v>64</v>
      </c>
      <c r="E369" s="9">
        <v>2900000</v>
      </c>
      <c r="F369" s="26">
        <v>0.83</v>
      </c>
      <c r="G369" s="25">
        <v>45</v>
      </c>
      <c r="H369" s="27">
        <v>19.8</v>
      </c>
      <c r="I369" s="24" t="str" cm="1">
        <f t="array" ref="I369">_xlfn.IFS(
   AND(F369&gt;=0,9, G369&gt;=85), "Excelente",
   AND(F369&gt;=0,8, G369&gt;=70), "Bueno",
   OR(F369&lt;0,6,  G369&lt;50),  "Alerta",
   TRUE,           "Revisar")</f>
        <v>Alerta</v>
      </c>
      <c r="J369" s="28">
        <f t="shared" si="5"/>
        <v>0</v>
      </c>
    </row>
    <row r="370" spans="1:10" ht="18" customHeight="1" x14ac:dyDescent="0.3">
      <c r="A370" s="18" t="s">
        <v>789</v>
      </c>
      <c r="B370" s="5" t="s">
        <v>790</v>
      </c>
      <c r="C370" s="18" t="s">
        <v>71</v>
      </c>
      <c r="D370" s="18" t="s">
        <v>105</v>
      </c>
      <c r="E370" s="6">
        <v>3700000</v>
      </c>
      <c r="F370" s="19">
        <v>0.57999999999999996</v>
      </c>
      <c r="G370" s="18">
        <v>41</v>
      </c>
      <c r="H370" s="20">
        <v>14.6</v>
      </c>
      <c r="I370" s="24" t="str" cm="1">
        <f t="array" ref="I370">_xlfn.IFS(
   AND(F370&gt;=0,9, G370&gt;=85), "Excelente",
   AND(F370&gt;=0,8, G370&gt;=70), "Bueno",
   OR(F370&lt;0,6,  G370&lt;50),  "Alerta",
   TRUE,           "Revisar")</f>
        <v>Alerta</v>
      </c>
      <c r="J370" s="28">
        <f t="shared" si="5"/>
        <v>0</v>
      </c>
    </row>
    <row r="371" spans="1:10" ht="18" customHeight="1" x14ac:dyDescent="0.3">
      <c r="A371" s="25" t="s">
        <v>791</v>
      </c>
      <c r="B371" s="8" t="s">
        <v>792</v>
      </c>
      <c r="C371" s="25" t="s">
        <v>81</v>
      </c>
      <c r="D371" s="25" t="s">
        <v>92</v>
      </c>
      <c r="E371" s="9">
        <v>6600000</v>
      </c>
      <c r="F371" s="26">
        <v>0.53</v>
      </c>
      <c r="G371" s="25">
        <v>47</v>
      </c>
      <c r="H371" s="27">
        <v>12.8</v>
      </c>
      <c r="I371" s="24" t="str" cm="1">
        <f t="array" ref="I371">_xlfn.IFS(
   AND(F371&gt;=0,9, G371&gt;=85), "Excelente",
   AND(F371&gt;=0,8, G371&gt;=70), "Bueno",
   OR(F371&lt;0,6,  G371&lt;50),  "Alerta",
   TRUE,           "Revisar")</f>
        <v>Alerta</v>
      </c>
      <c r="J371" s="28">
        <f t="shared" si="5"/>
        <v>0</v>
      </c>
    </row>
    <row r="372" spans="1:10" ht="18" customHeight="1" x14ac:dyDescent="0.3">
      <c r="A372" s="18" t="s">
        <v>793</v>
      </c>
      <c r="B372" s="5" t="s">
        <v>794</v>
      </c>
      <c r="C372" s="18" t="s">
        <v>91</v>
      </c>
      <c r="D372" s="18" t="s">
        <v>114</v>
      </c>
      <c r="E372" s="6">
        <v>8400000</v>
      </c>
      <c r="F372" s="19">
        <v>0.64</v>
      </c>
      <c r="G372" s="18">
        <v>57</v>
      </c>
      <c r="H372" s="20">
        <v>12.6</v>
      </c>
      <c r="I372" s="24" t="str" cm="1">
        <f t="array" ref="I372">_xlfn.IFS(
   AND(F372&gt;=0,9, G372&gt;=85), "Excelente",
   AND(F372&gt;=0,8, G372&gt;=70), "Bueno",
   OR(F372&lt;0,6,  G372&lt;50),  "Alerta",
   TRUE,           "Revisar")</f>
        <v>Alerta</v>
      </c>
      <c r="J372" s="28">
        <f t="shared" si="5"/>
        <v>0</v>
      </c>
    </row>
    <row r="373" spans="1:10" ht="18" customHeight="1" x14ac:dyDescent="0.3">
      <c r="A373" s="25" t="s">
        <v>795</v>
      </c>
      <c r="B373" s="8" t="s">
        <v>796</v>
      </c>
      <c r="C373" s="25" t="s">
        <v>63</v>
      </c>
      <c r="D373" s="25" t="s">
        <v>105</v>
      </c>
      <c r="E373" s="9">
        <v>5500000</v>
      </c>
      <c r="F373" s="26">
        <v>0.5</v>
      </c>
      <c r="G373" s="25">
        <v>42</v>
      </c>
      <c r="H373" s="27">
        <v>2.8</v>
      </c>
      <c r="I373" s="24" t="str" cm="1">
        <f t="array" ref="I373">_xlfn.IFS(
   AND(F373&gt;=0,9, G373&gt;=85), "Excelente",
   AND(F373&gt;=0,8, G373&gt;=70), "Bueno",
   OR(F373&lt;0,6,  G373&lt;50),  "Alerta",
   TRUE,           "Revisar")</f>
        <v>Alerta</v>
      </c>
      <c r="J373" s="28">
        <f t="shared" si="5"/>
        <v>0</v>
      </c>
    </row>
    <row r="374" spans="1:10" ht="18" customHeight="1" x14ac:dyDescent="0.3">
      <c r="A374" s="18" t="s">
        <v>797</v>
      </c>
      <c r="B374" s="5" t="s">
        <v>798</v>
      </c>
      <c r="C374" s="18" t="s">
        <v>63</v>
      </c>
      <c r="D374" s="18" t="s">
        <v>92</v>
      </c>
      <c r="E374" s="6">
        <v>8200000</v>
      </c>
      <c r="F374" s="19">
        <v>0.62</v>
      </c>
      <c r="G374" s="18">
        <v>47</v>
      </c>
      <c r="H374" s="20">
        <v>5</v>
      </c>
      <c r="I374" s="24" t="str" cm="1">
        <f t="array" ref="I374">_xlfn.IFS(
   AND(F374&gt;=0,9, G374&gt;=85), "Excelente",
   AND(F374&gt;=0,8, G374&gt;=70), "Bueno",
   OR(F374&lt;0,6,  G374&lt;50),  "Alerta",
   TRUE,           "Revisar")</f>
        <v>Alerta</v>
      </c>
      <c r="J374" s="28">
        <f t="shared" si="5"/>
        <v>0</v>
      </c>
    </row>
    <row r="375" spans="1:10" ht="18" customHeight="1" x14ac:dyDescent="0.3">
      <c r="A375" s="25" t="s">
        <v>799</v>
      </c>
      <c r="B375" s="8" t="s">
        <v>800</v>
      </c>
      <c r="C375" s="25" t="s">
        <v>59</v>
      </c>
      <c r="D375" s="25" t="s">
        <v>64</v>
      </c>
      <c r="E375" s="9">
        <v>11200000</v>
      </c>
      <c r="F375" s="26">
        <v>0.93</v>
      </c>
      <c r="G375" s="25">
        <v>56</v>
      </c>
      <c r="H375" s="27">
        <v>10.4</v>
      </c>
      <c r="I375" s="24" t="str" cm="1">
        <f t="array" ref="I375">_xlfn.IFS(
   AND(F375&gt;=0,9, G375&gt;=85), "Excelente",
   AND(F375&gt;=0,8, G375&gt;=70), "Bueno",
   OR(F375&lt;0,6,  G375&lt;50),  "Alerta",
   TRUE,           "Revisar")</f>
        <v>Alerta</v>
      </c>
      <c r="J375" s="28">
        <f t="shared" si="5"/>
        <v>0</v>
      </c>
    </row>
    <row r="376" spans="1:10" ht="18" customHeight="1" x14ac:dyDescent="0.3">
      <c r="A376" s="18" t="s">
        <v>801</v>
      </c>
      <c r="B376" s="5" t="s">
        <v>802</v>
      </c>
      <c r="C376" s="18" t="s">
        <v>67</v>
      </c>
      <c r="D376" s="18" t="s">
        <v>105</v>
      </c>
      <c r="E376" s="6">
        <v>10900000</v>
      </c>
      <c r="F376" s="19">
        <v>0.78</v>
      </c>
      <c r="G376" s="18">
        <v>97</v>
      </c>
      <c r="H376" s="20">
        <v>17.8</v>
      </c>
      <c r="I376" s="24" t="str" cm="1">
        <f t="array" ref="I376">_xlfn.IFS(
   AND(F376&gt;=0,9, G376&gt;=85), "Excelente",
   AND(F376&gt;=0,8, G376&gt;=70), "Bueno",
   OR(F376&lt;0,6,  G376&lt;50),  "Alerta",
   TRUE,           "Revisar")</f>
        <v>Excelente</v>
      </c>
      <c r="J376" s="28">
        <f t="shared" si="5"/>
        <v>1090000</v>
      </c>
    </row>
    <row r="377" spans="1:10" ht="18" customHeight="1" x14ac:dyDescent="0.3">
      <c r="A377" s="25" t="s">
        <v>803</v>
      </c>
      <c r="B377" s="8" t="s">
        <v>804</v>
      </c>
      <c r="C377" s="25" t="s">
        <v>81</v>
      </c>
      <c r="D377" s="25" t="s">
        <v>114</v>
      </c>
      <c r="E377" s="9">
        <v>7700000</v>
      </c>
      <c r="F377" s="26">
        <v>0.92</v>
      </c>
      <c r="G377" s="25">
        <v>83</v>
      </c>
      <c r="H377" s="27">
        <v>7.3</v>
      </c>
      <c r="I377" s="24" t="str" cm="1">
        <f t="array" ref="I377">_xlfn.IFS(
   AND(F377&gt;=0,9, G377&gt;=85), "Excelente",
   AND(F377&gt;=0,8, G377&gt;=70), "Bueno",
   OR(F377&lt;0,6,  G377&lt;50),  "Alerta",
   TRUE,           "Revisar")</f>
        <v>Bueno</v>
      </c>
      <c r="J377" s="28">
        <f t="shared" si="5"/>
        <v>770000</v>
      </c>
    </row>
    <row r="378" spans="1:10" ht="18" customHeight="1" x14ac:dyDescent="0.3">
      <c r="A378" s="18" t="s">
        <v>805</v>
      </c>
      <c r="B378" s="5" t="s">
        <v>806</v>
      </c>
      <c r="C378" s="18" t="s">
        <v>77</v>
      </c>
      <c r="D378" s="18" t="s">
        <v>78</v>
      </c>
      <c r="E378" s="6">
        <v>3000000</v>
      </c>
      <c r="F378" s="19">
        <v>0.77</v>
      </c>
      <c r="G378" s="18">
        <v>31</v>
      </c>
      <c r="H378" s="20">
        <v>5.2</v>
      </c>
      <c r="I378" s="24" t="str" cm="1">
        <f t="array" ref="I378">_xlfn.IFS(
   AND(F378&gt;=0,9, G378&gt;=85), "Excelente",
   AND(F378&gt;=0,8, G378&gt;=70), "Bueno",
   OR(F378&lt;0,6,  G378&lt;50),  "Alerta",
   TRUE,           "Revisar")</f>
        <v>Alerta</v>
      </c>
      <c r="J378" s="28">
        <f t="shared" si="5"/>
        <v>0</v>
      </c>
    </row>
    <row r="379" spans="1:10" ht="18" customHeight="1" x14ac:dyDescent="0.3">
      <c r="A379" s="25" t="s">
        <v>807</v>
      </c>
      <c r="B379" s="8" t="s">
        <v>808</v>
      </c>
      <c r="C379" s="25" t="s">
        <v>91</v>
      </c>
      <c r="D379" s="25" t="s">
        <v>68</v>
      </c>
      <c r="E379" s="9">
        <v>9200000</v>
      </c>
      <c r="F379" s="26">
        <v>0.61</v>
      </c>
      <c r="G379" s="25">
        <v>94</v>
      </c>
      <c r="H379" s="27">
        <v>15.3</v>
      </c>
      <c r="I379" s="24" t="str" cm="1">
        <f t="array" ref="I379">_xlfn.IFS(
   AND(F379&gt;=0,9, G379&gt;=85), "Excelente",
   AND(F379&gt;=0,8, G379&gt;=70), "Bueno",
   OR(F379&lt;0,6,  G379&lt;50),  "Alerta",
   TRUE,           "Revisar")</f>
        <v>Excelente</v>
      </c>
      <c r="J379" s="28">
        <f t="shared" si="5"/>
        <v>920000</v>
      </c>
    </row>
    <row r="380" spans="1:10" ht="18" customHeight="1" x14ac:dyDescent="0.3">
      <c r="A380" s="18" t="s">
        <v>809</v>
      </c>
      <c r="B380" s="5" t="s">
        <v>810</v>
      </c>
      <c r="C380" s="18" t="s">
        <v>71</v>
      </c>
      <c r="D380" s="18" t="s">
        <v>88</v>
      </c>
      <c r="E380" s="6">
        <v>3800000</v>
      </c>
      <c r="F380" s="19">
        <v>0.62</v>
      </c>
      <c r="G380" s="18">
        <v>95</v>
      </c>
      <c r="H380" s="20">
        <v>18.399999999999999</v>
      </c>
      <c r="I380" s="24" t="str" cm="1">
        <f t="array" ref="I380">_xlfn.IFS(
   AND(F380&gt;=0,9, G380&gt;=85), "Excelente",
   AND(F380&gt;=0,8, G380&gt;=70), "Bueno",
   OR(F380&lt;0,6,  G380&lt;50),  "Alerta",
   TRUE,           "Revisar")</f>
        <v>Excelente</v>
      </c>
      <c r="J380" s="28">
        <f t="shared" si="5"/>
        <v>380000</v>
      </c>
    </row>
    <row r="381" spans="1:10" ht="18" customHeight="1" x14ac:dyDescent="0.3">
      <c r="A381" s="25" t="s">
        <v>811</v>
      </c>
      <c r="B381" s="8" t="s">
        <v>812</v>
      </c>
      <c r="C381" s="25" t="s">
        <v>81</v>
      </c>
      <c r="D381" s="25" t="s">
        <v>68</v>
      </c>
      <c r="E381" s="9">
        <v>10300000</v>
      </c>
      <c r="F381" s="26">
        <v>0.8</v>
      </c>
      <c r="G381" s="25">
        <v>38</v>
      </c>
      <c r="H381" s="27">
        <v>6.2</v>
      </c>
      <c r="I381" s="24" t="str" cm="1">
        <f t="array" ref="I381">_xlfn.IFS(
   AND(F381&gt;=0,9, G381&gt;=85), "Excelente",
   AND(F381&gt;=0,8, G381&gt;=70), "Bueno",
   OR(F381&lt;0,6,  G381&lt;50),  "Alerta",
   TRUE,           "Revisar")</f>
        <v>Alerta</v>
      </c>
      <c r="J381" s="28">
        <f t="shared" si="5"/>
        <v>0</v>
      </c>
    </row>
    <row r="382" spans="1:10" ht="18" customHeight="1" x14ac:dyDescent="0.3">
      <c r="A382" s="18" t="s">
        <v>813</v>
      </c>
      <c r="B382" s="5" t="s">
        <v>814</v>
      </c>
      <c r="C382" s="18" t="s">
        <v>67</v>
      </c>
      <c r="D382" s="18" t="s">
        <v>64</v>
      </c>
      <c r="E382" s="6">
        <v>5900000</v>
      </c>
      <c r="F382" s="19">
        <v>0.5</v>
      </c>
      <c r="G382" s="18">
        <v>85</v>
      </c>
      <c r="H382" s="20">
        <v>2.2999999999999998</v>
      </c>
      <c r="I382" s="24" t="str" cm="1">
        <f t="array" ref="I382">_xlfn.IFS(
   AND(F382&gt;=0,9, G382&gt;=85), "Excelente",
   AND(F382&gt;=0,8, G382&gt;=70), "Bueno",
   OR(F382&lt;0,6,  G382&lt;50),  "Alerta",
   TRUE,           "Revisar")</f>
        <v>Excelente</v>
      </c>
      <c r="J382" s="28">
        <f t="shared" si="5"/>
        <v>590000</v>
      </c>
    </row>
    <row r="383" spans="1:10" ht="18" customHeight="1" x14ac:dyDescent="0.3">
      <c r="A383" s="25" t="s">
        <v>815</v>
      </c>
      <c r="B383" s="8" t="s">
        <v>816</v>
      </c>
      <c r="C383" s="25" t="s">
        <v>71</v>
      </c>
      <c r="D383" s="25" t="s">
        <v>78</v>
      </c>
      <c r="E383" s="9">
        <v>2900000</v>
      </c>
      <c r="F383" s="26">
        <v>0.84</v>
      </c>
      <c r="G383" s="25">
        <v>31</v>
      </c>
      <c r="H383" s="27">
        <v>3.3</v>
      </c>
      <c r="I383" s="24" t="str" cm="1">
        <f t="array" ref="I383">_xlfn.IFS(
   AND(F383&gt;=0,9, G383&gt;=85), "Excelente",
   AND(F383&gt;=0,8, G383&gt;=70), "Bueno",
   OR(F383&lt;0,6,  G383&lt;50),  "Alerta",
   TRUE,           "Revisar")</f>
        <v>Alerta</v>
      </c>
      <c r="J383" s="28">
        <f t="shared" si="5"/>
        <v>0</v>
      </c>
    </row>
    <row r="384" spans="1:10" ht="18" customHeight="1" x14ac:dyDescent="0.3">
      <c r="A384" s="18" t="s">
        <v>817</v>
      </c>
      <c r="B384" s="5" t="s">
        <v>818</v>
      </c>
      <c r="C384" s="18" t="s">
        <v>59</v>
      </c>
      <c r="D384" s="18" t="s">
        <v>114</v>
      </c>
      <c r="E384" s="6">
        <v>7500000</v>
      </c>
      <c r="F384" s="19">
        <v>0.52</v>
      </c>
      <c r="G384" s="18">
        <v>64</v>
      </c>
      <c r="H384" s="20">
        <v>14.7</v>
      </c>
      <c r="I384" s="24" t="str" cm="1">
        <f t="array" ref="I384">_xlfn.IFS(
   AND(F384&gt;=0,9, G384&gt;=85), "Excelente",
   AND(F384&gt;=0,8, G384&gt;=70), "Bueno",
   OR(F384&lt;0,6,  G384&lt;50),  "Alerta",
   TRUE,           "Revisar")</f>
        <v>Alerta</v>
      </c>
      <c r="J384" s="28">
        <f t="shared" si="5"/>
        <v>0</v>
      </c>
    </row>
    <row r="385" spans="1:10" ht="18" customHeight="1" x14ac:dyDescent="0.3">
      <c r="A385" s="25" t="s">
        <v>819</v>
      </c>
      <c r="B385" s="8" t="s">
        <v>820</v>
      </c>
      <c r="C385" s="25" t="s">
        <v>91</v>
      </c>
      <c r="D385" s="25" t="s">
        <v>92</v>
      </c>
      <c r="E385" s="9">
        <v>8200000</v>
      </c>
      <c r="F385" s="26">
        <v>0.6</v>
      </c>
      <c r="G385" s="25">
        <v>38</v>
      </c>
      <c r="H385" s="27">
        <v>5.3</v>
      </c>
      <c r="I385" s="24" t="str" cm="1">
        <f t="array" ref="I385">_xlfn.IFS(
   AND(F385&gt;=0,9, G385&gt;=85), "Excelente",
   AND(F385&gt;=0,8, G385&gt;=70), "Bueno",
   OR(F385&lt;0,6,  G385&lt;50),  "Alerta",
   TRUE,           "Revisar")</f>
        <v>Alerta</v>
      </c>
      <c r="J385" s="28">
        <f t="shared" si="5"/>
        <v>0</v>
      </c>
    </row>
    <row r="386" spans="1:10" ht="18" customHeight="1" x14ac:dyDescent="0.3">
      <c r="A386" s="18" t="s">
        <v>821</v>
      </c>
      <c r="B386" s="5" t="s">
        <v>822</v>
      </c>
      <c r="C386" s="18" t="s">
        <v>77</v>
      </c>
      <c r="D386" s="18" t="s">
        <v>92</v>
      </c>
      <c r="E386" s="6">
        <v>3500000</v>
      </c>
      <c r="F386" s="19">
        <v>0.72</v>
      </c>
      <c r="G386" s="18">
        <v>51</v>
      </c>
      <c r="H386" s="20">
        <v>7.4</v>
      </c>
      <c r="I386" s="24" t="str" cm="1">
        <f t="array" ref="I386">_xlfn.IFS(
   AND(F386&gt;=0,9, G386&gt;=85), "Excelente",
   AND(F386&gt;=0,8, G386&gt;=70), "Bueno",
   OR(F386&lt;0,6,  G386&lt;50),  "Alerta",
   TRUE,           "Revisar")</f>
        <v>Alerta</v>
      </c>
      <c r="J386" s="28">
        <f t="shared" si="5"/>
        <v>0</v>
      </c>
    </row>
    <row r="387" spans="1:10" ht="18" customHeight="1" x14ac:dyDescent="0.3">
      <c r="A387" s="25" t="s">
        <v>823</v>
      </c>
      <c r="B387" s="8" t="s">
        <v>824</v>
      </c>
      <c r="C387" s="25" t="s">
        <v>74</v>
      </c>
      <c r="D387" s="25" t="s">
        <v>60</v>
      </c>
      <c r="E387" s="9">
        <v>9300000</v>
      </c>
      <c r="F387" s="26">
        <v>0.45</v>
      </c>
      <c r="G387" s="25">
        <v>31</v>
      </c>
      <c r="H387" s="27">
        <v>4.9000000000000004</v>
      </c>
      <c r="I387" s="24" t="str" cm="1">
        <f t="array" ref="I387">_xlfn.IFS(
   AND(F387&gt;=0,9, G387&gt;=85), "Excelente",
   AND(F387&gt;=0,8, G387&gt;=70), "Bueno",
   OR(F387&lt;0,6,  G387&lt;50),  "Alerta",
   TRUE,           "Revisar")</f>
        <v>Alerta</v>
      </c>
      <c r="J387" s="28">
        <f t="shared" si="5"/>
        <v>0</v>
      </c>
    </row>
    <row r="388" spans="1:10" ht="18" customHeight="1" x14ac:dyDescent="0.3">
      <c r="A388" s="18" t="s">
        <v>825</v>
      </c>
      <c r="B388" s="5" t="s">
        <v>826</v>
      </c>
      <c r="C388" s="18" t="s">
        <v>91</v>
      </c>
      <c r="D388" s="18" t="s">
        <v>68</v>
      </c>
      <c r="E388" s="6">
        <v>5600000</v>
      </c>
      <c r="F388" s="19">
        <v>0.63</v>
      </c>
      <c r="G388" s="18">
        <v>83</v>
      </c>
      <c r="H388" s="20">
        <v>18.3</v>
      </c>
      <c r="I388" s="24" t="str" cm="1">
        <f t="array" ref="I388">_xlfn.IFS(
   AND(F388&gt;=0,9, G388&gt;=85), "Excelente",
   AND(F388&gt;=0,8, G388&gt;=70), "Bueno",
   OR(F388&lt;0,6,  G388&lt;50),  "Alerta",
   TRUE,           "Revisar")</f>
        <v>Bueno</v>
      </c>
      <c r="J388" s="28">
        <f t="shared" si="5"/>
        <v>560000</v>
      </c>
    </row>
    <row r="389" spans="1:10" ht="18" customHeight="1" x14ac:dyDescent="0.3">
      <c r="A389" s="25" t="s">
        <v>827</v>
      </c>
      <c r="B389" s="8" t="s">
        <v>828</v>
      </c>
      <c r="C389" s="25" t="s">
        <v>74</v>
      </c>
      <c r="D389" s="25" t="s">
        <v>92</v>
      </c>
      <c r="E389" s="9">
        <v>4300000</v>
      </c>
      <c r="F389" s="26">
        <v>0.73</v>
      </c>
      <c r="G389" s="25">
        <v>36</v>
      </c>
      <c r="H389" s="27">
        <v>3.6</v>
      </c>
      <c r="I389" s="24" t="str" cm="1">
        <f t="array" ref="I389">_xlfn.IFS(
   AND(F389&gt;=0,9, G389&gt;=85), "Excelente",
   AND(F389&gt;=0,8, G389&gt;=70), "Bueno",
   OR(F389&lt;0,6,  G389&lt;50),  "Alerta",
   TRUE,           "Revisar")</f>
        <v>Alerta</v>
      </c>
      <c r="J389" s="28">
        <f t="shared" si="5"/>
        <v>0</v>
      </c>
    </row>
    <row r="390" spans="1:10" ht="18" customHeight="1" x14ac:dyDescent="0.3">
      <c r="A390" s="18" t="s">
        <v>829</v>
      </c>
      <c r="B390" s="5" t="s">
        <v>830</v>
      </c>
      <c r="C390" s="18" t="s">
        <v>63</v>
      </c>
      <c r="D390" s="18" t="s">
        <v>78</v>
      </c>
      <c r="E390" s="6">
        <v>8700000</v>
      </c>
      <c r="F390" s="19">
        <v>0.93</v>
      </c>
      <c r="G390" s="18">
        <v>69</v>
      </c>
      <c r="H390" s="20">
        <v>6.5</v>
      </c>
      <c r="I390" s="24" t="str" cm="1">
        <f t="array" ref="I390">_xlfn.IFS(
   AND(F390&gt;=0,9, G390&gt;=85), "Excelente",
   AND(F390&gt;=0,8, G390&gt;=70), "Bueno",
   OR(F390&lt;0,6,  G390&lt;50),  "Alerta",
   TRUE,           "Revisar")</f>
        <v>Alerta</v>
      </c>
      <c r="J390" s="28">
        <f t="shared" si="5"/>
        <v>0</v>
      </c>
    </row>
    <row r="391" spans="1:10" ht="18" customHeight="1" x14ac:dyDescent="0.3">
      <c r="A391" s="25" t="s">
        <v>831</v>
      </c>
      <c r="B391" s="8" t="s">
        <v>832</v>
      </c>
      <c r="C391" s="25" t="s">
        <v>91</v>
      </c>
      <c r="D391" s="25" t="s">
        <v>92</v>
      </c>
      <c r="E391" s="9">
        <v>5300000</v>
      </c>
      <c r="F391" s="26">
        <v>0.61</v>
      </c>
      <c r="G391" s="25">
        <v>68</v>
      </c>
      <c r="H391" s="27">
        <v>14.8</v>
      </c>
      <c r="I391" s="24" t="str" cm="1">
        <f t="array" ref="I391">_xlfn.IFS(
   AND(F391&gt;=0,9, G391&gt;=85), "Excelente",
   AND(F391&gt;=0,8, G391&gt;=70), "Bueno",
   OR(F391&lt;0,6,  G391&lt;50),  "Alerta",
   TRUE,           "Revisar")</f>
        <v>Alerta</v>
      </c>
      <c r="J391" s="28">
        <f t="shared" si="5"/>
        <v>0</v>
      </c>
    </row>
    <row r="392" spans="1:10" ht="18" customHeight="1" x14ac:dyDescent="0.3">
      <c r="A392" s="18" t="s">
        <v>833</v>
      </c>
      <c r="B392" s="5" t="s">
        <v>834</v>
      </c>
      <c r="C392" s="18" t="s">
        <v>81</v>
      </c>
      <c r="D392" s="18" t="s">
        <v>105</v>
      </c>
      <c r="E392" s="6">
        <v>5300000</v>
      </c>
      <c r="F392" s="19">
        <v>0.85</v>
      </c>
      <c r="G392" s="18">
        <v>99</v>
      </c>
      <c r="H392" s="20">
        <v>15.2</v>
      </c>
      <c r="I392" s="24" t="str" cm="1">
        <f t="array" ref="I392">_xlfn.IFS(
   AND(F392&gt;=0,9, G392&gt;=85), "Excelente",
   AND(F392&gt;=0,8, G392&gt;=70), "Bueno",
   OR(F392&lt;0,6,  G392&lt;50),  "Alerta",
   TRUE,           "Revisar")</f>
        <v>Excelente</v>
      </c>
      <c r="J392" s="28">
        <f t="shared" si="5"/>
        <v>530000</v>
      </c>
    </row>
    <row r="393" spans="1:10" ht="18" customHeight="1" x14ac:dyDescent="0.3">
      <c r="A393" s="25" t="s">
        <v>835</v>
      </c>
      <c r="B393" s="8" t="s">
        <v>836</v>
      </c>
      <c r="C393" s="25" t="s">
        <v>91</v>
      </c>
      <c r="D393" s="25" t="s">
        <v>68</v>
      </c>
      <c r="E393" s="9">
        <v>3100000</v>
      </c>
      <c r="F393" s="26">
        <v>0.57999999999999996</v>
      </c>
      <c r="G393" s="25">
        <v>74</v>
      </c>
      <c r="H393" s="27">
        <v>12.7</v>
      </c>
      <c r="I393" s="24" t="str" cm="1">
        <f t="array" ref="I393">_xlfn.IFS(
   AND(F393&gt;=0,9, G393&gt;=85), "Excelente",
   AND(F393&gt;=0,8, G393&gt;=70), "Bueno",
   OR(F393&lt;0,6,  G393&lt;50),  "Alerta",
   TRUE,           "Revisar")</f>
        <v>Bueno</v>
      </c>
      <c r="J393" s="28">
        <f t="shared" si="5"/>
        <v>310000</v>
      </c>
    </row>
    <row r="394" spans="1:10" ht="18" customHeight="1" x14ac:dyDescent="0.3">
      <c r="A394" s="18" t="s">
        <v>837</v>
      </c>
      <c r="B394" s="5" t="s">
        <v>838</v>
      </c>
      <c r="C394" s="18" t="s">
        <v>91</v>
      </c>
      <c r="D394" s="18" t="s">
        <v>68</v>
      </c>
      <c r="E394" s="6">
        <v>6700000</v>
      </c>
      <c r="F394" s="19">
        <v>0.51</v>
      </c>
      <c r="G394" s="18">
        <v>97</v>
      </c>
      <c r="H394" s="20">
        <v>19.7</v>
      </c>
      <c r="I394" s="24" t="str" cm="1">
        <f t="array" ref="I394">_xlfn.IFS(
   AND(F394&gt;=0,9, G394&gt;=85), "Excelente",
   AND(F394&gt;=0,8, G394&gt;=70), "Bueno",
   OR(F394&lt;0,6,  G394&lt;50),  "Alerta",
   TRUE,           "Revisar")</f>
        <v>Excelente</v>
      </c>
      <c r="J394" s="28">
        <f t="shared" si="5"/>
        <v>670000</v>
      </c>
    </row>
    <row r="395" spans="1:10" ht="18" customHeight="1" x14ac:dyDescent="0.3">
      <c r="A395" s="25" t="s">
        <v>839</v>
      </c>
      <c r="B395" s="8" t="s">
        <v>840</v>
      </c>
      <c r="C395" s="25" t="s">
        <v>59</v>
      </c>
      <c r="D395" s="25" t="s">
        <v>78</v>
      </c>
      <c r="E395" s="9">
        <v>3300000</v>
      </c>
      <c r="F395" s="26">
        <v>0.96</v>
      </c>
      <c r="G395" s="25">
        <v>96</v>
      </c>
      <c r="H395" s="27">
        <v>8.3000000000000007</v>
      </c>
      <c r="I395" s="24" t="str" cm="1">
        <f t="array" ref="I395">_xlfn.IFS(
   AND(F395&gt;=0,9, G395&gt;=85), "Excelente",
   AND(F395&gt;=0,8, G395&gt;=70), "Bueno",
   OR(F395&lt;0,6,  G395&lt;50),  "Alerta",
   TRUE,           "Revisar")</f>
        <v>Excelente</v>
      </c>
      <c r="J395" s="28">
        <f t="shared" si="5"/>
        <v>330000</v>
      </c>
    </row>
    <row r="396" spans="1:10" ht="18" customHeight="1" x14ac:dyDescent="0.3">
      <c r="A396" s="18" t="s">
        <v>841</v>
      </c>
      <c r="B396" s="5" t="s">
        <v>842</v>
      </c>
      <c r="C396" s="18" t="s">
        <v>74</v>
      </c>
      <c r="D396" s="18" t="s">
        <v>78</v>
      </c>
      <c r="E396" s="6">
        <v>9200000</v>
      </c>
      <c r="F396" s="19">
        <v>0.52</v>
      </c>
      <c r="G396" s="18">
        <v>80</v>
      </c>
      <c r="H396" s="20">
        <v>1.5</v>
      </c>
      <c r="I396" s="24" t="str" cm="1">
        <f t="array" ref="I396">_xlfn.IFS(
   AND(F396&gt;=0,9, G396&gt;=85), "Excelente",
   AND(F396&gt;=0,8, G396&gt;=70), "Bueno",
   OR(F396&lt;0,6,  G396&lt;50),  "Alerta",
   TRUE,           "Revisar")</f>
        <v>Bueno</v>
      </c>
      <c r="J396" s="28">
        <f t="shared" ref="J396:J459" si="6">IF(OR(I396="Excelente",I396="Bueno"),E396*0.1,0)</f>
        <v>920000</v>
      </c>
    </row>
    <row r="397" spans="1:10" ht="18" customHeight="1" x14ac:dyDescent="0.3">
      <c r="A397" s="25" t="s">
        <v>843</v>
      </c>
      <c r="B397" s="8" t="s">
        <v>844</v>
      </c>
      <c r="C397" s="25" t="s">
        <v>71</v>
      </c>
      <c r="D397" s="25" t="s">
        <v>60</v>
      </c>
      <c r="E397" s="9">
        <v>6500000</v>
      </c>
      <c r="F397" s="26">
        <v>0.59</v>
      </c>
      <c r="G397" s="25">
        <v>70</v>
      </c>
      <c r="H397" s="27">
        <v>18.5</v>
      </c>
      <c r="I397" s="24" t="str" cm="1">
        <f t="array" ref="I397">_xlfn.IFS(
   AND(F397&gt;=0,9, G397&gt;=85), "Excelente",
   AND(F397&gt;=0,8, G397&gt;=70), "Bueno",
   OR(F397&lt;0,6,  G397&lt;50),  "Alerta",
   TRUE,           "Revisar")</f>
        <v>Bueno</v>
      </c>
      <c r="J397" s="28">
        <f t="shared" si="6"/>
        <v>650000</v>
      </c>
    </row>
    <row r="398" spans="1:10" ht="18" customHeight="1" x14ac:dyDescent="0.3">
      <c r="A398" s="18" t="s">
        <v>845</v>
      </c>
      <c r="B398" s="5" t="s">
        <v>846</v>
      </c>
      <c r="C398" s="18" t="s">
        <v>81</v>
      </c>
      <c r="D398" s="18" t="s">
        <v>92</v>
      </c>
      <c r="E398" s="6">
        <v>8500000</v>
      </c>
      <c r="F398" s="19">
        <v>0.6</v>
      </c>
      <c r="G398" s="18">
        <v>39</v>
      </c>
      <c r="H398" s="20">
        <v>18.899999999999999</v>
      </c>
      <c r="I398" s="24" t="str" cm="1">
        <f t="array" ref="I398">_xlfn.IFS(
   AND(F398&gt;=0,9, G398&gt;=85), "Excelente",
   AND(F398&gt;=0,8, G398&gt;=70), "Bueno",
   OR(F398&lt;0,6,  G398&lt;50),  "Alerta",
   TRUE,           "Revisar")</f>
        <v>Alerta</v>
      </c>
      <c r="J398" s="28">
        <f t="shared" si="6"/>
        <v>0</v>
      </c>
    </row>
    <row r="399" spans="1:10" ht="18" customHeight="1" x14ac:dyDescent="0.3">
      <c r="A399" s="25" t="s">
        <v>847</v>
      </c>
      <c r="B399" s="8" t="s">
        <v>848</v>
      </c>
      <c r="C399" s="25" t="s">
        <v>71</v>
      </c>
      <c r="D399" s="25" t="s">
        <v>78</v>
      </c>
      <c r="E399" s="9">
        <v>4900000</v>
      </c>
      <c r="F399" s="26">
        <v>0.7</v>
      </c>
      <c r="G399" s="25">
        <v>70</v>
      </c>
      <c r="H399" s="27">
        <v>8.1</v>
      </c>
      <c r="I399" s="24" t="str" cm="1">
        <f t="array" ref="I399">_xlfn.IFS(
   AND(F399&gt;=0,9, G399&gt;=85), "Excelente",
   AND(F399&gt;=0,8, G399&gt;=70), "Bueno",
   OR(F399&lt;0,6,  G399&lt;50),  "Alerta",
   TRUE,           "Revisar")</f>
        <v>Bueno</v>
      </c>
      <c r="J399" s="28">
        <f t="shared" si="6"/>
        <v>490000</v>
      </c>
    </row>
    <row r="400" spans="1:10" ht="18" customHeight="1" x14ac:dyDescent="0.3">
      <c r="A400" s="18" t="s">
        <v>849</v>
      </c>
      <c r="B400" s="5" t="s">
        <v>850</v>
      </c>
      <c r="C400" s="18" t="s">
        <v>67</v>
      </c>
      <c r="D400" s="18" t="s">
        <v>105</v>
      </c>
      <c r="E400" s="6">
        <v>6700000</v>
      </c>
      <c r="F400" s="19">
        <v>0.7</v>
      </c>
      <c r="G400" s="18">
        <v>45</v>
      </c>
      <c r="H400" s="20">
        <v>1.8</v>
      </c>
      <c r="I400" s="24" t="str" cm="1">
        <f t="array" ref="I400">_xlfn.IFS(
   AND(F400&gt;=0,9, G400&gt;=85), "Excelente",
   AND(F400&gt;=0,8, G400&gt;=70), "Bueno",
   OR(F400&lt;0,6,  G400&lt;50),  "Alerta",
   TRUE,           "Revisar")</f>
        <v>Alerta</v>
      </c>
      <c r="J400" s="28">
        <f t="shared" si="6"/>
        <v>0</v>
      </c>
    </row>
    <row r="401" spans="1:10" ht="18" customHeight="1" x14ac:dyDescent="0.3">
      <c r="A401" s="25" t="s">
        <v>851</v>
      </c>
      <c r="B401" s="8" t="s">
        <v>852</v>
      </c>
      <c r="C401" s="25" t="s">
        <v>91</v>
      </c>
      <c r="D401" s="25" t="s">
        <v>60</v>
      </c>
      <c r="E401" s="9">
        <v>6900000</v>
      </c>
      <c r="F401" s="26">
        <v>0.53</v>
      </c>
      <c r="G401" s="25">
        <v>61</v>
      </c>
      <c r="H401" s="27">
        <v>19.399999999999999</v>
      </c>
      <c r="I401" s="24" t="str" cm="1">
        <f t="array" ref="I401">_xlfn.IFS(
   AND(F401&gt;=0,9, G401&gt;=85), "Excelente",
   AND(F401&gt;=0,8, G401&gt;=70), "Bueno",
   OR(F401&lt;0,6,  G401&lt;50),  "Alerta",
   TRUE,           "Revisar")</f>
        <v>Alerta</v>
      </c>
      <c r="J401" s="28">
        <f t="shared" si="6"/>
        <v>0</v>
      </c>
    </row>
    <row r="402" spans="1:10" ht="18" customHeight="1" x14ac:dyDescent="0.3">
      <c r="A402" s="18" t="s">
        <v>853</v>
      </c>
      <c r="B402" s="5" t="s">
        <v>854</v>
      </c>
      <c r="C402" s="18" t="s">
        <v>91</v>
      </c>
      <c r="D402" s="18" t="s">
        <v>88</v>
      </c>
      <c r="E402" s="6">
        <v>6100000</v>
      </c>
      <c r="F402" s="19">
        <v>0.9</v>
      </c>
      <c r="G402" s="18">
        <v>52</v>
      </c>
      <c r="H402" s="20">
        <v>0.6</v>
      </c>
      <c r="I402" s="24" t="str" cm="1">
        <f t="array" ref="I402">_xlfn.IFS(
   AND(F402&gt;=0,9, G402&gt;=85), "Excelente",
   AND(F402&gt;=0,8, G402&gt;=70), "Bueno",
   OR(F402&lt;0,6,  G402&lt;50),  "Alerta",
   TRUE,           "Revisar")</f>
        <v>Alerta</v>
      </c>
      <c r="J402" s="28">
        <f t="shared" si="6"/>
        <v>0</v>
      </c>
    </row>
    <row r="403" spans="1:10" ht="18" customHeight="1" x14ac:dyDescent="0.3">
      <c r="A403" s="25" t="s">
        <v>855</v>
      </c>
      <c r="B403" s="8" t="s">
        <v>856</v>
      </c>
      <c r="C403" s="25" t="s">
        <v>71</v>
      </c>
      <c r="D403" s="25" t="s">
        <v>78</v>
      </c>
      <c r="E403" s="9">
        <v>2900000</v>
      </c>
      <c r="F403" s="26">
        <v>0.48</v>
      </c>
      <c r="G403" s="25">
        <v>58</v>
      </c>
      <c r="H403" s="27">
        <v>2.6</v>
      </c>
      <c r="I403" s="24" t="str" cm="1">
        <f t="array" ref="I403">_xlfn.IFS(
   AND(F403&gt;=0,9, G403&gt;=85), "Excelente",
   AND(F403&gt;=0,8, G403&gt;=70), "Bueno",
   OR(F403&lt;0,6,  G403&lt;50),  "Alerta",
   TRUE,           "Revisar")</f>
        <v>Alerta</v>
      </c>
      <c r="J403" s="28">
        <f t="shared" si="6"/>
        <v>0</v>
      </c>
    </row>
    <row r="404" spans="1:10" ht="18" customHeight="1" x14ac:dyDescent="0.3">
      <c r="A404" s="18" t="s">
        <v>857</v>
      </c>
      <c r="B404" s="5" t="s">
        <v>858</v>
      </c>
      <c r="C404" s="18" t="s">
        <v>59</v>
      </c>
      <c r="D404" s="18" t="s">
        <v>78</v>
      </c>
      <c r="E404" s="6">
        <v>3000000</v>
      </c>
      <c r="F404" s="19">
        <v>1</v>
      </c>
      <c r="G404" s="18">
        <v>55</v>
      </c>
      <c r="H404" s="20">
        <v>18</v>
      </c>
      <c r="I404" s="24" t="str" cm="1">
        <f t="array" ref="I404">_xlfn.IFS(
   AND(F404&gt;=0,9, G404&gt;=85), "Excelente",
   AND(F404&gt;=0,8, G404&gt;=70), "Bueno",
   OR(F404&lt;0,6,  G404&lt;50),  "Alerta",
   TRUE,           "Revisar")</f>
        <v>Alerta</v>
      </c>
      <c r="J404" s="28">
        <f t="shared" si="6"/>
        <v>0</v>
      </c>
    </row>
    <row r="405" spans="1:10" ht="18" customHeight="1" x14ac:dyDescent="0.3">
      <c r="A405" s="25" t="s">
        <v>859</v>
      </c>
      <c r="B405" s="8" t="s">
        <v>860</v>
      </c>
      <c r="C405" s="25" t="s">
        <v>71</v>
      </c>
      <c r="D405" s="25" t="s">
        <v>78</v>
      </c>
      <c r="E405" s="9">
        <v>7000000</v>
      </c>
      <c r="F405" s="26">
        <v>0.52</v>
      </c>
      <c r="G405" s="25">
        <v>89</v>
      </c>
      <c r="H405" s="27">
        <v>1</v>
      </c>
      <c r="I405" s="24" t="str" cm="1">
        <f t="array" ref="I405">_xlfn.IFS(
   AND(F405&gt;=0,9, G405&gt;=85), "Excelente",
   AND(F405&gt;=0,8, G405&gt;=70), "Bueno",
   OR(F405&lt;0,6,  G405&lt;50),  "Alerta",
   TRUE,           "Revisar")</f>
        <v>Excelente</v>
      </c>
      <c r="J405" s="28">
        <f t="shared" si="6"/>
        <v>700000</v>
      </c>
    </row>
    <row r="406" spans="1:10" ht="18" customHeight="1" x14ac:dyDescent="0.3">
      <c r="A406" s="18" t="s">
        <v>861</v>
      </c>
      <c r="B406" s="5" t="s">
        <v>862</v>
      </c>
      <c r="C406" s="18" t="s">
        <v>63</v>
      </c>
      <c r="D406" s="18" t="s">
        <v>114</v>
      </c>
      <c r="E406" s="6">
        <v>7300000</v>
      </c>
      <c r="F406" s="19">
        <v>0.56999999999999995</v>
      </c>
      <c r="G406" s="18">
        <v>53</v>
      </c>
      <c r="H406" s="20">
        <v>5.5</v>
      </c>
      <c r="I406" s="24" t="str" cm="1">
        <f t="array" ref="I406">_xlfn.IFS(
   AND(F406&gt;=0,9, G406&gt;=85), "Excelente",
   AND(F406&gt;=0,8, G406&gt;=70), "Bueno",
   OR(F406&lt;0,6,  G406&lt;50),  "Alerta",
   TRUE,           "Revisar")</f>
        <v>Alerta</v>
      </c>
      <c r="J406" s="28">
        <f t="shared" si="6"/>
        <v>0</v>
      </c>
    </row>
    <row r="407" spans="1:10" ht="18" customHeight="1" x14ac:dyDescent="0.3">
      <c r="A407" s="25" t="s">
        <v>863</v>
      </c>
      <c r="B407" s="8" t="s">
        <v>864</v>
      </c>
      <c r="C407" s="25" t="s">
        <v>67</v>
      </c>
      <c r="D407" s="25" t="s">
        <v>88</v>
      </c>
      <c r="E407" s="9">
        <v>9100000</v>
      </c>
      <c r="F407" s="26">
        <v>0.68</v>
      </c>
      <c r="G407" s="25">
        <v>100</v>
      </c>
      <c r="H407" s="27">
        <v>9.6</v>
      </c>
      <c r="I407" s="24" t="str" cm="1">
        <f t="array" ref="I407">_xlfn.IFS(
   AND(F407&gt;=0,9, G407&gt;=85), "Excelente",
   AND(F407&gt;=0,8, G407&gt;=70), "Bueno",
   OR(F407&lt;0,6,  G407&lt;50),  "Alerta",
   TRUE,           "Revisar")</f>
        <v>Excelente</v>
      </c>
      <c r="J407" s="28">
        <f t="shared" si="6"/>
        <v>910000</v>
      </c>
    </row>
    <row r="408" spans="1:10" ht="18" customHeight="1" x14ac:dyDescent="0.3">
      <c r="A408" s="18" t="s">
        <v>865</v>
      </c>
      <c r="B408" s="5" t="s">
        <v>866</v>
      </c>
      <c r="C408" s="18" t="s">
        <v>63</v>
      </c>
      <c r="D408" s="18" t="s">
        <v>114</v>
      </c>
      <c r="E408" s="6">
        <v>8100000</v>
      </c>
      <c r="F408" s="19">
        <v>0.56000000000000005</v>
      </c>
      <c r="G408" s="18">
        <v>97</v>
      </c>
      <c r="H408" s="20">
        <v>5</v>
      </c>
      <c r="I408" s="24" t="str" cm="1">
        <f t="array" ref="I408">_xlfn.IFS(
   AND(F408&gt;=0,9, G408&gt;=85), "Excelente",
   AND(F408&gt;=0,8, G408&gt;=70), "Bueno",
   OR(F408&lt;0,6,  G408&lt;50),  "Alerta",
   TRUE,           "Revisar")</f>
        <v>Excelente</v>
      </c>
      <c r="J408" s="28">
        <f t="shared" si="6"/>
        <v>810000</v>
      </c>
    </row>
    <row r="409" spans="1:10" ht="18" customHeight="1" x14ac:dyDescent="0.3">
      <c r="A409" s="25" t="s">
        <v>867</v>
      </c>
      <c r="B409" s="8" t="s">
        <v>868</v>
      </c>
      <c r="C409" s="25" t="s">
        <v>77</v>
      </c>
      <c r="D409" s="25" t="s">
        <v>92</v>
      </c>
      <c r="E409" s="9">
        <v>10000000</v>
      </c>
      <c r="F409" s="26">
        <v>0.73</v>
      </c>
      <c r="G409" s="25">
        <v>79</v>
      </c>
      <c r="H409" s="27">
        <v>5.4</v>
      </c>
      <c r="I409" s="24" t="str" cm="1">
        <f t="array" ref="I409">_xlfn.IFS(
   AND(F409&gt;=0,9, G409&gt;=85), "Excelente",
   AND(F409&gt;=0,8, G409&gt;=70), "Bueno",
   OR(F409&lt;0,6,  G409&lt;50),  "Alerta",
   TRUE,           "Revisar")</f>
        <v>Bueno</v>
      </c>
      <c r="J409" s="28">
        <f t="shared" si="6"/>
        <v>1000000</v>
      </c>
    </row>
    <row r="410" spans="1:10" ht="18" customHeight="1" x14ac:dyDescent="0.3">
      <c r="A410" s="18" t="s">
        <v>869</v>
      </c>
      <c r="B410" s="5" t="s">
        <v>870</v>
      </c>
      <c r="C410" s="18" t="s">
        <v>91</v>
      </c>
      <c r="D410" s="18" t="s">
        <v>88</v>
      </c>
      <c r="E410" s="6">
        <v>3500000</v>
      </c>
      <c r="F410" s="19">
        <v>0.89</v>
      </c>
      <c r="G410" s="18">
        <v>90</v>
      </c>
      <c r="H410" s="20">
        <v>10.6</v>
      </c>
      <c r="I410" s="24" t="str" cm="1">
        <f t="array" ref="I410">_xlfn.IFS(
   AND(F410&gt;=0,9, G410&gt;=85), "Excelente",
   AND(F410&gt;=0,8, G410&gt;=70), "Bueno",
   OR(F410&lt;0,6,  G410&lt;50),  "Alerta",
   TRUE,           "Revisar")</f>
        <v>Excelente</v>
      </c>
      <c r="J410" s="28">
        <f t="shared" si="6"/>
        <v>350000</v>
      </c>
    </row>
    <row r="411" spans="1:10" ht="18" customHeight="1" x14ac:dyDescent="0.3">
      <c r="A411" s="25" t="s">
        <v>871</v>
      </c>
      <c r="B411" s="8" t="s">
        <v>872</v>
      </c>
      <c r="C411" s="25" t="s">
        <v>71</v>
      </c>
      <c r="D411" s="25" t="s">
        <v>78</v>
      </c>
      <c r="E411" s="9">
        <v>5900000</v>
      </c>
      <c r="F411" s="26">
        <v>0.81</v>
      </c>
      <c r="G411" s="25">
        <v>64</v>
      </c>
      <c r="H411" s="27">
        <v>10.7</v>
      </c>
      <c r="I411" s="24" t="str" cm="1">
        <f t="array" ref="I411">_xlfn.IFS(
   AND(F411&gt;=0,9, G411&gt;=85), "Excelente",
   AND(F411&gt;=0,8, G411&gt;=70), "Bueno",
   OR(F411&lt;0,6,  G411&lt;50),  "Alerta",
   TRUE,           "Revisar")</f>
        <v>Alerta</v>
      </c>
      <c r="J411" s="28">
        <f t="shared" si="6"/>
        <v>0</v>
      </c>
    </row>
    <row r="412" spans="1:10" ht="18" customHeight="1" x14ac:dyDescent="0.3">
      <c r="A412" s="18" t="s">
        <v>873</v>
      </c>
      <c r="B412" s="5" t="s">
        <v>874</v>
      </c>
      <c r="C412" s="18" t="s">
        <v>67</v>
      </c>
      <c r="D412" s="18" t="s">
        <v>68</v>
      </c>
      <c r="E412" s="6">
        <v>7300000</v>
      </c>
      <c r="F412" s="19">
        <v>0.96</v>
      </c>
      <c r="G412" s="18">
        <v>52</v>
      </c>
      <c r="H412" s="20">
        <v>3.5</v>
      </c>
      <c r="I412" s="24" t="str" cm="1">
        <f t="array" ref="I412">_xlfn.IFS(
   AND(F412&gt;=0,9, G412&gt;=85), "Excelente",
   AND(F412&gt;=0,8, G412&gt;=70), "Bueno",
   OR(F412&lt;0,6,  G412&lt;50),  "Alerta",
   TRUE,           "Revisar")</f>
        <v>Alerta</v>
      </c>
      <c r="J412" s="28">
        <f t="shared" si="6"/>
        <v>0</v>
      </c>
    </row>
    <row r="413" spans="1:10" ht="18" customHeight="1" x14ac:dyDescent="0.3">
      <c r="A413" s="25" t="s">
        <v>875</v>
      </c>
      <c r="B413" s="8" t="s">
        <v>876</v>
      </c>
      <c r="C413" s="25" t="s">
        <v>81</v>
      </c>
      <c r="D413" s="25" t="s">
        <v>64</v>
      </c>
      <c r="E413" s="9">
        <v>11800000</v>
      </c>
      <c r="F413" s="26">
        <v>0.84</v>
      </c>
      <c r="G413" s="25">
        <v>48</v>
      </c>
      <c r="H413" s="27">
        <v>11.3</v>
      </c>
      <c r="I413" s="24" t="str" cm="1">
        <f t="array" ref="I413">_xlfn.IFS(
   AND(F413&gt;=0,9, G413&gt;=85), "Excelente",
   AND(F413&gt;=0,8, G413&gt;=70), "Bueno",
   OR(F413&lt;0,6,  G413&lt;50),  "Alerta",
   TRUE,           "Revisar")</f>
        <v>Alerta</v>
      </c>
      <c r="J413" s="28">
        <f t="shared" si="6"/>
        <v>0</v>
      </c>
    </row>
    <row r="414" spans="1:10" ht="18" customHeight="1" x14ac:dyDescent="0.3">
      <c r="A414" s="18" t="s">
        <v>877</v>
      </c>
      <c r="B414" s="5" t="s">
        <v>878</v>
      </c>
      <c r="C414" s="18" t="s">
        <v>77</v>
      </c>
      <c r="D414" s="18" t="s">
        <v>88</v>
      </c>
      <c r="E414" s="6">
        <v>5000000</v>
      </c>
      <c r="F414" s="19">
        <v>0.72</v>
      </c>
      <c r="G414" s="18">
        <v>41</v>
      </c>
      <c r="H414" s="20">
        <v>1.1000000000000001</v>
      </c>
      <c r="I414" s="24" t="str" cm="1">
        <f t="array" ref="I414">_xlfn.IFS(
   AND(F414&gt;=0,9, G414&gt;=85), "Excelente",
   AND(F414&gt;=0,8, G414&gt;=70), "Bueno",
   OR(F414&lt;0,6,  G414&lt;50),  "Alerta",
   TRUE,           "Revisar")</f>
        <v>Alerta</v>
      </c>
      <c r="J414" s="28">
        <f t="shared" si="6"/>
        <v>0</v>
      </c>
    </row>
    <row r="415" spans="1:10" ht="18" customHeight="1" x14ac:dyDescent="0.3">
      <c r="A415" s="25" t="s">
        <v>879</v>
      </c>
      <c r="B415" s="8" t="s">
        <v>880</v>
      </c>
      <c r="C415" s="25" t="s">
        <v>81</v>
      </c>
      <c r="D415" s="25" t="s">
        <v>60</v>
      </c>
      <c r="E415" s="9">
        <v>4400000</v>
      </c>
      <c r="F415" s="26">
        <v>0.64</v>
      </c>
      <c r="G415" s="25">
        <v>52</v>
      </c>
      <c r="H415" s="27">
        <v>18.399999999999999</v>
      </c>
      <c r="I415" s="24" t="str" cm="1">
        <f t="array" ref="I415">_xlfn.IFS(
   AND(F415&gt;=0,9, G415&gt;=85), "Excelente",
   AND(F415&gt;=0,8, G415&gt;=70), "Bueno",
   OR(F415&lt;0,6,  G415&lt;50),  "Alerta",
   TRUE,           "Revisar")</f>
        <v>Alerta</v>
      </c>
      <c r="J415" s="28">
        <f t="shared" si="6"/>
        <v>0</v>
      </c>
    </row>
    <row r="416" spans="1:10" ht="18" customHeight="1" x14ac:dyDescent="0.3">
      <c r="A416" s="18" t="s">
        <v>881</v>
      </c>
      <c r="B416" s="5" t="s">
        <v>882</v>
      </c>
      <c r="C416" s="18" t="s">
        <v>91</v>
      </c>
      <c r="D416" s="18" t="s">
        <v>114</v>
      </c>
      <c r="E416" s="6">
        <v>10300000</v>
      </c>
      <c r="F416" s="19">
        <v>0.84</v>
      </c>
      <c r="G416" s="18">
        <v>48</v>
      </c>
      <c r="H416" s="20">
        <v>15.5</v>
      </c>
      <c r="I416" s="24" t="str" cm="1">
        <f t="array" ref="I416">_xlfn.IFS(
   AND(F416&gt;=0,9, G416&gt;=85), "Excelente",
   AND(F416&gt;=0,8, G416&gt;=70), "Bueno",
   OR(F416&lt;0,6,  G416&lt;50),  "Alerta",
   TRUE,           "Revisar")</f>
        <v>Alerta</v>
      </c>
      <c r="J416" s="28">
        <f t="shared" si="6"/>
        <v>0</v>
      </c>
    </row>
    <row r="417" spans="1:10" ht="18" customHeight="1" x14ac:dyDescent="0.3">
      <c r="A417" s="25" t="s">
        <v>883</v>
      </c>
      <c r="B417" s="8" t="s">
        <v>884</v>
      </c>
      <c r="C417" s="25" t="s">
        <v>81</v>
      </c>
      <c r="D417" s="25" t="s">
        <v>68</v>
      </c>
      <c r="E417" s="9">
        <v>10300000</v>
      </c>
      <c r="F417" s="26">
        <v>0.51</v>
      </c>
      <c r="G417" s="25">
        <v>68</v>
      </c>
      <c r="H417" s="27">
        <v>6.5</v>
      </c>
      <c r="I417" s="24" t="str" cm="1">
        <f t="array" ref="I417">_xlfn.IFS(
   AND(F417&gt;=0,9, G417&gt;=85), "Excelente",
   AND(F417&gt;=0,8, G417&gt;=70), "Bueno",
   OR(F417&lt;0,6,  G417&lt;50),  "Alerta",
   TRUE,           "Revisar")</f>
        <v>Alerta</v>
      </c>
      <c r="J417" s="28">
        <f t="shared" si="6"/>
        <v>0</v>
      </c>
    </row>
    <row r="418" spans="1:10" ht="18" customHeight="1" x14ac:dyDescent="0.3">
      <c r="A418" s="18" t="s">
        <v>885</v>
      </c>
      <c r="B418" s="5" t="s">
        <v>886</v>
      </c>
      <c r="C418" s="18" t="s">
        <v>63</v>
      </c>
      <c r="D418" s="18" t="s">
        <v>105</v>
      </c>
      <c r="E418" s="6">
        <v>11100000</v>
      </c>
      <c r="F418" s="19">
        <v>0.62</v>
      </c>
      <c r="G418" s="18">
        <v>75</v>
      </c>
      <c r="H418" s="20">
        <v>4.5</v>
      </c>
      <c r="I418" s="24" t="str" cm="1">
        <f t="array" ref="I418">_xlfn.IFS(
   AND(F418&gt;=0,9, G418&gt;=85), "Excelente",
   AND(F418&gt;=0,8, G418&gt;=70), "Bueno",
   OR(F418&lt;0,6,  G418&lt;50),  "Alerta",
   TRUE,           "Revisar")</f>
        <v>Bueno</v>
      </c>
      <c r="J418" s="28">
        <f t="shared" si="6"/>
        <v>1110000</v>
      </c>
    </row>
    <row r="419" spans="1:10" ht="18" customHeight="1" x14ac:dyDescent="0.3">
      <c r="A419" s="25" t="s">
        <v>887</v>
      </c>
      <c r="B419" s="8" t="s">
        <v>888</v>
      </c>
      <c r="C419" s="25" t="s">
        <v>71</v>
      </c>
      <c r="D419" s="25" t="s">
        <v>68</v>
      </c>
      <c r="E419" s="9">
        <v>6700000</v>
      </c>
      <c r="F419" s="26">
        <v>0.85</v>
      </c>
      <c r="G419" s="25">
        <v>67</v>
      </c>
      <c r="H419" s="27">
        <v>2.5</v>
      </c>
      <c r="I419" s="24" t="str" cm="1">
        <f t="array" ref="I419">_xlfn.IFS(
   AND(F419&gt;=0,9, G419&gt;=85), "Excelente",
   AND(F419&gt;=0,8, G419&gt;=70), "Bueno",
   OR(F419&lt;0,6,  G419&lt;50),  "Alerta",
   TRUE,           "Revisar")</f>
        <v>Alerta</v>
      </c>
      <c r="J419" s="28">
        <f t="shared" si="6"/>
        <v>0</v>
      </c>
    </row>
    <row r="420" spans="1:10" ht="18" customHeight="1" x14ac:dyDescent="0.3">
      <c r="A420" s="18" t="s">
        <v>889</v>
      </c>
      <c r="B420" s="5" t="s">
        <v>890</v>
      </c>
      <c r="C420" s="18" t="s">
        <v>91</v>
      </c>
      <c r="D420" s="18" t="s">
        <v>114</v>
      </c>
      <c r="E420" s="6">
        <v>10500000</v>
      </c>
      <c r="F420" s="19">
        <v>0.63</v>
      </c>
      <c r="G420" s="18">
        <v>58</v>
      </c>
      <c r="H420" s="20">
        <v>12.8</v>
      </c>
      <c r="I420" s="24" t="str" cm="1">
        <f t="array" ref="I420">_xlfn.IFS(
   AND(F420&gt;=0,9, G420&gt;=85), "Excelente",
   AND(F420&gt;=0,8, G420&gt;=70), "Bueno",
   OR(F420&lt;0,6,  G420&lt;50),  "Alerta",
   TRUE,           "Revisar")</f>
        <v>Alerta</v>
      </c>
      <c r="J420" s="28">
        <f t="shared" si="6"/>
        <v>0</v>
      </c>
    </row>
    <row r="421" spans="1:10" ht="18" customHeight="1" x14ac:dyDescent="0.3">
      <c r="A421" s="25" t="s">
        <v>891</v>
      </c>
      <c r="B421" s="8" t="s">
        <v>892</v>
      </c>
      <c r="C421" s="25" t="s">
        <v>77</v>
      </c>
      <c r="D421" s="25" t="s">
        <v>114</v>
      </c>
      <c r="E421" s="9">
        <v>7000000</v>
      </c>
      <c r="F421" s="26">
        <v>0.86</v>
      </c>
      <c r="G421" s="25">
        <v>60</v>
      </c>
      <c r="H421" s="27">
        <v>6.9</v>
      </c>
      <c r="I421" s="24" t="str" cm="1">
        <f t="array" ref="I421">_xlfn.IFS(
   AND(F421&gt;=0,9, G421&gt;=85), "Excelente",
   AND(F421&gt;=0,8, G421&gt;=70), "Bueno",
   OR(F421&lt;0,6,  G421&lt;50),  "Alerta",
   TRUE,           "Revisar")</f>
        <v>Alerta</v>
      </c>
      <c r="J421" s="28">
        <f t="shared" si="6"/>
        <v>0</v>
      </c>
    </row>
    <row r="422" spans="1:10" ht="18" customHeight="1" x14ac:dyDescent="0.3">
      <c r="A422" s="18" t="s">
        <v>893</v>
      </c>
      <c r="B422" s="5" t="s">
        <v>894</v>
      </c>
      <c r="C422" s="18" t="s">
        <v>74</v>
      </c>
      <c r="D422" s="18" t="s">
        <v>92</v>
      </c>
      <c r="E422" s="6">
        <v>8500000</v>
      </c>
      <c r="F422" s="19">
        <v>0.46</v>
      </c>
      <c r="G422" s="18">
        <v>56</v>
      </c>
      <c r="H422" s="20">
        <v>5</v>
      </c>
      <c r="I422" s="24" t="str" cm="1">
        <f t="array" ref="I422">_xlfn.IFS(
   AND(F422&gt;=0,9, G422&gt;=85), "Excelente",
   AND(F422&gt;=0,8, G422&gt;=70), "Bueno",
   OR(F422&lt;0,6,  G422&lt;50),  "Alerta",
   TRUE,           "Revisar")</f>
        <v>Alerta</v>
      </c>
      <c r="J422" s="28">
        <f t="shared" si="6"/>
        <v>0</v>
      </c>
    </row>
    <row r="423" spans="1:10" ht="18" customHeight="1" x14ac:dyDescent="0.3">
      <c r="A423" s="25" t="s">
        <v>895</v>
      </c>
      <c r="B423" s="8" t="s">
        <v>896</v>
      </c>
      <c r="C423" s="25" t="s">
        <v>59</v>
      </c>
      <c r="D423" s="25" t="s">
        <v>78</v>
      </c>
      <c r="E423" s="9">
        <v>12000000</v>
      </c>
      <c r="F423" s="26">
        <v>0.45</v>
      </c>
      <c r="G423" s="25">
        <v>79</v>
      </c>
      <c r="H423" s="27">
        <v>8.8000000000000007</v>
      </c>
      <c r="I423" s="24" t="str" cm="1">
        <f t="array" ref="I423">_xlfn.IFS(
   AND(F423&gt;=0,9, G423&gt;=85), "Excelente",
   AND(F423&gt;=0,8, G423&gt;=70), "Bueno",
   OR(F423&lt;0,6,  G423&lt;50),  "Alerta",
   TRUE,           "Revisar")</f>
        <v>Bueno</v>
      </c>
      <c r="J423" s="28">
        <f t="shared" si="6"/>
        <v>1200000</v>
      </c>
    </row>
    <row r="424" spans="1:10" ht="18" customHeight="1" x14ac:dyDescent="0.3">
      <c r="A424" s="18" t="s">
        <v>897</v>
      </c>
      <c r="B424" s="5" t="s">
        <v>898</v>
      </c>
      <c r="C424" s="18" t="s">
        <v>63</v>
      </c>
      <c r="D424" s="18" t="s">
        <v>78</v>
      </c>
      <c r="E424" s="6">
        <v>8900000</v>
      </c>
      <c r="F424" s="19">
        <v>0.88</v>
      </c>
      <c r="G424" s="18">
        <v>58</v>
      </c>
      <c r="H424" s="20">
        <v>3.3</v>
      </c>
      <c r="I424" s="24" t="str" cm="1">
        <f t="array" ref="I424">_xlfn.IFS(
   AND(F424&gt;=0,9, G424&gt;=85), "Excelente",
   AND(F424&gt;=0,8, G424&gt;=70), "Bueno",
   OR(F424&lt;0,6,  G424&lt;50),  "Alerta",
   TRUE,           "Revisar")</f>
        <v>Alerta</v>
      </c>
      <c r="J424" s="28">
        <f t="shared" si="6"/>
        <v>0</v>
      </c>
    </row>
    <row r="425" spans="1:10" ht="18" customHeight="1" x14ac:dyDescent="0.3">
      <c r="A425" s="25" t="s">
        <v>899</v>
      </c>
      <c r="B425" s="8" t="s">
        <v>900</v>
      </c>
      <c r="C425" s="25" t="s">
        <v>91</v>
      </c>
      <c r="D425" s="25" t="s">
        <v>88</v>
      </c>
      <c r="E425" s="9">
        <v>3000000</v>
      </c>
      <c r="F425" s="26">
        <v>0.63</v>
      </c>
      <c r="G425" s="25">
        <v>43</v>
      </c>
      <c r="H425" s="27">
        <v>1.5</v>
      </c>
      <c r="I425" s="24" t="str" cm="1">
        <f t="array" ref="I425">_xlfn.IFS(
   AND(F425&gt;=0,9, G425&gt;=85), "Excelente",
   AND(F425&gt;=0,8, G425&gt;=70), "Bueno",
   OR(F425&lt;0,6,  G425&lt;50),  "Alerta",
   TRUE,           "Revisar")</f>
        <v>Alerta</v>
      </c>
      <c r="J425" s="28">
        <f t="shared" si="6"/>
        <v>0</v>
      </c>
    </row>
    <row r="426" spans="1:10" ht="18" customHeight="1" x14ac:dyDescent="0.3">
      <c r="A426" s="18" t="s">
        <v>901</v>
      </c>
      <c r="B426" s="5" t="s">
        <v>902</v>
      </c>
      <c r="C426" s="18" t="s">
        <v>63</v>
      </c>
      <c r="D426" s="18" t="s">
        <v>114</v>
      </c>
      <c r="E426" s="6">
        <v>3700000</v>
      </c>
      <c r="F426" s="19">
        <v>0.75</v>
      </c>
      <c r="G426" s="18">
        <v>41</v>
      </c>
      <c r="H426" s="20">
        <v>6.8</v>
      </c>
      <c r="I426" s="24" t="str" cm="1">
        <f t="array" ref="I426">_xlfn.IFS(
   AND(F426&gt;=0,9, G426&gt;=85), "Excelente",
   AND(F426&gt;=0,8, G426&gt;=70), "Bueno",
   OR(F426&lt;0,6,  G426&lt;50),  "Alerta",
   TRUE,           "Revisar")</f>
        <v>Alerta</v>
      </c>
      <c r="J426" s="28">
        <f t="shared" si="6"/>
        <v>0</v>
      </c>
    </row>
    <row r="427" spans="1:10" ht="18" customHeight="1" x14ac:dyDescent="0.3">
      <c r="A427" s="25" t="s">
        <v>903</v>
      </c>
      <c r="B427" s="8" t="s">
        <v>904</v>
      </c>
      <c r="C427" s="25" t="s">
        <v>71</v>
      </c>
      <c r="D427" s="25" t="s">
        <v>68</v>
      </c>
      <c r="E427" s="9">
        <v>4800000</v>
      </c>
      <c r="F427" s="26">
        <v>0.48</v>
      </c>
      <c r="G427" s="25">
        <v>72</v>
      </c>
      <c r="H427" s="27">
        <v>4.0999999999999996</v>
      </c>
      <c r="I427" s="24" t="str" cm="1">
        <f t="array" ref="I427">_xlfn.IFS(
   AND(F427&gt;=0,9, G427&gt;=85), "Excelente",
   AND(F427&gt;=0,8, G427&gt;=70), "Bueno",
   OR(F427&lt;0,6,  G427&lt;50),  "Alerta",
   TRUE,           "Revisar")</f>
        <v>Bueno</v>
      </c>
      <c r="J427" s="28">
        <f t="shared" si="6"/>
        <v>480000</v>
      </c>
    </row>
    <row r="428" spans="1:10" ht="18" customHeight="1" x14ac:dyDescent="0.3">
      <c r="A428" s="18" t="s">
        <v>905</v>
      </c>
      <c r="B428" s="5" t="s">
        <v>906</v>
      </c>
      <c r="C428" s="18" t="s">
        <v>59</v>
      </c>
      <c r="D428" s="18" t="s">
        <v>88</v>
      </c>
      <c r="E428" s="6">
        <v>6600000</v>
      </c>
      <c r="F428" s="19">
        <v>0.57999999999999996</v>
      </c>
      <c r="G428" s="18">
        <v>36</v>
      </c>
      <c r="H428" s="20">
        <v>7.9</v>
      </c>
      <c r="I428" s="24" t="str" cm="1">
        <f t="array" ref="I428">_xlfn.IFS(
   AND(F428&gt;=0,9, G428&gt;=85), "Excelente",
   AND(F428&gt;=0,8, G428&gt;=70), "Bueno",
   OR(F428&lt;0,6,  G428&lt;50),  "Alerta",
   TRUE,           "Revisar")</f>
        <v>Alerta</v>
      </c>
      <c r="J428" s="28">
        <f t="shared" si="6"/>
        <v>0</v>
      </c>
    </row>
    <row r="429" spans="1:10" ht="18" customHeight="1" x14ac:dyDescent="0.3">
      <c r="A429" s="25" t="s">
        <v>907</v>
      </c>
      <c r="B429" s="8" t="s">
        <v>908</v>
      </c>
      <c r="C429" s="25" t="s">
        <v>77</v>
      </c>
      <c r="D429" s="25" t="s">
        <v>114</v>
      </c>
      <c r="E429" s="9">
        <v>3400000</v>
      </c>
      <c r="F429" s="26">
        <v>0.65</v>
      </c>
      <c r="G429" s="25">
        <v>84</v>
      </c>
      <c r="H429" s="27">
        <v>1.8</v>
      </c>
      <c r="I429" s="24" t="str" cm="1">
        <f t="array" ref="I429">_xlfn.IFS(
   AND(F429&gt;=0,9, G429&gt;=85), "Excelente",
   AND(F429&gt;=0,8, G429&gt;=70), "Bueno",
   OR(F429&lt;0,6,  G429&lt;50),  "Alerta",
   TRUE,           "Revisar")</f>
        <v>Bueno</v>
      </c>
      <c r="J429" s="28">
        <f t="shared" si="6"/>
        <v>340000</v>
      </c>
    </row>
    <row r="430" spans="1:10" ht="18" customHeight="1" x14ac:dyDescent="0.3">
      <c r="A430" s="18" t="s">
        <v>909</v>
      </c>
      <c r="B430" s="5" t="s">
        <v>910</v>
      </c>
      <c r="C430" s="18" t="s">
        <v>67</v>
      </c>
      <c r="D430" s="18" t="s">
        <v>78</v>
      </c>
      <c r="E430" s="6">
        <v>3100000</v>
      </c>
      <c r="F430" s="19">
        <v>0.56000000000000005</v>
      </c>
      <c r="G430" s="18">
        <v>67</v>
      </c>
      <c r="H430" s="20">
        <v>19.5</v>
      </c>
      <c r="I430" s="24" t="str" cm="1">
        <f t="array" ref="I430">_xlfn.IFS(
   AND(F430&gt;=0,9, G430&gt;=85), "Excelente",
   AND(F430&gt;=0,8, G430&gt;=70), "Bueno",
   OR(F430&lt;0,6,  G430&lt;50),  "Alerta",
   TRUE,           "Revisar")</f>
        <v>Alerta</v>
      </c>
      <c r="J430" s="28">
        <f t="shared" si="6"/>
        <v>0</v>
      </c>
    </row>
    <row r="431" spans="1:10" ht="18" customHeight="1" x14ac:dyDescent="0.3">
      <c r="A431" s="25" t="s">
        <v>911</v>
      </c>
      <c r="B431" s="8" t="s">
        <v>912</v>
      </c>
      <c r="C431" s="25" t="s">
        <v>74</v>
      </c>
      <c r="D431" s="25" t="s">
        <v>88</v>
      </c>
      <c r="E431" s="9">
        <v>7800000</v>
      </c>
      <c r="F431" s="26">
        <v>0.71</v>
      </c>
      <c r="G431" s="25">
        <v>63</v>
      </c>
      <c r="H431" s="27">
        <v>1.8</v>
      </c>
      <c r="I431" s="24" t="str" cm="1">
        <f t="array" ref="I431">_xlfn.IFS(
   AND(F431&gt;=0,9, G431&gt;=85), "Excelente",
   AND(F431&gt;=0,8, G431&gt;=70), "Bueno",
   OR(F431&lt;0,6,  G431&lt;50),  "Alerta",
   TRUE,           "Revisar")</f>
        <v>Alerta</v>
      </c>
      <c r="J431" s="28">
        <f t="shared" si="6"/>
        <v>0</v>
      </c>
    </row>
    <row r="432" spans="1:10" ht="18" customHeight="1" x14ac:dyDescent="0.3">
      <c r="A432" s="18" t="s">
        <v>913</v>
      </c>
      <c r="B432" s="5" t="s">
        <v>914</v>
      </c>
      <c r="C432" s="18" t="s">
        <v>71</v>
      </c>
      <c r="D432" s="18" t="s">
        <v>92</v>
      </c>
      <c r="E432" s="6">
        <v>7600000</v>
      </c>
      <c r="F432" s="19">
        <v>0.65</v>
      </c>
      <c r="G432" s="18">
        <v>87</v>
      </c>
      <c r="H432" s="20">
        <v>0.9</v>
      </c>
      <c r="I432" s="24" t="str" cm="1">
        <f t="array" ref="I432">_xlfn.IFS(
   AND(F432&gt;=0,9, G432&gt;=85), "Excelente",
   AND(F432&gt;=0,8, G432&gt;=70), "Bueno",
   OR(F432&lt;0,6,  G432&lt;50),  "Alerta",
   TRUE,           "Revisar")</f>
        <v>Excelente</v>
      </c>
      <c r="J432" s="28">
        <f t="shared" si="6"/>
        <v>760000</v>
      </c>
    </row>
    <row r="433" spans="1:10" ht="18" customHeight="1" x14ac:dyDescent="0.3">
      <c r="A433" s="25" t="s">
        <v>915</v>
      </c>
      <c r="B433" s="8" t="s">
        <v>916</v>
      </c>
      <c r="C433" s="25" t="s">
        <v>59</v>
      </c>
      <c r="D433" s="25" t="s">
        <v>60</v>
      </c>
      <c r="E433" s="9">
        <v>6200000</v>
      </c>
      <c r="F433" s="26">
        <v>0.76</v>
      </c>
      <c r="G433" s="25">
        <v>49</v>
      </c>
      <c r="H433" s="27">
        <v>15</v>
      </c>
      <c r="I433" s="24" t="str" cm="1">
        <f t="array" ref="I433">_xlfn.IFS(
   AND(F433&gt;=0,9, G433&gt;=85), "Excelente",
   AND(F433&gt;=0,8, G433&gt;=70), "Bueno",
   OR(F433&lt;0,6,  G433&lt;50),  "Alerta",
   TRUE,           "Revisar")</f>
        <v>Alerta</v>
      </c>
      <c r="J433" s="28">
        <f t="shared" si="6"/>
        <v>0</v>
      </c>
    </row>
    <row r="434" spans="1:10" ht="18" customHeight="1" x14ac:dyDescent="0.3">
      <c r="A434" s="18" t="s">
        <v>917</v>
      </c>
      <c r="B434" s="5" t="s">
        <v>918</v>
      </c>
      <c r="C434" s="18" t="s">
        <v>81</v>
      </c>
      <c r="D434" s="18" t="s">
        <v>68</v>
      </c>
      <c r="E434" s="6">
        <v>10300000</v>
      </c>
      <c r="F434" s="19">
        <v>0.57999999999999996</v>
      </c>
      <c r="G434" s="18">
        <v>37</v>
      </c>
      <c r="H434" s="20">
        <v>16.8</v>
      </c>
      <c r="I434" s="24" t="str" cm="1">
        <f t="array" ref="I434">_xlfn.IFS(
   AND(F434&gt;=0,9, G434&gt;=85), "Excelente",
   AND(F434&gt;=0,8, G434&gt;=70), "Bueno",
   OR(F434&lt;0,6,  G434&lt;50),  "Alerta",
   TRUE,           "Revisar")</f>
        <v>Alerta</v>
      </c>
      <c r="J434" s="28">
        <f t="shared" si="6"/>
        <v>0</v>
      </c>
    </row>
    <row r="435" spans="1:10" ht="18" customHeight="1" x14ac:dyDescent="0.3">
      <c r="A435" s="25" t="s">
        <v>919</v>
      </c>
      <c r="B435" s="8" t="s">
        <v>920</v>
      </c>
      <c r="C435" s="25" t="s">
        <v>77</v>
      </c>
      <c r="D435" s="25" t="s">
        <v>60</v>
      </c>
      <c r="E435" s="9">
        <v>8800000</v>
      </c>
      <c r="F435" s="26">
        <v>0.61</v>
      </c>
      <c r="G435" s="25">
        <v>80</v>
      </c>
      <c r="H435" s="27">
        <v>18.100000000000001</v>
      </c>
      <c r="I435" s="24" t="str" cm="1">
        <f t="array" ref="I435">_xlfn.IFS(
   AND(F435&gt;=0,9, G435&gt;=85), "Excelente",
   AND(F435&gt;=0,8, G435&gt;=70), "Bueno",
   OR(F435&lt;0,6,  G435&lt;50),  "Alerta",
   TRUE,           "Revisar")</f>
        <v>Bueno</v>
      </c>
      <c r="J435" s="28">
        <f t="shared" si="6"/>
        <v>880000</v>
      </c>
    </row>
    <row r="436" spans="1:10" ht="18" customHeight="1" x14ac:dyDescent="0.3">
      <c r="A436" s="18" t="s">
        <v>921</v>
      </c>
      <c r="B436" s="5" t="s">
        <v>922</v>
      </c>
      <c r="C436" s="18" t="s">
        <v>71</v>
      </c>
      <c r="D436" s="18" t="s">
        <v>78</v>
      </c>
      <c r="E436" s="6">
        <v>8500000</v>
      </c>
      <c r="F436" s="19">
        <v>0.55000000000000004</v>
      </c>
      <c r="G436" s="18">
        <v>51</v>
      </c>
      <c r="H436" s="20">
        <v>19.399999999999999</v>
      </c>
      <c r="I436" s="24" t="str" cm="1">
        <f t="array" ref="I436">_xlfn.IFS(
   AND(F436&gt;=0,9, G436&gt;=85), "Excelente",
   AND(F436&gt;=0,8, G436&gt;=70), "Bueno",
   OR(F436&lt;0,6,  G436&lt;50),  "Alerta",
   TRUE,           "Revisar")</f>
        <v>Alerta</v>
      </c>
      <c r="J436" s="28">
        <f t="shared" si="6"/>
        <v>0</v>
      </c>
    </row>
    <row r="437" spans="1:10" ht="18" customHeight="1" x14ac:dyDescent="0.3">
      <c r="A437" s="25" t="s">
        <v>923</v>
      </c>
      <c r="B437" s="8" t="s">
        <v>924</v>
      </c>
      <c r="C437" s="25" t="s">
        <v>91</v>
      </c>
      <c r="D437" s="25" t="s">
        <v>68</v>
      </c>
      <c r="E437" s="9">
        <v>3800000</v>
      </c>
      <c r="F437" s="26">
        <v>0.99</v>
      </c>
      <c r="G437" s="25">
        <v>85</v>
      </c>
      <c r="H437" s="27">
        <v>4</v>
      </c>
      <c r="I437" s="24" t="str" cm="1">
        <f t="array" ref="I437">_xlfn.IFS(
   AND(F437&gt;=0,9, G437&gt;=85), "Excelente",
   AND(F437&gt;=0,8, G437&gt;=70), "Bueno",
   OR(F437&lt;0,6,  G437&lt;50),  "Alerta",
   TRUE,           "Revisar")</f>
        <v>Excelente</v>
      </c>
      <c r="J437" s="28">
        <f t="shared" si="6"/>
        <v>380000</v>
      </c>
    </row>
    <row r="438" spans="1:10" ht="18" customHeight="1" x14ac:dyDescent="0.3">
      <c r="A438" s="18" t="s">
        <v>925</v>
      </c>
      <c r="B438" s="5" t="s">
        <v>926</v>
      </c>
      <c r="C438" s="18" t="s">
        <v>59</v>
      </c>
      <c r="D438" s="18" t="s">
        <v>92</v>
      </c>
      <c r="E438" s="6">
        <v>3600000</v>
      </c>
      <c r="F438" s="19">
        <v>0.5</v>
      </c>
      <c r="G438" s="18">
        <v>80</v>
      </c>
      <c r="H438" s="20">
        <v>11</v>
      </c>
      <c r="I438" s="24" t="str" cm="1">
        <f t="array" ref="I438">_xlfn.IFS(
   AND(F438&gt;=0,9, G438&gt;=85), "Excelente",
   AND(F438&gt;=0,8, G438&gt;=70), "Bueno",
   OR(F438&lt;0,6,  G438&lt;50),  "Alerta",
   TRUE,           "Revisar")</f>
        <v>Bueno</v>
      </c>
      <c r="J438" s="28">
        <f t="shared" si="6"/>
        <v>360000</v>
      </c>
    </row>
    <row r="439" spans="1:10" ht="18" customHeight="1" x14ac:dyDescent="0.3">
      <c r="A439" s="25" t="s">
        <v>927</v>
      </c>
      <c r="B439" s="8" t="s">
        <v>928</v>
      </c>
      <c r="C439" s="25" t="s">
        <v>77</v>
      </c>
      <c r="D439" s="25" t="s">
        <v>64</v>
      </c>
      <c r="E439" s="9">
        <v>11700000</v>
      </c>
      <c r="F439" s="26">
        <v>0.79</v>
      </c>
      <c r="G439" s="25">
        <v>96</v>
      </c>
      <c r="H439" s="27">
        <v>15.6</v>
      </c>
      <c r="I439" s="24" t="str" cm="1">
        <f t="array" ref="I439">_xlfn.IFS(
   AND(F439&gt;=0,9, G439&gt;=85), "Excelente",
   AND(F439&gt;=0,8, G439&gt;=70), "Bueno",
   OR(F439&lt;0,6,  G439&lt;50),  "Alerta",
   TRUE,           "Revisar")</f>
        <v>Excelente</v>
      </c>
      <c r="J439" s="28">
        <f t="shared" si="6"/>
        <v>1170000</v>
      </c>
    </row>
    <row r="440" spans="1:10" ht="18" customHeight="1" x14ac:dyDescent="0.3">
      <c r="A440" s="18" t="s">
        <v>929</v>
      </c>
      <c r="B440" s="5" t="s">
        <v>930</v>
      </c>
      <c r="C440" s="18" t="s">
        <v>71</v>
      </c>
      <c r="D440" s="18" t="s">
        <v>114</v>
      </c>
      <c r="E440" s="6">
        <v>10000000</v>
      </c>
      <c r="F440" s="19">
        <v>0.77</v>
      </c>
      <c r="G440" s="18">
        <v>42</v>
      </c>
      <c r="H440" s="20">
        <v>18.5</v>
      </c>
      <c r="I440" s="24" t="str" cm="1">
        <f t="array" ref="I440">_xlfn.IFS(
   AND(F440&gt;=0,9, G440&gt;=85), "Excelente",
   AND(F440&gt;=0,8, G440&gt;=70), "Bueno",
   OR(F440&lt;0,6,  G440&lt;50),  "Alerta",
   TRUE,           "Revisar")</f>
        <v>Alerta</v>
      </c>
      <c r="J440" s="28">
        <f t="shared" si="6"/>
        <v>0</v>
      </c>
    </row>
    <row r="441" spans="1:10" ht="18" customHeight="1" x14ac:dyDescent="0.3">
      <c r="A441" s="25" t="s">
        <v>931</v>
      </c>
      <c r="B441" s="8" t="s">
        <v>932</v>
      </c>
      <c r="C441" s="25" t="s">
        <v>74</v>
      </c>
      <c r="D441" s="25" t="s">
        <v>88</v>
      </c>
      <c r="E441" s="9">
        <v>9600000</v>
      </c>
      <c r="F441" s="26">
        <v>0.93</v>
      </c>
      <c r="G441" s="25">
        <v>82</v>
      </c>
      <c r="H441" s="27">
        <v>5.3</v>
      </c>
      <c r="I441" s="24" t="str" cm="1">
        <f t="array" ref="I441">_xlfn.IFS(
   AND(F441&gt;=0,9, G441&gt;=85), "Excelente",
   AND(F441&gt;=0,8, G441&gt;=70), "Bueno",
   OR(F441&lt;0,6,  G441&lt;50),  "Alerta",
   TRUE,           "Revisar")</f>
        <v>Bueno</v>
      </c>
      <c r="J441" s="28">
        <f t="shared" si="6"/>
        <v>960000</v>
      </c>
    </row>
    <row r="442" spans="1:10" ht="18" customHeight="1" x14ac:dyDescent="0.3">
      <c r="A442" s="18" t="s">
        <v>933</v>
      </c>
      <c r="B442" s="5" t="s">
        <v>934</v>
      </c>
      <c r="C442" s="18" t="s">
        <v>71</v>
      </c>
      <c r="D442" s="18" t="s">
        <v>68</v>
      </c>
      <c r="E442" s="6">
        <v>3200000</v>
      </c>
      <c r="F442" s="19">
        <v>0.67</v>
      </c>
      <c r="G442" s="18">
        <v>72</v>
      </c>
      <c r="H442" s="20">
        <v>13.8</v>
      </c>
      <c r="I442" s="24" t="str" cm="1">
        <f t="array" ref="I442">_xlfn.IFS(
   AND(F442&gt;=0,9, G442&gt;=85), "Excelente",
   AND(F442&gt;=0,8, G442&gt;=70), "Bueno",
   OR(F442&lt;0,6,  G442&lt;50),  "Alerta",
   TRUE,           "Revisar")</f>
        <v>Bueno</v>
      </c>
      <c r="J442" s="28">
        <f t="shared" si="6"/>
        <v>320000</v>
      </c>
    </row>
    <row r="443" spans="1:10" ht="18" customHeight="1" x14ac:dyDescent="0.3">
      <c r="A443" s="25" t="s">
        <v>935</v>
      </c>
      <c r="B443" s="8" t="s">
        <v>936</v>
      </c>
      <c r="C443" s="25" t="s">
        <v>77</v>
      </c>
      <c r="D443" s="25" t="s">
        <v>88</v>
      </c>
      <c r="E443" s="9">
        <v>7500000</v>
      </c>
      <c r="F443" s="26">
        <v>0.46</v>
      </c>
      <c r="G443" s="25">
        <v>68</v>
      </c>
      <c r="H443" s="27">
        <v>6.2</v>
      </c>
      <c r="I443" s="24" t="str" cm="1">
        <f t="array" ref="I443">_xlfn.IFS(
   AND(F443&gt;=0,9, G443&gt;=85), "Excelente",
   AND(F443&gt;=0,8, G443&gt;=70), "Bueno",
   OR(F443&lt;0,6,  G443&lt;50),  "Alerta",
   TRUE,           "Revisar")</f>
        <v>Alerta</v>
      </c>
      <c r="J443" s="28">
        <f t="shared" si="6"/>
        <v>0</v>
      </c>
    </row>
    <row r="444" spans="1:10" ht="18" customHeight="1" x14ac:dyDescent="0.3">
      <c r="A444" s="18" t="s">
        <v>937</v>
      </c>
      <c r="B444" s="5" t="s">
        <v>938</v>
      </c>
      <c r="C444" s="18" t="s">
        <v>67</v>
      </c>
      <c r="D444" s="18" t="s">
        <v>114</v>
      </c>
      <c r="E444" s="6">
        <v>6600000</v>
      </c>
      <c r="F444" s="19">
        <v>0.99</v>
      </c>
      <c r="G444" s="18">
        <v>86</v>
      </c>
      <c r="H444" s="20">
        <v>15.5</v>
      </c>
      <c r="I444" s="24" t="str" cm="1">
        <f t="array" ref="I444">_xlfn.IFS(
   AND(F444&gt;=0,9, G444&gt;=85), "Excelente",
   AND(F444&gt;=0,8, G444&gt;=70), "Bueno",
   OR(F444&lt;0,6,  G444&lt;50),  "Alerta",
   TRUE,           "Revisar")</f>
        <v>Excelente</v>
      </c>
      <c r="J444" s="28">
        <f t="shared" si="6"/>
        <v>660000</v>
      </c>
    </row>
    <row r="445" spans="1:10" ht="18" customHeight="1" x14ac:dyDescent="0.3">
      <c r="A445" s="25" t="s">
        <v>939</v>
      </c>
      <c r="B445" s="8" t="s">
        <v>940</v>
      </c>
      <c r="C445" s="25" t="s">
        <v>74</v>
      </c>
      <c r="D445" s="25" t="s">
        <v>60</v>
      </c>
      <c r="E445" s="9">
        <v>8400000</v>
      </c>
      <c r="F445" s="26">
        <v>0.56999999999999995</v>
      </c>
      <c r="G445" s="25">
        <v>82</v>
      </c>
      <c r="H445" s="27">
        <v>14.8</v>
      </c>
      <c r="I445" s="24" t="str" cm="1">
        <f t="array" ref="I445">_xlfn.IFS(
   AND(F445&gt;=0,9, G445&gt;=85), "Excelente",
   AND(F445&gt;=0,8, G445&gt;=70), "Bueno",
   OR(F445&lt;0,6,  G445&lt;50),  "Alerta",
   TRUE,           "Revisar")</f>
        <v>Bueno</v>
      </c>
      <c r="J445" s="28">
        <f t="shared" si="6"/>
        <v>840000</v>
      </c>
    </row>
    <row r="446" spans="1:10" ht="18" customHeight="1" x14ac:dyDescent="0.3">
      <c r="A446" s="18" t="s">
        <v>941</v>
      </c>
      <c r="B446" s="5" t="s">
        <v>942</v>
      </c>
      <c r="C446" s="18" t="s">
        <v>91</v>
      </c>
      <c r="D446" s="18" t="s">
        <v>114</v>
      </c>
      <c r="E446" s="6">
        <v>3600000</v>
      </c>
      <c r="F446" s="19">
        <v>0.62</v>
      </c>
      <c r="G446" s="18">
        <v>94</v>
      </c>
      <c r="H446" s="20">
        <v>8.1</v>
      </c>
      <c r="I446" s="24" t="str" cm="1">
        <f t="array" ref="I446">_xlfn.IFS(
   AND(F446&gt;=0,9, G446&gt;=85), "Excelente",
   AND(F446&gt;=0,8, G446&gt;=70), "Bueno",
   OR(F446&lt;0,6,  G446&lt;50),  "Alerta",
   TRUE,           "Revisar")</f>
        <v>Excelente</v>
      </c>
      <c r="J446" s="28">
        <f t="shared" si="6"/>
        <v>360000</v>
      </c>
    </row>
    <row r="447" spans="1:10" ht="18" customHeight="1" x14ac:dyDescent="0.3">
      <c r="A447" s="25" t="s">
        <v>943</v>
      </c>
      <c r="B447" s="8" t="s">
        <v>944</v>
      </c>
      <c r="C447" s="25" t="s">
        <v>67</v>
      </c>
      <c r="D447" s="25" t="s">
        <v>88</v>
      </c>
      <c r="E447" s="9">
        <v>7500000</v>
      </c>
      <c r="F447" s="26">
        <v>0.9</v>
      </c>
      <c r="G447" s="25">
        <v>94</v>
      </c>
      <c r="H447" s="27">
        <v>7.9</v>
      </c>
      <c r="I447" s="24" t="str" cm="1">
        <f t="array" ref="I447">_xlfn.IFS(
   AND(F447&gt;=0,9, G447&gt;=85), "Excelente",
   AND(F447&gt;=0,8, G447&gt;=70), "Bueno",
   OR(F447&lt;0,6,  G447&lt;50),  "Alerta",
   TRUE,           "Revisar")</f>
        <v>Excelente</v>
      </c>
      <c r="J447" s="28">
        <f t="shared" si="6"/>
        <v>750000</v>
      </c>
    </row>
    <row r="448" spans="1:10" ht="18" customHeight="1" x14ac:dyDescent="0.3">
      <c r="A448" s="18" t="s">
        <v>945</v>
      </c>
      <c r="B448" s="5" t="s">
        <v>946</v>
      </c>
      <c r="C448" s="18" t="s">
        <v>91</v>
      </c>
      <c r="D448" s="18" t="s">
        <v>60</v>
      </c>
      <c r="E448" s="6">
        <v>7500000</v>
      </c>
      <c r="F448" s="19">
        <v>0.72</v>
      </c>
      <c r="G448" s="18">
        <v>87</v>
      </c>
      <c r="H448" s="20">
        <v>3.6</v>
      </c>
      <c r="I448" s="24" t="str" cm="1">
        <f t="array" ref="I448">_xlfn.IFS(
   AND(F448&gt;=0,9, G448&gt;=85), "Excelente",
   AND(F448&gt;=0,8, G448&gt;=70), "Bueno",
   OR(F448&lt;0,6,  G448&lt;50),  "Alerta",
   TRUE,           "Revisar")</f>
        <v>Excelente</v>
      </c>
      <c r="J448" s="28">
        <f t="shared" si="6"/>
        <v>750000</v>
      </c>
    </row>
    <row r="449" spans="1:10" ht="18" customHeight="1" x14ac:dyDescent="0.3">
      <c r="A449" s="25" t="s">
        <v>947</v>
      </c>
      <c r="B449" s="8" t="s">
        <v>948</v>
      </c>
      <c r="C449" s="25" t="s">
        <v>81</v>
      </c>
      <c r="D449" s="25" t="s">
        <v>92</v>
      </c>
      <c r="E449" s="9">
        <v>4800000</v>
      </c>
      <c r="F449" s="26">
        <v>0.91</v>
      </c>
      <c r="G449" s="25">
        <v>63</v>
      </c>
      <c r="H449" s="27">
        <v>15</v>
      </c>
      <c r="I449" s="24" t="str" cm="1">
        <f t="array" ref="I449">_xlfn.IFS(
   AND(F449&gt;=0,9, G449&gt;=85), "Excelente",
   AND(F449&gt;=0,8, G449&gt;=70), "Bueno",
   OR(F449&lt;0,6,  G449&lt;50),  "Alerta",
   TRUE,           "Revisar")</f>
        <v>Alerta</v>
      </c>
      <c r="J449" s="28">
        <f t="shared" si="6"/>
        <v>0</v>
      </c>
    </row>
    <row r="450" spans="1:10" ht="18" customHeight="1" x14ac:dyDescent="0.3">
      <c r="A450" s="18" t="s">
        <v>949</v>
      </c>
      <c r="B450" s="5" t="s">
        <v>950</v>
      </c>
      <c r="C450" s="18" t="s">
        <v>67</v>
      </c>
      <c r="D450" s="18" t="s">
        <v>60</v>
      </c>
      <c r="E450" s="6">
        <v>11000000</v>
      </c>
      <c r="F450" s="19">
        <v>0.56999999999999995</v>
      </c>
      <c r="G450" s="18">
        <v>56</v>
      </c>
      <c r="H450" s="20">
        <v>5.4</v>
      </c>
      <c r="I450" s="24" t="str" cm="1">
        <f t="array" ref="I450">_xlfn.IFS(
   AND(F450&gt;=0,9, G450&gt;=85), "Excelente",
   AND(F450&gt;=0,8, G450&gt;=70), "Bueno",
   OR(F450&lt;0,6,  G450&lt;50),  "Alerta",
   TRUE,           "Revisar")</f>
        <v>Alerta</v>
      </c>
      <c r="J450" s="28">
        <f t="shared" si="6"/>
        <v>0</v>
      </c>
    </row>
    <row r="451" spans="1:10" ht="18" customHeight="1" x14ac:dyDescent="0.3">
      <c r="A451" s="25" t="s">
        <v>951</v>
      </c>
      <c r="B451" s="8" t="s">
        <v>952</v>
      </c>
      <c r="C451" s="25" t="s">
        <v>91</v>
      </c>
      <c r="D451" s="25" t="s">
        <v>105</v>
      </c>
      <c r="E451" s="9">
        <v>4400000</v>
      </c>
      <c r="F451" s="26">
        <v>0.81</v>
      </c>
      <c r="G451" s="25">
        <v>31</v>
      </c>
      <c r="H451" s="27">
        <v>4.5</v>
      </c>
      <c r="I451" s="24" t="str" cm="1">
        <f t="array" ref="I451">_xlfn.IFS(
   AND(F451&gt;=0,9, G451&gt;=85), "Excelente",
   AND(F451&gt;=0,8, G451&gt;=70), "Bueno",
   OR(F451&lt;0,6,  G451&lt;50),  "Alerta",
   TRUE,           "Revisar")</f>
        <v>Alerta</v>
      </c>
      <c r="J451" s="28">
        <f t="shared" si="6"/>
        <v>0</v>
      </c>
    </row>
    <row r="452" spans="1:10" ht="18" customHeight="1" x14ac:dyDescent="0.3">
      <c r="A452" s="18" t="s">
        <v>953</v>
      </c>
      <c r="B452" s="5" t="s">
        <v>954</v>
      </c>
      <c r="C452" s="18" t="s">
        <v>59</v>
      </c>
      <c r="D452" s="18" t="s">
        <v>88</v>
      </c>
      <c r="E452" s="6">
        <v>8200000</v>
      </c>
      <c r="F452" s="19">
        <v>0.94</v>
      </c>
      <c r="G452" s="18">
        <v>74</v>
      </c>
      <c r="H452" s="20">
        <v>9.1999999999999993</v>
      </c>
      <c r="I452" s="24" t="str" cm="1">
        <f t="array" ref="I452">_xlfn.IFS(
   AND(F452&gt;=0,9, G452&gt;=85), "Excelente",
   AND(F452&gt;=0,8, G452&gt;=70), "Bueno",
   OR(F452&lt;0,6,  G452&lt;50),  "Alerta",
   TRUE,           "Revisar")</f>
        <v>Bueno</v>
      </c>
      <c r="J452" s="28">
        <f t="shared" si="6"/>
        <v>820000</v>
      </c>
    </row>
    <row r="453" spans="1:10" ht="18" customHeight="1" x14ac:dyDescent="0.3">
      <c r="A453" s="25" t="s">
        <v>955</v>
      </c>
      <c r="B453" s="8" t="s">
        <v>956</v>
      </c>
      <c r="C453" s="25" t="s">
        <v>59</v>
      </c>
      <c r="D453" s="25" t="s">
        <v>68</v>
      </c>
      <c r="E453" s="9">
        <v>10200000</v>
      </c>
      <c r="F453" s="26">
        <v>0.51</v>
      </c>
      <c r="G453" s="25">
        <v>95</v>
      </c>
      <c r="H453" s="27">
        <v>20</v>
      </c>
      <c r="I453" s="24" t="str" cm="1">
        <f t="array" ref="I453">_xlfn.IFS(
   AND(F453&gt;=0,9, G453&gt;=85), "Excelente",
   AND(F453&gt;=0,8, G453&gt;=70), "Bueno",
   OR(F453&lt;0,6,  G453&lt;50),  "Alerta",
   TRUE,           "Revisar")</f>
        <v>Excelente</v>
      </c>
      <c r="J453" s="28">
        <f t="shared" si="6"/>
        <v>1020000</v>
      </c>
    </row>
    <row r="454" spans="1:10" ht="18" customHeight="1" x14ac:dyDescent="0.3">
      <c r="A454" s="18" t="s">
        <v>957</v>
      </c>
      <c r="B454" s="5" t="s">
        <v>958</v>
      </c>
      <c r="C454" s="18" t="s">
        <v>59</v>
      </c>
      <c r="D454" s="18" t="s">
        <v>88</v>
      </c>
      <c r="E454" s="6">
        <v>11500000</v>
      </c>
      <c r="F454" s="19">
        <v>0.51</v>
      </c>
      <c r="G454" s="18">
        <v>38</v>
      </c>
      <c r="H454" s="20">
        <v>6.7</v>
      </c>
      <c r="I454" s="24" t="str" cm="1">
        <f t="array" ref="I454">_xlfn.IFS(
   AND(F454&gt;=0,9, G454&gt;=85), "Excelente",
   AND(F454&gt;=0,8, G454&gt;=70), "Bueno",
   OR(F454&lt;0,6,  G454&lt;50),  "Alerta",
   TRUE,           "Revisar")</f>
        <v>Alerta</v>
      </c>
      <c r="J454" s="28">
        <f t="shared" si="6"/>
        <v>0</v>
      </c>
    </row>
    <row r="455" spans="1:10" ht="18" customHeight="1" x14ac:dyDescent="0.3">
      <c r="A455" s="25" t="s">
        <v>959</v>
      </c>
      <c r="B455" s="8" t="s">
        <v>960</v>
      </c>
      <c r="C455" s="25" t="s">
        <v>81</v>
      </c>
      <c r="D455" s="25" t="s">
        <v>88</v>
      </c>
      <c r="E455" s="9">
        <v>6100000</v>
      </c>
      <c r="F455" s="26">
        <v>0.81</v>
      </c>
      <c r="G455" s="25">
        <v>68</v>
      </c>
      <c r="H455" s="27">
        <v>3.8</v>
      </c>
      <c r="I455" s="24" t="str" cm="1">
        <f t="array" ref="I455">_xlfn.IFS(
   AND(F455&gt;=0,9, G455&gt;=85), "Excelente",
   AND(F455&gt;=0,8, G455&gt;=70), "Bueno",
   OR(F455&lt;0,6,  G455&lt;50),  "Alerta",
   TRUE,           "Revisar")</f>
        <v>Alerta</v>
      </c>
      <c r="J455" s="28">
        <f t="shared" si="6"/>
        <v>0</v>
      </c>
    </row>
    <row r="456" spans="1:10" ht="18" customHeight="1" x14ac:dyDescent="0.3">
      <c r="A456" s="18" t="s">
        <v>961</v>
      </c>
      <c r="B456" s="5" t="s">
        <v>962</v>
      </c>
      <c r="C456" s="18" t="s">
        <v>67</v>
      </c>
      <c r="D456" s="18" t="s">
        <v>64</v>
      </c>
      <c r="E456" s="6">
        <v>10400000</v>
      </c>
      <c r="F456" s="19">
        <v>0.67</v>
      </c>
      <c r="G456" s="18">
        <v>70</v>
      </c>
      <c r="H456" s="20">
        <v>13.6</v>
      </c>
      <c r="I456" s="24" t="str" cm="1">
        <f t="array" ref="I456">_xlfn.IFS(
   AND(F456&gt;=0,9, G456&gt;=85), "Excelente",
   AND(F456&gt;=0,8, G456&gt;=70), "Bueno",
   OR(F456&lt;0,6,  G456&lt;50),  "Alerta",
   TRUE,           "Revisar")</f>
        <v>Bueno</v>
      </c>
      <c r="J456" s="28">
        <f t="shared" si="6"/>
        <v>1040000</v>
      </c>
    </row>
    <row r="457" spans="1:10" ht="18" customHeight="1" x14ac:dyDescent="0.3">
      <c r="A457" s="25" t="s">
        <v>963</v>
      </c>
      <c r="B457" s="8" t="s">
        <v>964</v>
      </c>
      <c r="C457" s="25" t="s">
        <v>91</v>
      </c>
      <c r="D457" s="25" t="s">
        <v>60</v>
      </c>
      <c r="E457" s="9">
        <v>7100000</v>
      </c>
      <c r="F457" s="26">
        <v>0.85</v>
      </c>
      <c r="G457" s="25">
        <v>58</v>
      </c>
      <c r="H457" s="27">
        <v>13.7</v>
      </c>
      <c r="I457" s="24" t="str" cm="1">
        <f t="array" ref="I457">_xlfn.IFS(
   AND(F457&gt;=0,9, G457&gt;=85), "Excelente",
   AND(F457&gt;=0,8, G457&gt;=70), "Bueno",
   OR(F457&lt;0,6,  G457&lt;50),  "Alerta",
   TRUE,           "Revisar")</f>
        <v>Alerta</v>
      </c>
      <c r="J457" s="28">
        <f t="shared" si="6"/>
        <v>0</v>
      </c>
    </row>
    <row r="458" spans="1:10" ht="18" customHeight="1" x14ac:dyDescent="0.3">
      <c r="A458" s="18" t="s">
        <v>965</v>
      </c>
      <c r="B458" s="5" t="s">
        <v>966</v>
      </c>
      <c r="C458" s="18" t="s">
        <v>71</v>
      </c>
      <c r="D458" s="18" t="s">
        <v>114</v>
      </c>
      <c r="E458" s="6">
        <v>6500000</v>
      </c>
      <c r="F458" s="19">
        <v>0.5</v>
      </c>
      <c r="G458" s="18">
        <v>46</v>
      </c>
      <c r="H458" s="20">
        <v>14.8</v>
      </c>
      <c r="I458" s="24" t="str" cm="1">
        <f t="array" ref="I458">_xlfn.IFS(
   AND(F458&gt;=0,9, G458&gt;=85), "Excelente",
   AND(F458&gt;=0,8, G458&gt;=70), "Bueno",
   OR(F458&lt;0,6,  G458&lt;50),  "Alerta",
   TRUE,           "Revisar")</f>
        <v>Alerta</v>
      </c>
      <c r="J458" s="28">
        <f t="shared" si="6"/>
        <v>0</v>
      </c>
    </row>
    <row r="459" spans="1:10" ht="18" customHeight="1" x14ac:dyDescent="0.3">
      <c r="A459" s="25" t="s">
        <v>967</v>
      </c>
      <c r="B459" s="8" t="s">
        <v>968</v>
      </c>
      <c r="C459" s="25" t="s">
        <v>71</v>
      </c>
      <c r="D459" s="25" t="s">
        <v>92</v>
      </c>
      <c r="E459" s="9">
        <v>11100000</v>
      </c>
      <c r="F459" s="26">
        <v>0.5</v>
      </c>
      <c r="G459" s="25">
        <v>75</v>
      </c>
      <c r="H459" s="27">
        <v>4.5</v>
      </c>
      <c r="I459" s="24" t="str" cm="1">
        <f t="array" ref="I459">_xlfn.IFS(
   AND(F459&gt;=0,9, G459&gt;=85), "Excelente",
   AND(F459&gt;=0,8, G459&gt;=70), "Bueno",
   OR(F459&lt;0,6,  G459&lt;50),  "Alerta",
   TRUE,           "Revisar")</f>
        <v>Bueno</v>
      </c>
      <c r="J459" s="28">
        <f t="shared" si="6"/>
        <v>1110000</v>
      </c>
    </row>
    <row r="460" spans="1:10" ht="18" customHeight="1" x14ac:dyDescent="0.3">
      <c r="A460" s="18" t="s">
        <v>969</v>
      </c>
      <c r="B460" s="5" t="s">
        <v>970</v>
      </c>
      <c r="C460" s="18" t="s">
        <v>81</v>
      </c>
      <c r="D460" s="18" t="s">
        <v>92</v>
      </c>
      <c r="E460" s="6">
        <v>6100000</v>
      </c>
      <c r="F460" s="19">
        <v>0.77</v>
      </c>
      <c r="G460" s="18">
        <v>89</v>
      </c>
      <c r="H460" s="20">
        <v>17</v>
      </c>
      <c r="I460" s="24" t="str" cm="1">
        <f t="array" ref="I460">_xlfn.IFS(
   AND(F460&gt;=0,9, G460&gt;=85), "Excelente",
   AND(F460&gt;=0,8, G460&gt;=70), "Bueno",
   OR(F460&lt;0,6,  G460&lt;50),  "Alerta",
   TRUE,           "Revisar")</f>
        <v>Excelente</v>
      </c>
      <c r="J460" s="28">
        <f t="shared" ref="J460:J523" si="7">IF(OR(I460="Excelente",I460="Bueno"),E460*0.1,0)</f>
        <v>610000</v>
      </c>
    </row>
    <row r="461" spans="1:10" ht="18" customHeight="1" x14ac:dyDescent="0.3">
      <c r="A461" s="25" t="s">
        <v>971</v>
      </c>
      <c r="B461" s="8" t="s">
        <v>972</v>
      </c>
      <c r="C461" s="25" t="s">
        <v>74</v>
      </c>
      <c r="D461" s="25" t="s">
        <v>105</v>
      </c>
      <c r="E461" s="9">
        <v>5200000</v>
      </c>
      <c r="F461" s="26">
        <v>0.73</v>
      </c>
      <c r="G461" s="25">
        <v>78</v>
      </c>
      <c r="H461" s="27">
        <v>10.6</v>
      </c>
      <c r="I461" s="24" t="str" cm="1">
        <f t="array" ref="I461">_xlfn.IFS(
   AND(F461&gt;=0,9, G461&gt;=85), "Excelente",
   AND(F461&gt;=0,8, G461&gt;=70), "Bueno",
   OR(F461&lt;0,6,  G461&lt;50),  "Alerta",
   TRUE,           "Revisar")</f>
        <v>Bueno</v>
      </c>
      <c r="J461" s="28">
        <f t="shared" si="7"/>
        <v>520000</v>
      </c>
    </row>
    <row r="462" spans="1:10" ht="18" customHeight="1" x14ac:dyDescent="0.3">
      <c r="A462" s="18" t="s">
        <v>973</v>
      </c>
      <c r="B462" s="5" t="s">
        <v>974</v>
      </c>
      <c r="C462" s="18" t="s">
        <v>67</v>
      </c>
      <c r="D462" s="18" t="s">
        <v>92</v>
      </c>
      <c r="E462" s="6">
        <v>8000000</v>
      </c>
      <c r="F462" s="19">
        <v>0.99</v>
      </c>
      <c r="G462" s="18">
        <v>88</v>
      </c>
      <c r="H462" s="20">
        <v>2.9</v>
      </c>
      <c r="I462" s="24" t="str" cm="1">
        <f t="array" ref="I462">_xlfn.IFS(
   AND(F462&gt;=0,9, G462&gt;=85), "Excelente",
   AND(F462&gt;=0,8, G462&gt;=70), "Bueno",
   OR(F462&lt;0,6,  G462&lt;50),  "Alerta",
   TRUE,           "Revisar")</f>
        <v>Excelente</v>
      </c>
      <c r="J462" s="28">
        <f t="shared" si="7"/>
        <v>800000</v>
      </c>
    </row>
    <row r="463" spans="1:10" ht="18" customHeight="1" x14ac:dyDescent="0.3">
      <c r="A463" s="25" t="s">
        <v>975</v>
      </c>
      <c r="B463" s="8" t="s">
        <v>976</v>
      </c>
      <c r="C463" s="25" t="s">
        <v>81</v>
      </c>
      <c r="D463" s="25" t="s">
        <v>114</v>
      </c>
      <c r="E463" s="9">
        <v>6800000</v>
      </c>
      <c r="F463" s="26">
        <v>0.8</v>
      </c>
      <c r="G463" s="25">
        <v>30</v>
      </c>
      <c r="H463" s="27">
        <v>9</v>
      </c>
      <c r="I463" s="24" t="str" cm="1">
        <f t="array" ref="I463">_xlfn.IFS(
   AND(F463&gt;=0,9, G463&gt;=85), "Excelente",
   AND(F463&gt;=0,8, G463&gt;=70), "Bueno",
   OR(F463&lt;0,6,  G463&lt;50),  "Alerta",
   TRUE,           "Revisar")</f>
        <v>Alerta</v>
      </c>
      <c r="J463" s="28">
        <f t="shared" si="7"/>
        <v>0</v>
      </c>
    </row>
    <row r="464" spans="1:10" ht="18" customHeight="1" x14ac:dyDescent="0.3">
      <c r="A464" s="18" t="s">
        <v>977</v>
      </c>
      <c r="B464" s="5" t="s">
        <v>978</v>
      </c>
      <c r="C464" s="18" t="s">
        <v>71</v>
      </c>
      <c r="D464" s="18" t="s">
        <v>105</v>
      </c>
      <c r="E464" s="6">
        <v>3900000</v>
      </c>
      <c r="F464" s="19">
        <v>0.52</v>
      </c>
      <c r="G464" s="18">
        <v>85</v>
      </c>
      <c r="H464" s="20">
        <v>12.7</v>
      </c>
      <c r="I464" s="24" t="str" cm="1">
        <f t="array" ref="I464">_xlfn.IFS(
   AND(F464&gt;=0,9, G464&gt;=85), "Excelente",
   AND(F464&gt;=0,8, G464&gt;=70), "Bueno",
   OR(F464&lt;0,6,  G464&lt;50),  "Alerta",
   TRUE,           "Revisar")</f>
        <v>Excelente</v>
      </c>
      <c r="J464" s="28">
        <f t="shared" si="7"/>
        <v>390000</v>
      </c>
    </row>
    <row r="465" spans="1:10" ht="18" customHeight="1" x14ac:dyDescent="0.3">
      <c r="A465" s="25" t="s">
        <v>979</v>
      </c>
      <c r="B465" s="8" t="s">
        <v>980</v>
      </c>
      <c r="C465" s="25" t="s">
        <v>77</v>
      </c>
      <c r="D465" s="25" t="s">
        <v>68</v>
      </c>
      <c r="E465" s="9">
        <v>2800000</v>
      </c>
      <c r="F465" s="26">
        <v>0.47</v>
      </c>
      <c r="G465" s="25">
        <v>55</v>
      </c>
      <c r="H465" s="27">
        <v>14.6</v>
      </c>
      <c r="I465" s="24" t="str" cm="1">
        <f t="array" ref="I465">_xlfn.IFS(
   AND(F465&gt;=0,9, G465&gt;=85), "Excelente",
   AND(F465&gt;=0,8, G465&gt;=70), "Bueno",
   OR(F465&lt;0,6,  G465&lt;50),  "Alerta",
   TRUE,           "Revisar")</f>
        <v>Alerta</v>
      </c>
      <c r="J465" s="28">
        <f t="shared" si="7"/>
        <v>0</v>
      </c>
    </row>
    <row r="466" spans="1:10" ht="18" customHeight="1" x14ac:dyDescent="0.3">
      <c r="A466" s="18" t="s">
        <v>981</v>
      </c>
      <c r="B466" s="5" t="s">
        <v>982</v>
      </c>
      <c r="C466" s="18" t="s">
        <v>91</v>
      </c>
      <c r="D466" s="18" t="s">
        <v>60</v>
      </c>
      <c r="E466" s="6">
        <v>5600000</v>
      </c>
      <c r="F466" s="19">
        <v>0.83</v>
      </c>
      <c r="G466" s="18">
        <v>74</v>
      </c>
      <c r="H466" s="20">
        <v>6.2</v>
      </c>
      <c r="I466" s="24" t="str" cm="1">
        <f t="array" ref="I466">_xlfn.IFS(
   AND(F466&gt;=0,9, G466&gt;=85), "Excelente",
   AND(F466&gt;=0,8, G466&gt;=70), "Bueno",
   OR(F466&lt;0,6,  G466&lt;50),  "Alerta",
   TRUE,           "Revisar")</f>
        <v>Bueno</v>
      </c>
      <c r="J466" s="28">
        <f t="shared" si="7"/>
        <v>560000</v>
      </c>
    </row>
    <row r="467" spans="1:10" ht="18" customHeight="1" x14ac:dyDescent="0.3">
      <c r="A467" s="25" t="s">
        <v>983</v>
      </c>
      <c r="B467" s="8" t="s">
        <v>984</v>
      </c>
      <c r="C467" s="25" t="s">
        <v>59</v>
      </c>
      <c r="D467" s="25" t="s">
        <v>114</v>
      </c>
      <c r="E467" s="9">
        <v>3600000</v>
      </c>
      <c r="F467" s="26">
        <v>0.9</v>
      </c>
      <c r="G467" s="25">
        <v>68</v>
      </c>
      <c r="H467" s="27">
        <v>19</v>
      </c>
      <c r="I467" s="24" t="str" cm="1">
        <f t="array" ref="I467">_xlfn.IFS(
   AND(F467&gt;=0,9, G467&gt;=85), "Excelente",
   AND(F467&gt;=0,8, G467&gt;=70), "Bueno",
   OR(F467&lt;0,6,  G467&lt;50),  "Alerta",
   TRUE,           "Revisar")</f>
        <v>Alerta</v>
      </c>
      <c r="J467" s="28">
        <f t="shared" si="7"/>
        <v>0</v>
      </c>
    </row>
    <row r="468" spans="1:10" ht="18" customHeight="1" x14ac:dyDescent="0.3">
      <c r="A468" s="18" t="s">
        <v>985</v>
      </c>
      <c r="B468" s="5" t="s">
        <v>986</v>
      </c>
      <c r="C468" s="18" t="s">
        <v>81</v>
      </c>
      <c r="D468" s="18" t="s">
        <v>68</v>
      </c>
      <c r="E468" s="6">
        <v>11500000</v>
      </c>
      <c r="F468" s="19">
        <v>1</v>
      </c>
      <c r="G468" s="18">
        <v>73</v>
      </c>
      <c r="H468" s="20">
        <v>19.899999999999999</v>
      </c>
      <c r="I468" s="24" t="str" cm="1">
        <f t="array" ref="I468">_xlfn.IFS(
   AND(F468&gt;=0,9, G468&gt;=85), "Excelente",
   AND(F468&gt;=0,8, G468&gt;=70), "Bueno",
   OR(F468&lt;0,6,  G468&lt;50),  "Alerta",
   TRUE,           "Revisar")</f>
        <v>Bueno</v>
      </c>
      <c r="J468" s="28">
        <f t="shared" si="7"/>
        <v>1150000</v>
      </c>
    </row>
    <row r="469" spans="1:10" ht="18" customHeight="1" x14ac:dyDescent="0.3">
      <c r="A469" s="25" t="s">
        <v>987</v>
      </c>
      <c r="B469" s="8" t="s">
        <v>988</v>
      </c>
      <c r="C469" s="25" t="s">
        <v>67</v>
      </c>
      <c r="D469" s="25" t="s">
        <v>114</v>
      </c>
      <c r="E469" s="9">
        <v>7900000</v>
      </c>
      <c r="F469" s="26">
        <v>0.46</v>
      </c>
      <c r="G469" s="25">
        <v>58</v>
      </c>
      <c r="H469" s="27">
        <v>14.5</v>
      </c>
      <c r="I469" s="24" t="str" cm="1">
        <f t="array" ref="I469">_xlfn.IFS(
   AND(F469&gt;=0,9, G469&gt;=85), "Excelente",
   AND(F469&gt;=0,8, G469&gt;=70), "Bueno",
   OR(F469&lt;0,6,  G469&lt;50),  "Alerta",
   TRUE,           "Revisar")</f>
        <v>Alerta</v>
      </c>
      <c r="J469" s="28">
        <f t="shared" si="7"/>
        <v>0</v>
      </c>
    </row>
    <row r="470" spans="1:10" ht="18" customHeight="1" x14ac:dyDescent="0.3">
      <c r="A470" s="18" t="s">
        <v>989</v>
      </c>
      <c r="B470" s="5" t="s">
        <v>990</v>
      </c>
      <c r="C470" s="18" t="s">
        <v>91</v>
      </c>
      <c r="D470" s="18" t="s">
        <v>114</v>
      </c>
      <c r="E470" s="6">
        <v>4300000</v>
      </c>
      <c r="F470" s="19">
        <v>0.65</v>
      </c>
      <c r="G470" s="18">
        <v>34</v>
      </c>
      <c r="H470" s="20">
        <v>7.5</v>
      </c>
      <c r="I470" s="24" t="str" cm="1">
        <f t="array" ref="I470">_xlfn.IFS(
   AND(F470&gt;=0,9, G470&gt;=85), "Excelente",
   AND(F470&gt;=0,8, G470&gt;=70), "Bueno",
   OR(F470&lt;0,6,  G470&lt;50),  "Alerta",
   TRUE,           "Revisar")</f>
        <v>Alerta</v>
      </c>
      <c r="J470" s="28">
        <f t="shared" si="7"/>
        <v>0</v>
      </c>
    </row>
    <row r="471" spans="1:10" ht="18" customHeight="1" x14ac:dyDescent="0.3">
      <c r="A471" s="25" t="s">
        <v>991</v>
      </c>
      <c r="B471" s="8" t="s">
        <v>992</v>
      </c>
      <c r="C471" s="25" t="s">
        <v>91</v>
      </c>
      <c r="D471" s="25" t="s">
        <v>64</v>
      </c>
      <c r="E471" s="9">
        <v>11200000</v>
      </c>
      <c r="F471" s="26">
        <v>0.51</v>
      </c>
      <c r="G471" s="25">
        <v>32</v>
      </c>
      <c r="H471" s="27">
        <v>1</v>
      </c>
      <c r="I471" s="24" t="str" cm="1">
        <f t="array" ref="I471">_xlfn.IFS(
   AND(F471&gt;=0,9, G471&gt;=85), "Excelente",
   AND(F471&gt;=0,8, G471&gt;=70), "Bueno",
   OR(F471&lt;0,6,  G471&lt;50),  "Alerta",
   TRUE,           "Revisar")</f>
        <v>Alerta</v>
      </c>
      <c r="J471" s="28">
        <f t="shared" si="7"/>
        <v>0</v>
      </c>
    </row>
    <row r="472" spans="1:10" ht="18" customHeight="1" x14ac:dyDescent="0.3">
      <c r="A472" s="18" t="s">
        <v>993</v>
      </c>
      <c r="B472" s="5" t="s">
        <v>994</v>
      </c>
      <c r="C472" s="18" t="s">
        <v>74</v>
      </c>
      <c r="D472" s="18" t="s">
        <v>88</v>
      </c>
      <c r="E472" s="6">
        <v>8800000</v>
      </c>
      <c r="F472" s="19">
        <v>0.84</v>
      </c>
      <c r="G472" s="18">
        <v>56</v>
      </c>
      <c r="H472" s="20">
        <v>13.9</v>
      </c>
      <c r="I472" s="24" t="str" cm="1">
        <f t="array" ref="I472">_xlfn.IFS(
   AND(F472&gt;=0,9, G472&gt;=85), "Excelente",
   AND(F472&gt;=0,8, G472&gt;=70), "Bueno",
   OR(F472&lt;0,6,  G472&lt;50),  "Alerta",
   TRUE,           "Revisar")</f>
        <v>Alerta</v>
      </c>
      <c r="J472" s="28">
        <f t="shared" si="7"/>
        <v>0</v>
      </c>
    </row>
    <row r="473" spans="1:10" ht="18" customHeight="1" x14ac:dyDescent="0.3">
      <c r="A473" s="25" t="s">
        <v>995</v>
      </c>
      <c r="B473" s="8" t="s">
        <v>996</v>
      </c>
      <c r="C473" s="25" t="s">
        <v>74</v>
      </c>
      <c r="D473" s="25" t="s">
        <v>88</v>
      </c>
      <c r="E473" s="9">
        <v>10700000</v>
      </c>
      <c r="F473" s="26">
        <v>0.78</v>
      </c>
      <c r="G473" s="25">
        <v>47</v>
      </c>
      <c r="H473" s="27">
        <v>8.4</v>
      </c>
      <c r="I473" s="24" t="str" cm="1">
        <f t="array" ref="I473">_xlfn.IFS(
   AND(F473&gt;=0,9, G473&gt;=85), "Excelente",
   AND(F473&gt;=0,8, G473&gt;=70), "Bueno",
   OR(F473&lt;0,6,  G473&lt;50),  "Alerta",
   TRUE,           "Revisar")</f>
        <v>Alerta</v>
      </c>
      <c r="J473" s="28">
        <f t="shared" si="7"/>
        <v>0</v>
      </c>
    </row>
    <row r="474" spans="1:10" ht="18" customHeight="1" x14ac:dyDescent="0.3">
      <c r="A474" s="18" t="s">
        <v>997</v>
      </c>
      <c r="B474" s="5" t="s">
        <v>998</v>
      </c>
      <c r="C474" s="18" t="s">
        <v>59</v>
      </c>
      <c r="D474" s="18" t="s">
        <v>78</v>
      </c>
      <c r="E474" s="6">
        <v>4100000</v>
      </c>
      <c r="F474" s="19">
        <v>0.72</v>
      </c>
      <c r="G474" s="18">
        <v>55</v>
      </c>
      <c r="H474" s="20">
        <v>15.6</v>
      </c>
      <c r="I474" s="24" t="str" cm="1">
        <f t="array" ref="I474">_xlfn.IFS(
   AND(F474&gt;=0,9, G474&gt;=85), "Excelente",
   AND(F474&gt;=0,8, G474&gt;=70), "Bueno",
   OR(F474&lt;0,6,  G474&lt;50),  "Alerta",
   TRUE,           "Revisar")</f>
        <v>Alerta</v>
      </c>
      <c r="J474" s="28">
        <f t="shared" si="7"/>
        <v>0</v>
      </c>
    </row>
    <row r="475" spans="1:10" ht="18" customHeight="1" x14ac:dyDescent="0.3">
      <c r="A475" s="25" t="s">
        <v>999</v>
      </c>
      <c r="B475" s="8" t="s">
        <v>1000</v>
      </c>
      <c r="C475" s="25" t="s">
        <v>63</v>
      </c>
      <c r="D475" s="25" t="s">
        <v>88</v>
      </c>
      <c r="E475" s="9">
        <v>4800000</v>
      </c>
      <c r="F475" s="26">
        <v>0.47</v>
      </c>
      <c r="G475" s="25">
        <v>93</v>
      </c>
      <c r="H475" s="27">
        <v>18.2</v>
      </c>
      <c r="I475" s="24" t="str" cm="1">
        <f t="array" ref="I475">_xlfn.IFS(
   AND(F475&gt;=0,9, G475&gt;=85), "Excelente",
   AND(F475&gt;=0,8, G475&gt;=70), "Bueno",
   OR(F475&lt;0,6,  G475&lt;50),  "Alerta",
   TRUE,           "Revisar")</f>
        <v>Excelente</v>
      </c>
      <c r="J475" s="28">
        <f t="shared" si="7"/>
        <v>480000</v>
      </c>
    </row>
    <row r="476" spans="1:10" ht="18" customHeight="1" x14ac:dyDescent="0.3">
      <c r="A476" s="18" t="s">
        <v>1001</v>
      </c>
      <c r="B476" s="5" t="s">
        <v>1002</v>
      </c>
      <c r="C476" s="18" t="s">
        <v>67</v>
      </c>
      <c r="D476" s="18" t="s">
        <v>64</v>
      </c>
      <c r="E476" s="6">
        <v>2900000</v>
      </c>
      <c r="F476" s="19">
        <v>0.82</v>
      </c>
      <c r="G476" s="18">
        <v>44</v>
      </c>
      <c r="H476" s="20">
        <v>16.7</v>
      </c>
      <c r="I476" s="24" t="str" cm="1">
        <f t="array" ref="I476">_xlfn.IFS(
   AND(F476&gt;=0,9, G476&gt;=85), "Excelente",
   AND(F476&gt;=0,8, G476&gt;=70), "Bueno",
   OR(F476&lt;0,6,  G476&lt;50),  "Alerta",
   TRUE,           "Revisar")</f>
        <v>Alerta</v>
      </c>
      <c r="J476" s="28">
        <f t="shared" si="7"/>
        <v>0</v>
      </c>
    </row>
    <row r="477" spans="1:10" ht="18" customHeight="1" x14ac:dyDescent="0.3">
      <c r="A477" s="25" t="s">
        <v>1003</v>
      </c>
      <c r="B477" s="8" t="s">
        <v>1004</v>
      </c>
      <c r="C477" s="25" t="s">
        <v>74</v>
      </c>
      <c r="D477" s="25" t="s">
        <v>78</v>
      </c>
      <c r="E477" s="9">
        <v>12000000</v>
      </c>
      <c r="F477" s="26">
        <v>0.85</v>
      </c>
      <c r="G477" s="25">
        <v>62</v>
      </c>
      <c r="H477" s="27">
        <v>12.9</v>
      </c>
      <c r="I477" s="24" t="str" cm="1">
        <f t="array" ref="I477">_xlfn.IFS(
   AND(F477&gt;=0,9, G477&gt;=85), "Excelente",
   AND(F477&gt;=0,8, G477&gt;=70), "Bueno",
   OR(F477&lt;0,6,  G477&lt;50),  "Alerta",
   TRUE,           "Revisar")</f>
        <v>Alerta</v>
      </c>
      <c r="J477" s="28">
        <f t="shared" si="7"/>
        <v>0</v>
      </c>
    </row>
    <row r="478" spans="1:10" ht="18" customHeight="1" x14ac:dyDescent="0.3">
      <c r="A478" s="18" t="s">
        <v>1005</v>
      </c>
      <c r="B478" s="5" t="s">
        <v>1006</v>
      </c>
      <c r="C478" s="18" t="s">
        <v>59</v>
      </c>
      <c r="D478" s="18" t="s">
        <v>105</v>
      </c>
      <c r="E478" s="6">
        <v>3400000</v>
      </c>
      <c r="F478" s="19">
        <v>0.5</v>
      </c>
      <c r="G478" s="18">
        <v>52</v>
      </c>
      <c r="H478" s="20">
        <v>17.5</v>
      </c>
      <c r="I478" s="24" t="str" cm="1">
        <f t="array" ref="I478">_xlfn.IFS(
   AND(F478&gt;=0,9, G478&gt;=85), "Excelente",
   AND(F478&gt;=0,8, G478&gt;=70), "Bueno",
   OR(F478&lt;0,6,  G478&lt;50),  "Alerta",
   TRUE,           "Revisar")</f>
        <v>Alerta</v>
      </c>
      <c r="J478" s="28">
        <f t="shared" si="7"/>
        <v>0</v>
      </c>
    </row>
    <row r="479" spans="1:10" ht="18" customHeight="1" x14ac:dyDescent="0.3">
      <c r="A479" s="25" t="s">
        <v>1007</v>
      </c>
      <c r="B479" s="8" t="s">
        <v>1008</v>
      </c>
      <c r="C479" s="25" t="s">
        <v>81</v>
      </c>
      <c r="D479" s="25" t="s">
        <v>68</v>
      </c>
      <c r="E479" s="9">
        <v>4200000</v>
      </c>
      <c r="F479" s="26">
        <v>0.5</v>
      </c>
      <c r="G479" s="25">
        <v>35</v>
      </c>
      <c r="H479" s="27">
        <v>0.2</v>
      </c>
      <c r="I479" s="24" t="str" cm="1">
        <f t="array" ref="I479">_xlfn.IFS(
   AND(F479&gt;=0,9, G479&gt;=85), "Excelente",
   AND(F479&gt;=0,8, G479&gt;=70), "Bueno",
   OR(F479&lt;0,6,  G479&lt;50),  "Alerta",
   TRUE,           "Revisar")</f>
        <v>Alerta</v>
      </c>
      <c r="J479" s="28">
        <f t="shared" si="7"/>
        <v>0</v>
      </c>
    </row>
    <row r="480" spans="1:10" ht="18" customHeight="1" x14ac:dyDescent="0.3">
      <c r="A480" s="18" t="s">
        <v>1009</v>
      </c>
      <c r="B480" s="5" t="s">
        <v>1010</v>
      </c>
      <c r="C480" s="18" t="s">
        <v>71</v>
      </c>
      <c r="D480" s="18" t="s">
        <v>92</v>
      </c>
      <c r="E480" s="6">
        <v>7300000</v>
      </c>
      <c r="F480" s="19">
        <v>0.94</v>
      </c>
      <c r="G480" s="18">
        <v>64</v>
      </c>
      <c r="H480" s="20">
        <v>17.600000000000001</v>
      </c>
      <c r="I480" s="24" t="str" cm="1">
        <f t="array" ref="I480">_xlfn.IFS(
   AND(F480&gt;=0,9, G480&gt;=85), "Excelente",
   AND(F480&gt;=0,8, G480&gt;=70), "Bueno",
   OR(F480&lt;0,6,  G480&lt;50),  "Alerta",
   TRUE,           "Revisar")</f>
        <v>Alerta</v>
      </c>
      <c r="J480" s="28">
        <f t="shared" si="7"/>
        <v>0</v>
      </c>
    </row>
    <row r="481" spans="1:10" ht="18" customHeight="1" x14ac:dyDescent="0.3">
      <c r="A481" s="25" t="s">
        <v>1011</v>
      </c>
      <c r="B481" s="8" t="s">
        <v>1012</v>
      </c>
      <c r="C481" s="25" t="s">
        <v>63</v>
      </c>
      <c r="D481" s="25" t="s">
        <v>105</v>
      </c>
      <c r="E481" s="9">
        <v>6200000</v>
      </c>
      <c r="F481" s="26">
        <v>0.91</v>
      </c>
      <c r="G481" s="25">
        <v>91</v>
      </c>
      <c r="H481" s="27">
        <v>16</v>
      </c>
      <c r="I481" s="24" t="str" cm="1">
        <f t="array" ref="I481">_xlfn.IFS(
   AND(F481&gt;=0,9, G481&gt;=85), "Excelente",
   AND(F481&gt;=0,8, G481&gt;=70), "Bueno",
   OR(F481&lt;0,6,  G481&lt;50),  "Alerta",
   TRUE,           "Revisar")</f>
        <v>Excelente</v>
      </c>
      <c r="J481" s="28">
        <f t="shared" si="7"/>
        <v>620000</v>
      </c>
    </row>
    <row r="482" spans="1:10" ht="18" customHeight="1" x14ac:dyDescent="0.3">
      <c r="A482" s="18" t="s">
        <v>1013</v>
      </c>
      <c r="B482" s="5" t="s">
        <v>1014</v>
      </c>
      <c r="C482" s="18" t="s">
        <v>71</v>
      </c>
      <c r="D482" s="18" t="s">
        <v>64</v>
      </c>
      <c r="E482" s="6">
        <v>4800000</v>
      </c>
      <c r="F482" s="19">
        <v>0.51</v>
      </c>
      <c r="G482" s="18">
        <v>91</v>
      </c>
      <c r="H482" s="20">
        <v>16</v>
      </c>
      <c r="I482" s="24" t="str" cm="1">
        <f t="array" ref="I482">_xlfn.IFS(
   AND(F482&gt;=0,9, G482&gt;=85), "Excelente",
   AND(F482&gt;=0,8, G482&gt;=70), "Bueno",
   OR(F482&lt;0,6,  G482&lt;50),  "Alerta",
   TRUE,           "Revisar")</f>
        <v>Excelente</v>
      </c>
      <c r="J482" s="28">
        <f t="shared" si="7"/>
        <v>480000</v>
      </c>
    </row>
    <row r="483" spans="1:10" ht="18" customHeight="1" x14ac:dyDescent="0.3">
      <c r="A483" s="25" t="s">
        <v>1015</v>
      </c>
      <c r="B483" s="8" t="s">
        <v>1016</v>
      </c>
      <c r="C483" s="25" t="s">
        <v>63</v>
      </c>
      <c r="D483" s="25" t="s">
        <v>92</v>
      </c>
      <c r="E483" s="9">
        <v>10600000</v>
      </c>
      <c r="F483" s="26">
        <v>0.47</v>
      </c>
      <c r="G483" s="25">
        <v>46</v>
      </c>
      <c r="H483" s="27">
        <v>9.6999999999999993</v>
      </c>
      <c r="I483" s="24" t="str" cm="1">
        <f t="array" ref="I483">_xlfn.IFS(
   AND(F483&gt;=0,9, G483&gt;=85), "Excelente",
   AND(F483&gt;=0,8, G483&gt;=70), "Bueno",
   OR(F483&lt;0,6,  G483&lt;50),  "Alerta",
   TRUE,           "Revisar")</f>
        <v>Alerta</v>
      </c>
      <c r="J483" s="28">
        <f t="shared" si="7"/>
        <v>0</v>
      </c>
    </row>
    <row r="484" spans="1:10" ht="18" customHeight="1" x14ac:dyDescent="0.3">
      <c r="A484" s="18" t="s">
        <v>1017</v>
      </c>
      <c r="B484" s="5" t="s">
        <v>1018</v>
      </c>
      <c r="C484" s="18" t="s">
        <v>91</v>
      </c>
      <c r="D484" s="18" t="s">
        <v>78</v>
      </c>
      <c r="E484" s="6">
        <v>6100000</v>
      </c>
      <c r="F484" s="19">
        <v>0.81</v>
      </c>
      <c r="G484" s="18">
        <v>31</v>
      </c>
      <c r="H484" s="20">
        <v>14.1</v>
      </c>
      <c r="I484" s="24" t="str" cm="1">
        <f t="array" ref="I484">_xlfn.IFS(
   AND(F484&gt;=0,9, G484&gt;=85), "Excelente",
   AND(F484&gt;=0,8, G484&gt;=70), "Bueno",
   OR(F484&lt;0,6,  G484&lt;50),  "Alerta",
   TRUE,           "Revisar")</f>
        <v>Alerta</v>
      </c>
      <c r="J484" s="28">
        <f t="shared" si="7"/>
        <v>0</v>
      </c>
    </row>
    <row r="485" spans="1:10" ht="18" customHeight="1" x14ac:dyDescent="0.3">
      <c r="A485" s="25" t="s">
        <v>1019</v>
      </c>
      <c r="B485" s="8" t="s">
        <v>1020</v>
      </c>
      <c r="C485" s="25" t="s">
        <v>67</v>
      </c>
      <c r="D485" s="25" t="s">
        <v>92</v>
      </c>
      <c r="E485" s="9">
        <v>9400000</v>
      </c>
      <c r="F485" s="26">
        <v>0.74</v>
      </c>
      <c r="G485" s="25">
        <v>42</v>
      </c>
      <c r="H485" s="27">
        <v>8.6999999999999993</v>
      </c>
      <c r="I485" s="24" t="str" cm="1">
        <f t="array" ref="I485">_xlfn.IFS(
   AND(F485&gt;=0,9, G485&gt;=85), "Excelente",
   AND(F485&gt;=0,8, G485&gt;=70), "Bueno",
   OR(F485&lt;0,6,  G485&lt;50),  "Alerta",
   TRUE,           "Revisar")</f>
        <v>Alerta</v>
      </c>
      <c r="J485" s="28">
        <f t="shared" si="7"/>
        <v>0</v>
      </c>
    </row>
    <row r="486" spans="1:10" ht="18" customHeight="1" x14ac:dyDescent="0.3">
      <c r="A486" s="18" t="s">
        <v>1021</v>
      </c>
      <c r="B486" s="5" t="s">
        <v>1022</v>
      </c>
      <c r="C486" s="18" t="s">
        <v>63</v>
      </c>
      <c r="D486" s="18" t="s">
        <v>114</v>
      </c>
      <c r="E486" s="6">
        <v>9900000</v>
      </c>
      <c r="F486" s="19">
        <v>0.94</v>
      </c>
      <c r="G486" s="18">
        <v>36</v>
      </c>
      <c r="H486" s="20">
        <v>0.2</v>
      </c>
      <c r="I486" s="24" t="str" cm="1">
        <f t="array" ref="I486">_xlfn.IFS(
   AND(F486&gt;=0,9, G486&gt;=85), "Excelente",
   AND(F486&gt;=0,8, G486&gt;=70), "Bueno",
   OR(F486&lt;0,6,  G486&lt;50),  "Alerta",
   TRUE,           "Revisar")</f>
        <v>Alerta</v>
      </c>
      <c r="J486" s="28">
        <f t="shared" si="7"/>
        <v>0</v>
      </c>
    </row>
    <row r="487" spans="1:10" ht="18" customHeight="1" x14ac:dyDescent="0.3">
      <c r="A487" s="25" t="s">
        <v>1023</v>
      </c>
      <c r="B487" s="8" t="s">
        <v>1024</v>
      </c>
      <c r="C487" s="25" t="s">
        <v>77</v>
      </c>
      <c r="D487" s="25" t="s">
        <v>105</v>
      </c>
      <c r="E487" s="9">
        <v>4900000</v>
      </c>
      <c r="F487" s="26">
        <v>0.49</v>
      </c>
      <c r="G487" s="25">
        <v>92</v>
      </c>
      <c r="H487" s="27">
        <v>6.4</v>
      </c>
      <c r="I487" s="24" t="str" cm="1">
        <f t="array" ref="I487">_xlfn.IFS(
   AND(F487&gt;=0,9, G487&gt;=85), "Excelente",
   AND(F487&gt;=0,8, G487&gt;=70), "Bueno",
   OR(F487&lt;0,6,  G487&lt;50),  "Alerta",
   TRUE,           "Revisar")</f>
        <v>Excelente</v>
      </c>
      <c r="J487" s="28">
        <f t="shared" si="7"/>
        <v>490000</v>
      </c>
    </row>
    <row r="488" spans="1:10" ht="18" customHeight="1" x14ac:dyDescent="0.3">
      <c r="A488" s="18" t="s">
        <v>1025</v>
      </c>
      <c r="B488" s="5" t="s">
        <v>1026</v>
      </c>
      <c r="C488" s="18" t="s">
        <v>67</v>
      </c>
      <c r="D488" s="18" t="s">
        <v>68</v>
      </c>
      <c r="E488" s="6">
        <v>7900000</v>
      </c>
      <c r="F488" s="19">
        <v>0.9</v>
      </c>
      <c r="G488" s="18">
        <v>40</v>
      </c>
      <c r="H488" s="20">
        <v>9.1999999999999993</v>
      </c>
      <c r="I488" s="24" t="str" cm="1">
        <f t="array" ref="I488">_xlfn.IFS(
   AND(F488&gt;=0,9, G488&gt;=85), "Excelente",
   AND(F488&gt;=0,8, G488&gt;=70), "Bueno",
   OR(F488&lt;0,6,  G488&lt;50),  "Alerta",
   TRUE,           "Revisar")</f>
        <v>Alerta</v>
      </c>
      <c r="J488" s="28">
        <f t="shared" si="7"/>
        <v>0</v>
      </c>
    </row>
    <row r="489" spans="1:10" ht="18" customHeight="1" x14ac:dyDescent="0.3">
      <c r="A489" s="25" t="s">
        <v>1027</v>
      </c>
      <c r="B489" s="8" t="s">
        <v>1028</v>
      </c>
      <c r="C489" s="25" t="s">
        <v>74</v>
      </c>
      <c r="D489" s="25" t="s">
        <v>105</v>
      </c>
      <c r="E489" s="9">
        <v>8500000</v>
      </c>
      <c r="F489" s="26">
        <v>0.62</v>
      </c>
      <c r="G489" s="25">
        <v>93</v>
      </c>
      <c r="H489" s="27">
        <v>14.9</v>
      </c>
      <c r="I489" s="24" t="str" cm="1">
        <f t="array" ref="I489">_xlfn.IFS(
   AND(F489&gt;=0,9, G489&gt;=85), "Excelente",
   AND(F489&gt;=0,8, G489&gt;=70), "Bueno",
   OR(F489&lt;0,6,  G489&lt;50),  "Alerta",
   TRUE,           "Revisar")</f>
        <v>Excelente</v>
      </c>
      <c r="J489" s="28">
        <f t="shared" si="7"/>
        <v>850000</v>
      </c>
    </row>
    <row r="490" spans="1:10" ht="18" customHeight="1" x14ac:dyDescent="0.3">
      <c r="A490" s="18" t="s">
        <v>1029</v>
      </c>
      <c r="B490" s="5" t="s">
        <v>1030</v>
      </c>
      <c r="C490" s="18" t="s">
        <v>63</v>
      </c>
      <c r="D490" s="18" t="s">
        <v>68</v>
      </c>
      <c r="E490" s="6">
        <v>3200000</v>
      </c>
      <c r="F490" s="19">
        <v>0.76</v>
      </c>
      <c r="G490" s="18">
        <v>30</v>
      </c>
      <c r="H490" s="20">
        <v>16.5</v>
      </c>
      <c r="I490" s="24" t="str" cm="1">
        <f t="array" ref="I490">_xlfn.IFS(
   AND(F490&gt;=0,9, G490&gt;=85), "Excelente",
   AND(F490&gt;=0,8, G490&gt;=70), "Bueno",
   OR(F490&lt;0,6,  G490&lt;50),  "Alerta",
   TRUE,           "Revisar")</f>
        <v>Alerta</v>
      </c>
      <c r="J490" s="28">
        <f t="shared" si="7"/>
        <v>0</v>
      </c>
    </row>
    <row r="491" spans="1:10" ht="18" customHeight="1" x14ac:dyDescent="0.3">
      <c r="A491" s="25" t="s">
        <v>1031</v>
      </c>
      <c r="B491" s="8" t="s">
        <v>1032</v>
      </c>
      <c r="C491" s="25" t="s">
        <v>67</v>
      </c>
      <c r="D491" s="25" t="s">
        <v>105</v>
      </c>
      <c r="E491" s="9">
        <v>7100000</v>
      </c>
      <c r="F491" s="26">
        <v>0.65</v>
      </c>
      <c r="G491" s="25">
        <v>36</v>
      </c>
      <c r="H491" s="27">
        <v>16.3</v>
      </c>
      <c r="I491" s="24" t="str" cm="1">
        <f t="array" ref="I491">_xlfn.IFS(
   AND(F491&gt;=0,9, G491&gt;=85), "Excelente",
   AND(F491&gt;=0,8, G491&gt;=70), "Bueno",
   OR(F491&lt;0,6,  G491&lt;50),  "Alerta",
   TRUE,           "Revisar")</f>
        <v>Alerta</v>
      </c>
      <c r="J491" s="28">
        <f t="shared" si="7"/>
        <v>0</v>
      </c>
    </row>
    <row r="492" spans="1:10" ht="18" customHeight="1" x14ac:dyDescent="0.3">
      <c r="A492" s="18" t="s">
        <v>1033</v>
      </c>
      <c r="B492" s="5" t="s">
        <v>1034</v>
      </c>
      <c r="C492" s="18" t="s">
        <v>77</v>
      </c>
      <c r="D492" s="18" t="s">
        <v>92</v>
      </c>
      <c r="E492" s="6">
        <v>11900000</v>
      </c>
      <c r="F492" s="19">
        <v>0.7</v>
      </c>
      <c r="G492" s="18">
        <v>42</v>
      </c>
      <c r="H492" s="20">
        <v>15.2</v>
      </c>
      <c r="I492" s="24" t="str" cm="1">
        <f t="array" ref="I492">_xlfn.IFS(
   AND(F492&gt;=0,9, G492&gt;=85), "Excelente",
   AND(F492&gt;=0,8, G492&gt;=70), "Bueno",
   OR(F492&lt;0,6,  G492&lt;50),  "Alerta",
   TRUE,           "Revisar")</f>
        <v>Alerta</v>
      </c>
      <c r="J492" s="28">
        <f t="shared" si="7"/>
        <v>0</v>
      </c>
    </row>
    <row r="493" spans="1:10" ht="18" customHeight="1" x14ac:dyDescent="0.3">
      <c r="A493" s="25" t="s">
        <v>1035</v>
      </c>
      <c r="B493" s="8" t="s">
        <v>1036</v>
      </c>
      <c r="C493" s="25" t="s">
        <v>81</v>
      </c>
      <c r="D493" s="25" t="s">
        <v>92</v>
      </c>
      <c r="E493" s="9">
        <v>10900000</v>
      </c>
      <c r="F493" s="26">
        <v>0.98</v>
      </c>
      <c r="G493" s="25">
        <v>67</v>
      </c>
      <c r="H493" s="27">
        <v>11</v>
      </c>
      <c r="I493" s="24" t="str" cm="1">
        <f t="array" ref="I493">_xlfn.IFS(
   AND(F493&gt;=0,9, G493&gt;=85), "Excelente",
   AND(F493&gt;=0,8, G493&gt;=70), "Bueno",
   OR(F493&lt;0,6,  G493&lt;50),  "Alerta",
   TRUE,           "Revisar")</f>
        <v>Alerta</v>
      </c>
      <c r="J493" s="28">
        <f t="shared" si="7"/>
        <v>0</v>
      </c>
    </row>
    <row r="494" spans="1:10" ht="18" customHeight="1" x14ac:dyDescent="0.3">
      <c r="A494" s="18" t="s">
        <v>1037</v>
      </c>
      <c r="B494" s="5" t="s">
        <v>1038</v>
      </c>
      <c r="C494" s="18" t="s">
        <v>63</v>
      </c>
      <c r="D494" s="18" t="s">
        <v>78</v>
      </c>
      <c r="E494" s="6">
        <v>6000000</v>
      </c>
      <c r="F494" s="19">
        <v>0.79</v>
      </c>
      <c r="G494" s="18">
        <v>54</v>
      </c>
      <c r="H494" s="20">
        <v>2.4</v>
      </c>
      <c r="I494" s="24" t="str" cm="1">
        <f t="array" ref="I494">_xlfn.IFS(
   AND(F494&gt;=0,9, G494&gt;=85), "Excelente",
   AND(F494&gt;=0,8, G494&gt;=70), "Bueno",
   OR(F494&lt;0,6,  G494&lt;50),  "Alerta",
   TRUE,           "Revisar")</f>
        <v>Alerta</v>
      </c>
      <c r="J494" s="28">
        <f t="shared" si="7"/>
        <v>0</v>
      </c>
    </row>
    <row r="495" spans="1:10" ht="18" customHeight="1" x14ac:dyDescent="0.3">
      <c r="A495" s="25" t="s">
        <v>1039</v>
      </c>
      <c r="B495" s="8" t="s">
        <v>1040</v>
      </c>
      <c r="C495" s="25" t="s">
        <v>77</v>
      </c>
      <c r="D495" s="25" t="s">
        <v>60</v>
      </c>
      <c r="E495" s="9">
        <v>11900000</v>
      </c>
      <c r="F495" s="26">
        <v>0.64</v>
      </c>
      <c r="G495" s="25">
        <v>83</v>
      </c>
      <c r="H495" s="27">
        <v>0.9</v>
      </c>
      <c r="I495" s="24" t="str" cm="1">
        <f t="array" ref="I495">_xlfn.IFS(
   AND(F495&gt;=0,9, G495&gt;=85), "Excelente",
   AND(F495&gt;=0,8, G495&gt;=70), "Bueno",
   OR(F495&lt;0,6,  G495&lt;50),  "Alerta",
   TRUE,           "Revisar")</f>
        <v>Bueno</v>
      </c>
      <c r="J495" s="28">
        <f t="shared" si="7"/>
        <v>1190000</v>
      </c>
    </row>
    <row r="496" spans="1:10" ht="18" customHeight="1" x14ac:dyDescent="0.3">
      <c r="A496" s="18" t="s">
        <v>1041</v>
      </c>
      <c r="B496" s="5" t="s">
        <v>1042</v>
      </c>
      <c r="C496" s="18" t="s">
        <v>71</v>
      </c>
      <c r="D496" s="18" t="s">
        <v>105</v>
      </c>
      <c r="E496" s="6">
        <v>2800000</v>
      </c>
      <c r="F496" s="19">
        <v>0.74</v>
      </c>
      <c r="G496" s="18">
        <v>36</v>
      </c>
      <c r="H496" s="20">
        <v>11.1</v>
      </c>
      <c r="I496" s="24" t="str" cm="1">
        <f t="array" ref="I496">_xlfn.IFS(
   AND(F496&gt;=0,9, G496&gt;=85), "Excelente",
   AND(F496&gt;=0,8, G496&gt;=70), "Bueno",
   OR(F496&lt;0,6,  G496&lt;50),  "Alerta",
   TRUE,           "Revisar")</f>
        <v>Alerta</v>
      </c>
      <c r="J496" s="28">
        <f t="shared" si="7"/>
        <v>0</v>
      </c>
    </row>
    <row r="497" spans="1:10" ht="18" customHeight="1" x14ac:dyDescent="0.3">
      <c r="A497" s="25" t="s">
        <v>1043</v>
      </c>
      <c r="B497" s="8" t="s">
        <v>1044</v>
      </c>
      <c r="C497" s="25" t="s">
        <v>71</v>
      </c>
      <c r="D497" s="25" t="s">
        <v>114</v>
      </c>
      <c r="E497" s="9">
        <v>4400000</v>
      </c>
      <c r="F497" s="26">
        <v>0.51</v>
      </c>
      <c r="G497" s="25">
        <v>71</v>
      </c>
      <c r="H497" s="27">
        <v>10.1</v>
      </c>
      <c r="I497" s="24" t="str" cm="1">
        <f t="array" ref="I497">_xlfn.IFS(
   AND(F497&gt;=0,9, G497&gt;=85), "Excelente",
   AND(F497&gt;=0,8, G497&gt;=70), "Bueno",
   OR(F497&lt;0,6,  G497&lt;50),  "Alerta",
   TRUE,           "Revisar")</f>
        <v>Bueno</v>
      </c>
      <c r="J497" s="28">
        <f t="shared" si="7"/>
        <v>440000</v>
      </c>
    </row>
    <row r="498" spans="1:10" ht="18" customHeight="1" x14ac:dyDescent="0.3">
      <c r="A498" s="18" t="s">
        <v>1045</v>
      </c>
      <c r="B498" s="5" t="s">
        <v>1046</v>
      </c>
      <c r="C498" s="18" t="s">
        <v>67</v>
      </c>
      <c r="D498" s="18" t="s">
        <v>88</v>
      </c>
      <c r="E498" s="6">
        <v>7800000</v>
      </c>
      <c r="F498" s="19">
        <v>0.98</v>
      </c>
      <c r="G498" s="18">
        <v>67</v>
      </c>
      <c r="H498" s="20">
        <v>9.1</v>
      </c>
      <c r="I498" s="24" t="str" cm="1">
        <f t="array" ref="I498">_xlfn.IFS(
   AND(F498&gt;=0,9, G498&gt;=85), "Excelente",
   AND(F498&gt;=0,8, G498&gt;=70), "Bueno",
   OR(F498&lt;0,6,  G498&lt;50),  "Alerta",
   TRUE,           "Revisar")</f>
        <v>Alerta</v>
      </c>
      <c r="J498" s="28">
        <f t="shared" si="7"/>
        <v>0</v>
      </c>
    </row>
    <row r="499" spans="1:10" ht="18" customHeight="1" x14ac:dyDescent="0.3">
      <c r="A499" s="25" t="s">
        <v>1047</v>
      </c>
      <c r="B499" s="8" t="s">
        <v>1048</v>
      </c>
      <c r="C499" s="25" t="s">
        <v>81</v>
      </c>
      <c r="D499" s="25" t="s">
        <v>60</v>
      </c>
      <c r="E499" s="9">
        <v>5300000</v>
      </c>
      <c r="F499" s="26">
        <v>0.56999999999999995</v>
      </c>
      <c r="G499" s="25">
        <v>67</v>
      </c>
      <c r="H499" s="27">
        <v>13.7</v>
      </c>
      <c r="I499" s="24" t="str" cm="1">
        <f t="array" ref="I499">_xlfn.IFS(
   AND(F499&gt;=0,9, G499&gt;=85), "Excelente",
   AND(F499&gt;=0,8, G499&gt;=70), "Bueno",
   OR(F499&lt;0,6,  G499&lt;50),  "Alerta",
   TRUE,           "Revisar")</f>
        <v>Alerta</v>
      </c>
      <c r="J499" s="28">
        <f t="shared" si="7"/>
        <v>0</v>
      </c>
    </row>
    <row r="500" spans="1:10" ht="18" customHeight="1" x14ac:dyDescent="0.3">
      <c r="A500" s="18" t="s">
        <v>1049</v>
      </c>
      <c r="B500" s="5" t="s">
        <v>1050</v>
      </c>
      <c r="C500" s="18" t="s">
        <v>81</v>
      </c>
      <c r="D500" s="18" t="s">
        <v>78</v>
      </c>
      <c r="E500" s="6">
        <v>7300000</v>
      </c>
      <c r="F500" s="19">
        <v>0.76</v>
      </c>
      <c r="G500" s="18">
        <v>83</v>
      </c>
      <c r="H500" s="20">
        <v>13.5</v>
      </c>
      <c r="I500" s="24" t="str" cm="1">
        <f t="array" ref="I500">_xlfn.IFS(
   AND(F500&gt;=0,9, G500&gt;=85), "Excelente",
   AND(F500&gt;=0,8, G500&gt;=70), "Bueno",
   OR(F500&lt;0,6,  G500&lt;50),  "Alerta",
   TRUE,           "Revisar")</f>
        <v>Bueno</v>
      </c>
      <c r="J500" s="28">
        <f t="shared" si="7"/>
        <v>730000</v>
      </c>
    </row>
    <row r="501" spans="1:10" ht="18" customHeight="1" x14ac:dyDescent="0.3">
      <c r="A501" s="25" t="s">
        <v>1051</v>
      </c>
      <c r="B501" s="8" t="s">
        <v>1052</v>
      </c>
      <c r="C501" s="25" t="s">
        <v>63</v>
      </c>
      <c r="D501" s="25" t="s">
        <v>64</v>
      </c>
      <c r="E501" s="9">
        <v>9400000</v>
      </c>
      <c r="F501" s="26">
        <v>0.51</v>
      </c>
      <c r="G501" s="25">
        <v>78</v>
      </c>
      <c r="H501" s="27">
        <v>2.9</v>
      </c>
      <c r="I501" s="24" t="str" cm="1">
        <f t="array" ref="I501">_xlfn.IFS(
   AND(F501&gt;=0,9, G501&gt;=85), "Excelente",
   AND(F501&gt;=0,8, G501&gt;=70), "Bueno",
   OR(F501&lt;0,6,  G501&lt;50),  "Alerta",
   TRUE,           "Revisar")</f>
        <v>Bueno</v>
      </c>
      <c r="J501" s="28">
        <f t="shared" si="7"/>
        <v>940000</v>
      </c>
    </row>
    <row r="502" spans="1:10" ht="18" customHeight="1" x14ac:dyDescent="0.3">
      <c r="A502" s="18" t="s">
        <v>1053</v>
      </c>
      <c r="B502" s="5" t="s">
        <v>1054</v>
      </c>
      <c r="C502" s="18" t="s">
        <v>59</v>
      </c>
      <c r="D502" s="18" t="s">
        <v>114</v>
      </c>
      <c r="E502" s="6">
        <v>6400000</v>
      </c>
      <c r="F502" s="19">
        <v>0.83</v>
      </c>
      <c r="G502" s="18">
        <v>48</v>
      </c>
      <c r="H502" s="20">
        <v>16.8</v>
      </c>
      <c r="I502" s="24" t="str" cm="1">
        <f t="array" ref="I502">_xlfn.IFS(
   AND(F502&gt;=0,9, G502&gt;=85), "Excelente",
   AND(F502&gt;=0,8, G502&gt;=70), "Bueno",
   OR(F502&lt;0,6,  G502&lt;50),  "Alerta",
   TRUE,           "Revisar")</f>
        <v>Alerta</v>
      </c>
      <c r="J502" s="28">
        <f t="shared" si="7"/>
        <v>0</v>
      </c>
    </row>
    <row r="503" spans="1:10" ht="18" customHeight="1" x14ac:dyDescent="0.3">
      <c r="A503" s="25" t="s">
        <v>1055</v>
      </c>
      <c r="B503" s="8" t="s">
        <v>1056</v>
      </c>
      <c r="C503" s="25" t="s">
        <v>81</v>
      </c>
      <c r="D503" s="25" t="s">
        <v>105</v>
      </c>
      <c r="E503" s="9">
        <v>4100000</v>
      </c>
      <c r="F503" s="26">
        <v>0.79</v>
      </c>
      <c r="G503" s="25">
        <v>58</v>
      </c>
      <c r="H503" s="27">
        <v>14.8</v>
      </c>
      <c r="I503" s="24" t="str" cm="1">
        <f t="array" ref="I503">_xlfn.IFS(
   AND(F503&gt;=0,9, G503&gt;=85), "Excelente",
   AND(F503&gt;=0,8, G503&gt;=70), "Bueno",
   OR(F503&lt;0,6,  G503&lt;50),  "Alerta",
   TRUE,           "Revisar")</f>
        <v>Alerta</v>
      </c>
      <c r="J503" s="28">
        <f t="shared" si="7"/>
        <v>0</v>
      </c>
    </row>
    <row r="504" spans="1:10" ht="18" customHeight="1" x14ac:dyDescent="0.3">
      <c r="A504" s="18" t="s">
        <v>1057</v>
      </c>
      <c r="B504" s="5" t="s">
        <v>1058</v>
      </c>
      <c r="C504" s="18" t="s">
        <v>67</v>
      </c>
      <c r="D504" s="18" t="s">
        <v>88</v>
      </c>
      <c r="E504" s="6">
        <v>11600000</v>
      </c>
      <c r="F504" s="19">
        <v>0.82</v>
      </c>
      <c r="G504" s="18">
        <v>78</v>
      </c>
      <c r="H504" s="20">
        <v>7.8</v>
      </c>
      <c r="I504" s="24" t="str" cm="1">
        <f t="array" ref="I504">_xlfn.IFS(
   AND(F504&gt;=0,9, G504&gt;=85), "Excelente",
   AND(F504&gt;=0,8, G504&gt;=70), "Bueno",
   OR(F504&lt;0,6,  G504&lt;50),  "Alerta",
   TRUE,           "Revisar")</f>
        <v>Bueno</v>
      </c>
      <c r="J504" s="28">
        <f t="shared" si="7"/>
        <v>1160000</v>
      </c>
    </row>
    <row r="505" spans="1:10" ht="18" customHeight="1" x14ac:dyDescent="0.3">
      <c r="A505" s="25" t="s">
        <v>1059</v>
      </c>
      <c r="B505" s="8" t="s">
        <v>1060</v>
      </c>
      <c r="C505" s="25" t="s">
        <v>91</v>
      </c>
      <c r="D505" s="25" t="s">
        <v>64</v>
      </c>
      <c r="E505" s="9">
        <v>6000000</v>
      </c>
      <c r="F505" s="26">
        <v>0.56000000000000005</v>
      </c>
      <c r="G505" s="25">
        <v>86</v>
      </c>
      <c r="H505" s="27">
        <v>16.600000000000001</v>
      </c>
      <c r="I505" s="24" t="str" cm="1">
        <f t="array" ref="I505">_xlfn.IFS(
   AND(F505&gt;=0,9, G505&gt;=85), "Excelente",
   AND(F505&gt;=0,8, G505&gt;=70), "Bueno",
   OR(F505&lt;0,6,  G505&lt;50),  "Alerta",
   TRUE,           "Revisar")</f>
        <v>Excelente</v>
      </c>
      <c r="J505" s="28">
        <f t="shared" si="7"/>
        <v>600000</v>
      </c>
    </row>
    <row r="506" spans="1:10" ht="18" customHeight="1" x14ac:dyDescent="0.3">
      <c r="A506" s="18" t="s">
        <v>1061</v>
      </c>
      <c r="B506" s="5" t="s">
        <v>1062</v>
      </c>
      <c r="C506" s="18" t="s">
        <v>67</v>
      </c>
      <c r="D506" s="18" t="s">
        <v>88</v>
      </c>
      <c r="E506" s="6">
        <v>8500000</v>
      </c>
      <c r="F506" s="19">
        <v>0.55000000000000004</v>
      </c>
      <c r="G506" s="18">
        <v>39</v>
      </c>
      <c r="H506" s="20">
        <v>3.7</v>
      </c>
      <c r="I506" s="24" t="str" cm="1">
        <f t="array" ref="I506">_xlfn.IFS(
   AND(F506&gt;=0,9, G506&gt;=85), "Excelente",
   AND(F506&gt;=0,8, G506&gt;=70), "Bueno",
   OR(F506&lt;0,6,  G506&lt;50),  "Alerta",
   TRUE,           "Revisar")</f>
        <v>Alerta</v>
      </c>
      <c r="J506" s="28">
        <f t="shared" si="7"/>
        <v>0</v>
      </c>
    </row>
    <row r="507" spans="1:10" ht="18" customHeight="1" x14ac:dyDescent="0.3">
      <c r="A507" s="25" t="s">
        <v>1063</v>
      </c>
      <c r="B507" s="8" t="s">
        <v>1064</v>
      </c>
      <c r="C507" s="25" t="s">
        <v>74</v>
      </c>
      <c r="D507" s="25" t="s">
        <v>68</v>
      </c>
      <c r="E507" s="9">
        <v>3300000</v>
      </c>
      <c r="F507" s="26">
        <v>0.69</v>
      </c>
      <c r="G507" s="25">
        <v>63</v>
      </c>
      <c r="H507" s="27">
        <v>2.6</v>
      </c>
      <c r="I507" s="24" t="str" cm="1">
        <f t="array" ref="I507">_xlfn.IFS(
   AND(F507&gt;=0,9, G507&gt;=85), "Excelente",
   AND(F507&gt;=0,8, G507&gt;=70), "Bueno",
   OR(F507&lt;0,6,  G507&lt;50),  "Alerta",
   TRUE,           "Revisar")</f>
        <v>Alerta</v>
      </c>
      <c r="J507" s="28">
        <f t="shared" si="7"/>
        <v>0</v>
      </c>
    </row>
    <row r="508" spans="1:10" ht="18" customHeight="1" x14ac:dyDescent="0.3">
      <c r="A508" s="18" t="s">
        <v>1065</v>
      </c>
      <c r="B508" s="5" t="s">
        <v>1066</v>
      </c>
      <c r="C508" s="18" t="s">
        <v>59</v>
      </c>
      <c r="D508" s="18" t="s">
        <v>64</v>
      </c>
      <c r="E508" s="6">
        <v>7000000</v>
      </c>
      <c r="F508" s="19">
        <v>0.71</v>
      </c>
      <c r="G508" s="18">
        <v>49</v>
      </c>
      <c r="H508" s="20">
        <v>0.8</v>
      </c>
      <c r="I508" s="24" t="str" cm="1">
        <f t="array" ref="I508">_xlfn.IFS(
   AND(F508&gt;=0,9, G508&gt;=85), "Excelente",
   AND(F508&gt;=0,8, G508&gt;=70), "Bueno",
   OR(F508&lt;0,6,  G508&lt;50),  "Alerta",
   TRUE,           "Revisar")</f>
        <v>Alerta</v>
      </c>
      <c r="J508" s="28">
        <f t="shared" si="7"/>
        <v>0</v>
      </c>
    </row>
    <row r="509" spans="1:10" ht="18" customHeight="1" x14ac:dyDescent="0.3">
      <c r="A509" s="25" t="s">
        <v>1067</v>
      </c>
      <c r="B509" s="8" t="s">
        <v>1068</v>
      </c>
      <c r="C509" s="25" t="s">
        <v>91</v>
      </c>
      <c r="D509" s="25" t="s">
        <v>88</v>
      </c>
      <c r="E509" s="9">
        <v>9000000</v>
      </c>
      <c r="F509" s="26">
        <v>0.88</v>
      </c>
      <c r="G509" s="25">
        <v>100</v>
      </c>
      <c r="H509" s="27">
        <v>7.2</v>
      </c>
      <c r="I509" s="24" t="str" cm="1">
        <f t="array" ref="I509">_xlfn.IFS(
   AND(F509&gt;=0,9, G509&gt;=85), "Excelente",
   AND(F509&gt;=0,8, G509&gt;=70), "Bueno",
   OR(F509&lt;0,6,  G509&lt;50),  "Alerta",
   TRUE,           "Revisar")</f>
        <v>Excelente</v>
      </c>
      <c r="J509" s="28">
        <f t="shared" si="7"/>
        <v>900000</v>
      </c>
    </row>
    <row r="510" spans="1:10" ht="18" customHeight="1" x14ac:dyDescent="0.3">
      <c r="A510" s="18" t="s">
        <v>1069</v>
      </c>
      <c r="B510" s="5" t="s">
        <v>1070</v>
      </c>
      <c r="C510" s="18" t="s">
        <v>67</v>
      </c>
      <c r="D510" s="18" t="s">
        <v>114</v>
      </c>
      <c r="E510" s="6">
        <v>9400000</v>
      </c>
      <c r="F510" s="19">
        <v>0.49</v>
      </c>
      <c r="G510" s="18">
        <v>94</v>
      </c>
      <c r="H510" s="20">
        <v>3.2</v>
      </c>
      <c r="I510" s="24" t="str" cm="1">
        <f t="array" ref="I510">_xlfn.IFS(
   AND(F510&gt;=0,9, G510&gt;=85), "Excelente",
   AND(F510&gt;=0,8, G510&gt;=70), "Bueno",
   OR(F510&lt;0,6,  G510&lt;50),  "Alerta",
   TRUE,           "Revisar")</f>
        <v>Excelente</v>
      </c>
      <c r="J510" s="28">
        <f t="shared" si="7"/>
        <v>940000</v>
      </c>
    </row>
    <row r="511" spans="1:10" ht="18" customHeight="1" x14ac:dyDescent="0.3">
      <c r="A511" s="25" t="s">
        <v>1071</v>
      </c>
      <c r="B511" s="8" t="s">
        <v>1072</v>
      </c>
      <c r="C511" s="25" t="s">
        <v>63</v>
      </c>
      <c r="D511" s="25" t="s">
        <v>78</v>
      </c>
      <c r="E511" s="9">
        <v>7200000</v>
      </c>
      <c r="F511" s="26">
        <v>0.56999999999999995</v>
      </c>
      <c r="G511" s="25">
        <v>57</v>
      </c>
      <c r="H511" s="27">
        <v>13.3</v>
      </c>
      <c r="I511" s="24" t="str" cm="1">
        <f t="array" ref="I511">_xlfn.IFS(
   AND(F511&gt;=0,9, G511&gt;=85), "Excelente",
   AND(F511&gt;=0,8, G511&gt;=70), "Bueno",
   OR(F511&lt;0,6,  G511&lt;50),  "Alerta",
   TRUE,           "Revisar")</f>
        <v>Alerta</v>
      </c>
      <c r="J511" s="28">
        <f t="shared" si="7"/>
        <v>0</v>
      </c>
    </row>
    <row r="512" spans="1:10" ht="18" customHeight="1" x14ac:dyDescent="0.3">
      <c r="A512" s="18" t="s">
        <v>1073</v>
      </c>
      <c r="B512" s="5" t="s">
        <v>1074</v>
      </c>
      <c r="C512" s="18" t="s">
        <v>59</v>
      </c>
      <c r="D512" s="18" t="s">
        <v>60</v>
      </c>
      <c r="E512" s="6">
        <v>10700000</v>
      </c>
      <c r="F512" s="19">
        <v>0.74</v>
      </c>
      <c r="G512" s="18">
        <v>31</v>
      </c>
      <c r="H512" s="20">
        <v>2.2999999999999998</v>
      </c>
      <c r="I512" s="24" t="str" cm="1">
        <f t="array" ref="I512">_xlfn.IFS(
   AND(F512&gt;=0,9, G512&gt;=85), "Excelente",
   AND(F512&gt;=0,8, G512&gt;=70), "Bueno",
   OR(F512&lt;0,6,  G512&lt;50),  "Alerta",
   TRUE,           "Revisar")</f>
        <v>Alerta</v>
      </c>
      <c r="J512" s="28">
        <f t="shared" si="7"/>
        <v>0</v>
      </c>
    </row>
    <row r="513" spans="1:10" ht="18" customHeight="1" x14ac:dyDescent="0.3">
      <c r="A513" s="25" t="s">
        <v>1075</v>
      </c>
      <c r="B513" s="8" t="s">
        <v>1076</v>
      </c>
      <c r="C513" s="25" t="s">
        <v>67</v>
      </c>
      <c r="D513" s="25" t="s">
        <v>60</v>
      </c>
      <c r="E513" s="9">
        <v>3300000</v>
      </c>
      <c r="F513" s="26">
        <v>0.83</v>
      </c>
      <c r="G513" s="25">
        <v>71</v>
      </c>
      <c r="H513" s="27">
        <v>7.6</v>
      </c>
      <c r="I513" s="24" t="str" cm="1">
        <f t="array" ref="I513">_xlfn.IFS(
   AND(F513&gt;=0,9, G513&gt;=85), "Excelente",
   AND(F513&gt;=0,8, G513&gt;=70), "Bueno",
   OR(F513&lt;0,6,  G513&lt;50),  "Alerta",
   TRUE,           "Revisar")</f>
        <v>Bueno</v>
      </c>
      <c r="J513" s="28">
        <f t="shared" si="7"/>
        <v>330000</v>
      </c>
    </row>
    <row r="514" spans="1:10" ht="18" customHeight="1" x14ac:dyDescent="0.3">
      <c r="A514" s="18" t="s">
        <v>1077</v>
      </c>
      <c r="B514" s="5" t="s">
        <v>1078</v>
      </c>
      <c r="C514" s="18" t="s">
        <v>59</v>
      </c>
      <c r="D514" s="18" t="s">
        <v>64</v>
      </c>
      <c r="E514" s="6">
        <v>9400000</v>
      </c>
      <c r="F514" s="19">
        <v>0.9</v>
      </c>
      <c r="G514" s="18">
        <v>77</v>
      </c>
      <c r="H514" s="20">
        <v>10.3</v>
      </c>
      <c r="I514" s="24" t="str" cm="1">
        <f t="array" ref="I514">_xlfn.IFS(
   AND(F514&gt;=0,9, G514&gt;=85), "Excelente",
   AND(F514&gt;=0,8, G514&gt;=70), "Bueno",
   OR(F514&lt;0,6,  G514&lt;50),  "Alerta",
   TRUE,           "Revisar")</f>
        <v>Bueno</v>
      </c>
      <c r="J514" s="28">
        <f t="shared" si="7"/>
        <v>940000</v>
      </c>
    </row>
    <row r="515" spans="1:10" ht="18" customHeight="1" x14ac:dyDescent="0.3">
      <c r="A515" s="25" t="s">
        <v>1079</v>
      </c>
      <c r="B515" s="8" t="s">
        <v>1080</v>
      </c>
      <c r="C515" s="25" t="s">
        <v>59</v>
      </c>
      <c r="D515" s="25" t="s">
        <v>60</v>
      </c>
      <c r="E515" s="9">
        <v>6900000</v>
      </c>
      <c r="F515" s="26">
        <v>0.73</v>
      </c>
      <c r="G515" s="25">
        <v>42</v>
      </c>
      <c r="H515" s="27">
        <v>3.3</v>
      </c>
      <c r="I515" s="24" t="str" cm="1">
        <f t="array" ref="I515">_xlfn.IFS(
   AND(F515&gt;=0,9, G515&gt;=85), "Excelente",
   AND(F515&gt;=0,8, G515&gt;=70), "Bueno",
   OR(F515&lt;0,6,  G515&lt;50),  "Alerta",
   TRUE,           "Revisar")</f>
        <v>Alerta</v>
      </c>
      <c r="J515" s="28">
        <f t="shared" si="7"/>
        <v>0</v>
      </c>
    </row>
    <row r="516" spans="1:10" ht="18" customHeight="1" x14ac:dyDescent="0.3">
      <c r="A516" s="18" t="s">
        <v>1081</v>
      </c>
      <c r="B516" s="5" t="s">
        <v>1082</v>
      </c>
      <c r="C516" s="18" t="s">
        <v>74</v>
      </c>
      <c r="D516" s="18" t="s">
        <v>60</v>
      </c>
      <c r="E516" s="6">
        <v>11300000</v>
      </c>
      <c r="F516" s="19">
        <v>0.8</v>
      </c>
      <c r="G516" s="18">
        <v>57</v>
      </c>
      <c r="H516" s="20">
        <v>17.3</v>
      </c>
      <c r="I516" s="24" t="str" cm="1">
        <f t="array" ref="I516">_xlfn.IFS(
   AND(F516&gt;=0,9, G516&gt;=85), "Excelente",
   AND(F516&gt;=0,8, G516&gt;=70), "Bueno",
   OR(F516&lt;0,6,  G516&lt;50),  "Alerta",
   TRUE,           "Revisar")</f>
        <v>Alerta</v>
      </c>
      <c r="J516" s="28">
        <f t="shared" si="7"/>
        <v>0</v>
      </c>
    </row>
    <row r="517" spans="1:10" ht="18" customHeight="1" x14ac:dyDescent="0.3">
      <c r="A517" s="25" t="s">
        <v>1083</v>
      </c>
      <c r="B517" s="8" t="s">
        <v>1084</v>
      </c>
      <c r="C517" s="25" t="s">
        <v>63</v>
      </c>
      <c r="D517" s="25" t="s">
        <v>78</v>
      </c>
      <c r="E517" s="9">
        <v>11500000</v>
      </c>
      <c r="F517" s="26">
        <v>0.53</v>
      </c>
      <c r="G517" s="25">
        <v>88</v>
      </c>
      <c r="H517" s="27">
        <v>14.3</v>
      </c>
      <c r="I517" s="24" t="str" cm="1">
        <f t="array" ref="I517">_xlfn.IFS(
   AND(F517&gt;=0,9, G517&gt;=85), "Excelente",
   AND(F517&gt;=0,8, G517&gt;=70), "Bueno",
   OR(F517&lt;0,6,  G517&lt;50),  "Alerta",
   TRUE,           "Revisar")</f>
        <v>Excelente</v>
      </c>
      <c r="J517" s="28">
        <f t="shared" si="7"/>
        <v>1150000</v>
      </c>
    </row>
    <row r="518" spans="1:10" ht="18" customHeight="1" x14ac:dyDescent="0.3">
      <c r="A518" s="18" t="s">
        <v>1085</v>
      </c>
      <c r="B518" s="5" t="s">
        <v>1086</v>
      </c>
      <c r="C518" s="18" t="s">
        <v>74</v>
      </c>
      <c r="D518" s="18" t="s">
        <v>64</v>
      </c>
      <c r="E518" s="6">
        <v>5000000</v>
      </c>
      <c r="F518" s="19">
        <v>0.89</v>
      </c>
      <c r="G518" s="18">
        <v>39</v>
      </c>
      <c r="H518" s="20">
        <v>11.5</v>
      </c>
      <c r="I518" s="24" t="str" cm="1">
        <f t="array" ref="I518">_xlfn.IFS(
   AND(F518&gt;=0,9, G518&gt;=85), "Excelente",
   AND(F518&gt;=0,8, G518&gt;=70), "Bueno",
   OR(F518&lt;0,6,  G518&lt;50),  "Alerta",
   TRUE,           "Revisar")</f>
        <v>Alerta</v>
      </c>
      <c r="J518" s="28">
        <f t="shared" si="7"/>
        <v>0</v>
      </c>
    </row>
    <row r="519" spans="1:10" ht="18" customHeight="1" x14ac:dyDescent="0.3">
      <c r="A519" s="25" t="s">
        <v>1087</v>
      </c>
      <c r="B519" s="8" t="s">
        <v>1088</v>
      </c>
      <c r="C519" s="25" t="s">
        <v>59</v>
      </c>
      <c r="D519" s="25" t="s">
        <v>68</v>
      </c>
      <c r="E519" s="9">
        <v>7700000</v>
      </c>
      <c r="F519" s="26">
        <v>0.7</v>
      </c>
      <c r="G519" s="25">
        <v>81</v>
      </c>
      <c r="H519" s="27">
        <v>8.6999999999999993</v>
      </c>
      <c r="I519" s="24" t="str" cm="1">
        <f t="array" ref="I519">_xlfn.IFS(
   AND(F519&gt;=0,9, G519&gt;=85), "Excelente",
   AND(F519&gt;=0,8, G519&gt;=70), "Bueno",
   OR(F519&lt;0,6,  G519&lt;50),  "Alerta",
   TRUE,           "Revisar")</f>
        <v>Bueno</v>
      </c>
      <c r="J519" s="28">
        <f t="shared" si="7"/>
        <v>770000</v>
      </c>
    </row>
    <row r="520" spans="1:10" ht="18" customHeight="1" x14ac:dyDescent="0.3">
      <c r="A520" s="18" t="s">
        <v>1089</v>
      </c>
      <c r="B520" s="5" t="s">
        <v>1090</v>
      </c>
      <c r="C520" s="18" t="s">
        <v>91</v>
      </c>
      <c r="D520" s="18" t="s">
        <v>78</v>
      </c>
      <c r="E520" s="6">
        <v>10200000</v>
      </c>
      <c r="F520" s="19">
        <v>0.48</v>
      </c>
      <c r="G520" s="18">
        <v>39</v>
      </c>
      <c r="H520" s="20">
        <v>7.2</v>
      </c>
      <c r="I520" s="24" t="str" cm="1">
        <f t="array" ref="I520">_xlfn.IFS(
   AND(F520&gt;=0,9, G520&gt;=85), "Excelente",
   AND(F520&gt;=0,8, G520&gt;=70), "Bueno",
   OR(F520&lt;0,6,  G520&lt;50),  "Alerta",
   TRUE,           "Revisar")</f>
        <v>Alerta</v>
      </c>
      <c r="J520" s="28">
        <f t="shared" si="7"/>
        <v>0</v>
      </c>
    </row>
    <row r="521" spans="1:10" ht="18" customHeight="1" x14ac:dyDescent="0.3">
      <c r="A521" s="25" t="s">
        <v>1091</v>
      </c>
      <c r="B521" s="8" t="s">
        <v>1092</v>
      </c>
      <c r="C521" s="25" t="s">
        <v>59</v>
      </c>
      <c r="D521" s="25" t="s">
        <v>78</v>
      </c>
      <c r="E521" s="9">
        <v>6400000</v>
      </c>
      <c r="F521" s="26">
        <v>0.87</v>
      </c>
      <c r="G521" s="25">
        <v>86</v>
      </c>
      <c r="H521" s="27">
        <v>7.6</v>
      </c>
      <c r="I521" s="24" t="str" cm="1">
        <f t="array" ref="I521">_xlfn.IFS(
   AND(F521&gt;=0,9, G521&gt;=85), "Excelente",
   AND(F521&gt;=0,8, G521&gt;=70), "Bueno",
   OR(F521&lt;0,6,  G521&lt;50),  "Alerta",
   TRUE,           "Revisar")</f>
        <v>Excelente</v>
      </c>
      <c r="J521" s="28">
        <f t="shared" si="7"/>
        <v>640000</v>
      </c>
    </row>
    <row r="522" spans="1:10" ht="18" customHeight="1" x14ac:dyDescent="0.3">
      <c r="A522" s="18" t="s">
        <v>1093</v>
      </c>
      <c r="B522" s="5" t="s">
        <v>1094</v>
      </c>
      <c r="C522" s="18" t="s">
        <v>63</v>
      </c>
      <c r="D522" s="18" t="s">
        <v>88</v>
      </c>
      <c r="E522" s="6">
        <v>10900000</v>
      </c>
      <c r="F522" s="19">
        <v>0.53</v>
      </c>
      <c r="G522" s="18">
        <v>77</v>
      </c>
      <c r="H522" s="20">
        <v>19.100000000000001</v>
      </c>
      <c r="I522" s="24" t="str" cm="1">
        <f t="array" ref="I522">_xlfn.IFS(
   AND(F522&gt;=0,9, G522&gt;=85), "Excelente",
   AND(F522&gt;=0,8, G522&gt;=70), "Bueno",
   OR(F522&lt;0,6,  G522&lt;50),  "Alerta",
   TRUE,           "Revisar")</f>
        <v>Bueno</v>
      </c>
      <c r="J522" s="28">
        <f t="shared" si="7"/>
        <v>1090000</v>
      </c>
    </row>
    <row r="523" spans="1:10" ht="18" customHeight="1" x14ac:dyDescent="0.3">
      <c r="A523" s="25" t="s">
        <v>1095</v>
      </c>
      <c r="B523" s="8" t="s">
        <v>1096</v>
      </c>
      <c r="C523" s="25" t="s">
        <v>71</v>
      </c>
      <c r="D523" s="25" t="s">
        <v>78</v>
      </c>
      <c r="E523" s="9">
        <v>3300000</v>
      </c>
      <c r="F523" s="26">
        <v>0.45</v>
      </c>
      <c r="G523" s="25">
        <v>80</v>
      </c>
      <c r="H523" s="27">
        <v>10.7</v>
      </c>
      <c r="I523" s="24" t="str" cm="1">
        <f t="array" ref="I523">_xlfn.IFS(
   AND(F523&gt;=0,9, G523&gt;=85), "Excelente",
   AND(F523&gt;=0,8, G523&gt;=70), "Bueno",
   OR(F523&lt;0,6,  G523&lt;50),  "Alerta",
   TRUE,           "Revisar")</f>
        <v>Bueno</v>
      </c>
      <c r="J523" s="28">
        <f t="shared" si="7"/>
        <v>330000</v>
      </c>
    </row>
    <row r="524" spans="1:10" ht="18" customHeight="1" x14ac:dyDescent="0.3">
      <c r="A524" s="18" t="s">
        <v>1097</v>
      </c>
      <c r="B524" s="5" t="s">
        <v>1098</v>
      </c>
      <c r="C524" s="18" t="s">
        <v>81</v>
      </c>
      <c r="D524" s="18" t="s">
        <v>60</v>
      </c>
      <c r="E524" s="6">
        <v>8000000</v>
      </c>
      <c r="F524" s="19">
        <v>0.95</v>
      </c>
      <c r="G524" s="18">
        <v>95</v>
      </c>
      <c r="H524" s="20">
        <v>2.8</v>
      </c>
      <c r="I524" s="24" t="str" cm="1">
        <f t="array" ref="I524">_xlfn.IFS(
   AND(F524&gt;=0,9, G524&gt;=85), "Excelente",
   AND(F524&gt;=0,8, G524&gt;=70), "Bueno",
   OR(F524&lt;0,6,  G524&lt;50),  "Alerta",
   TRUE,           "Revisar")</f>
        <v>Excelente</v>
      </c>
      <c r="J524" s="28">
        <f t="shared" ref="J524:J587" si="8">IF(OR(I524="Excelente",I524="Bueno"),E524*0.1,0)</f>
        <v>800000</v>
      </c>
    </row>
    <row r="525" spans="1:10" ht="18" customHeight="1" x14ac:dyDescent="0.3">
      <c r="A525" s="25" t="s">
        <v>1099</v>
      </c>
      <c r="B525" s="8" t="s">
        <v>1100</v>
      </c>
      <c r="C525" s="25" t="s">
        <v>59</v>
      </c>
      <c r="D525" s="25" t="s">
        <v>60</v>
      </c>
      <c r="E525" s="9">
        <v>4200000</v>
      </c>
      <c r="F525" s="26">
        <v>0.55000000000000004</v>
      </c>
      <c r="G525" s="25">
        <v>36</v>
      </c>
      <c r="H525" s="27">
        <v>17</v>
      </c>
      <c r="I525" s="24" t="str" cm="1">
        <f t="array" ref="I525">_xlfn.IFS(
   AND(F525&gt;=0,9, G525&gt;=85), "Excelente",
   AND(F525&gt;=0,8, G525&gt;=70), "Bueno",
   OR(F525&lt;0,6,  G525&lt;50),  "Alerta",
   TRUE,           "Revisar")</f>
        <v>Alerta</v>
      </c>
      <c r="J525" s="28">
        <f t="shared" si="8"/>
        <v>0</v>
      </c>
    </row>
    <row r="526" spans="1:10" ht="18" customHeight="1" x14ac:dyDescent="0.3">
      <c r="A526" s="18" t="s">
        <v>1101</v>
      </c>
      <c r="B526" s="5" t="s">
        <v>1102</v>
      </c>
      <c r="C526" s="18" t="s">
        <v>59</v>
      </c>
      <c r="D526" s="18" t="s">
        <v>78</v>
      </c>
      <c r="E526" s="6">
        <v>6000000</v>
      </c>
      <c r="F526" s="19">
        <v>0.5</v>
      </c>
      <c r="G526" s="18">
        <v>92</v>
      </c>
      <c r="H526" s="20">
        <v>19</v>
      </c>
      <c r="I526" s="24" t="str" cm="1">
        <f t="array" ref="I526">_xlfn.IFS(
   AND(F526&gt;=0,9, G526&gt;=85), "Excelente",
   AND(F526&gt;=0,8, G526&gt;=70), "Bueno",
   OR(F526&lt;0,6,  G526&lt;50),  "Alerta",
   TRUE,           "Revisar")</f>
        <v>Excelente</v>
      </c>
      <c r="J526" s="28">
        <f t="shared" si="8"/>
        <v>600000</v>
      </c>
    </row>
    <row r="527" spans="1:10" ht="18" customHeight="1" x14ac:dyDescent="0.3">
      <c r="A527" s="25" t="s">
        <v>1103</v>
      </c>
      <c r="B527" s="8" t="s">
        <v>1104</v>
      </c>
      <c r="C527" s="25" t="s">
        <v>74</v>
      </c>
      <c r="D527" s="25" t="s">
        <v>60</v>
      </c>
      <c r="E527" s="9">
        <v>6800000</v>
      </c>
      <c r="F527" s="26">
        <v>0.72</v>
      </c>
      <c r="G527" s="25">
        <v>72</v>
      </c>
      <c r="H527" s="27">
        <v>12.3</v>
      </c>
      <c r="I527" s="24" t="str" cm="1">
        <f t="array" ref="I527">_xlfn.IFS(
   AND(F527&gt;=0,9, G527&gt;=85), "Excelente",
   AND(F527&gt;=0,8, G527&gt;=70), "Bueno",
   OR(F527&lt;0,6,  G527&lt;50),  "Alerta",
   TRUE,           "Revisar")</f>
        <v>Bueno</v>
      </c>
      <c r="J527" s="28">
        <f t="shared" si="8"/>
        <v>680000</v>
      </c>
    </row>
    <row r="528" spans="1:10" ht="18" customHeight="1" x14ac:dyDescent="0.3">
      <c r="A528" s="18" t="s">
        <v>1105</v>
      </c>
      <c r="B528" s="5" t="s">
        <v>1106</v>
      </c>
      <c r="C528" s="18" t="s">
        <v>71</v>
      </c>
      <c r="D528" s="18" t="s">
        <v>92</v>
      </c>
      <c r="E528" s="6">
        <v>6800000</v>
      </c>
      <c r="F528" s="19">
        <v>0.98</v>
      </c>
      <c r="G528" s="18">
        <v>51</v>
      </c>
      <c r="H528" s="20">
        <v>0.1</v>
      </c>
      <c r="I528" s="24" t="str" cm="1">
        <f t="array" ref="I528">_xlfn.IFS(
   AND(F528&gt;=0,9, G528&gt;=85), "Excelente",
   AND(F528&gt;=0,8, G528&gt;=70), "Bueno",
   OR(F528&lt;0,6,  G528&lt;50),  "Alerta",
   TRUE,           "Revisar")</f>
        <v>Alerta</v>
      </c>
      <c r="J528" s="28">
        <f t="shared" si="8"/>
        <v>0</v>
      </c>
    </row>
    <row r="529" spans="1:10" ht="18" customHeight="1" x14ac:dyDescent="0.3">
      <c r="A529" s="25" t="s">
        <v>1107</v>
      </c>
      <c r="B529" s="8" t="s">
        <v>1108</v>
      </c>
      <c r="C529" s="25" t="s">
        <v>67</v>
      </c>
      <c r="D529" s="25" t="s">
        <v>68</v>
      </c>
      <c r="E529" s="9">
        <v>6300000</v>
      </c>
      <c r="F529" s="26">
        <v>0.91</v>
      </c>
      <c r="G529" s="25">
        <v>47</v>
      </c>
      <c r="H529" s="27">
        <v>13.6</v>
      </c>
      <c r="I529" s="24" t="str" cm="1">
        <f t="array" ref="I529">_xlfn.IFS(
   AND(F529&gt;=0,9, G529&gt;=85), "Excelente",
   AND(F529&gt;=0,8, G529&gt;=70), "Bueno",
   OR(F529&lt;0,6,  G529&lt;50),  "Alerta",
   TRUE,           "Revisar")</f>
        <v>Alerta</v>
      </c>
      <c r="J529" s="28">
        <f t="shared" si="8"/>
        <v>0</v>
      </c>
    </row>
    <row r="530" spans="1:10" ht="18" customHeight="1" x14ac:dyDescent="0.3">
      <c r="A530" s="18" t="s">
        <v>1109</v>
      </c>
      <c r="B530" s="5" t="s">
        <v>1110</v>
      </c>
      <c r="C530" s="18" t="s">
        <v>77</v>
      </c>
      <c r="D530" s="18" t="s">
        <v>105</v>
      </c>
      <c r="E530" s="6">
        <v>8500000</v>
      </c>
      <c r="F530" s="19">
        <v>0.65</v>
      </c>
      <c r="G530" s="18">
        <v>69</v>
      </c>
      <c r="H530" s="20">
        <v>9.6999999999999993</v>
      </c>
      <c r="I530" s="24" t="str" cm="1">
        <f t="array" ref="I530">_xlfn.IFS(
   AND(F530&gt;=0,9, G530&gt;=85), "Excelente",
   AND(F530&gt;=0,8, G530&gt;=70), "Bueno",
   OR(F530&lt;0,6,  G530&lt;50),  "Alerta",
   TRUE,           "Revisar")</f>
        <v>Alerta</v>
      </c>
      <c r="J530" s="28">
        <f t="shared" si="8"/>
        <v>0</v>
      </c>
    </row>
    <row r="531" spans="1:10" ht="18" customHeight="1" x14ac:dyDescent="0.3">
      <c r="A531" s="25" t="s">
        <v>1111</v>
      </c>
      <c r="B531" s="8" t="s">
        <v>1112</v>
      </c>
      <c r="C531" s="25" t="s">
        <v>74</v>
      </c>
      <c r="D531" s="25" t="s">
        <v>88</v>
      </c>
      <c r="E531" s="9">
        <v>4500000</v>
      </c>
      <c r="F531" s="26">
        <v>0.94</v>
      </c>
      <c r="G531" s="25">
        <v>55</v>
      </c>
      <c r="H531" s="27">
        <v>5.3</v>
      </c>
      <c r="I531" s="24" t="str" cm="1">
        <f t="array" ref="I531">_xlfn.IFS(
   AND(F531&gt;=0,9, G531&gt;=85), "Excelente",
   AND(F531&gt;=0,8, G531&gt;=70), "Bueno",
   OR(F531&lt;0,6,  G531&lt;50),  "Alerta",
   TRUE,           "Revisar")</f>
        <v>Alerta</v>
      </c>
      <c r="J531" s="28">
        <f t="shared" si="8"/>
        <v>0</v>
      </c>
    </row>
    <row r="532" spans="1:10" ht="18" customHeight="1" x14ac:dyDescent="0.3">
      <c r="A532" s="18" t="s">
        <v>1113</v>
      </c>
      <c r="B532" s="5" t="s">
        <v>1114</v>
      </c>
      <c r="C532" s="18" t="s">
        <v>74</v>
      </c>
      <c r="D532" s="18" t="s">
        <v>64</v>
      </c>
      <c r="E532" s="6">
        <v>9200000</v>
      </c>
      <c r="F532" s="19">
        <v>0.8</v>
      </c>
      <c r="G532" s="18">
        <v>81</v>
      </c>
      <c r="H532" s="20">
        <v>15.4</v>
      </c>
      <c r="I532" s="24" t="str" cm="1">
        <f t="array" ref="I532">_xlfn.IFS(
   AND(F532&gt;=0,9, G532&gt;=85), "Excelente",
   AND(F532&gt;=0,8, G532&gt;=70), "Bueno",
   OR(F532&lt;0,6,  G532&lt;50),  "Alerta",
   TRUE,           "Revisar")</f>
        <v>Bueno</v>
      </c>
      <c r="J532" s="28">
        <f t="shared" si="8"/>
        <v>920000</v>
      </c>
    </row>
    <row r="533" spans="1:10" ht="18" customHeight="1" x14ac:dyDescent="0.3">
      <c r="A533" s="25" t="s">
        <v>1115</v>
      </c>
      <c r="B533" s="8" t="s">
        <v>1116</v>
      </c>
      <c r="C533" s="25" t="s">
        <v>91</v>
      </c>
      <c r="D533" s="25" t="s">
        <v>88</v>
      </c>
      <c r="E533" s="9">
        <v>9700000</v>
      </c>
      <c r="F533" s="26">
        <v>0.94</v>
      </c>
      <c r="G533" s="25">
        <v>99</v>
      </c>
      <c r="H533" s="27">
        <v>9.4</v>
      </c>
      <c r="I533" s="24" t="str" cm="1">
        <f t="array" ref="I533">_xlfn.IFS(
   AND(F533&gt;=0,9, G533&gt;=85), "Excelente",
   AND(F533&gt;=0,8, G533&gt;=70), "Bueno",
   OR(F533&lt;0,6,  G533&lt;50),  "Alerta",
   TRUE,           "Revisar")</f>
        <v>Excelente</v>
      </c>
      <c r="J533" s="28">
        <f t="shared" si="8"/>
        <v>970000</v>
      </c>
    </row>
    <row r="534" spans="1:10" ht="18" customHeight="1" x14ac:dyDescent="0.3">
      <c r="A534" s="18" t="s">
        <v>1117</v>
      </c>
      <c r="B534" s="5" t="s">
        <v>1118</v>
      </c>
      <c r="C534" s="18" t="s">
        <v>63</v>
      </c>
      <c r="D534" s="18" t="s">
        <v>60</v>
      </c>
      <c r="E534" s="6">
        <v>10300000</v>
      </c>
      <c r="F534" s="19">
        <v>0.85</v>
      </c>
      <c r="G534" s="18">
        <v>67</v>
      </c>
      <c r="H534" s="20">
        <v>2.7</v>
      </c>
      <c r="I534" s="24" t="str" cm="1">
        <f t="array" ref="I534">_xlfn.IFS(
   AND(F534&gt;=0,9, G534&gt;=85), "Excelente",
   AND(F534&gt;=0,8, G534&gt;=70), "Bueno",
   OR(F534&lt;0,6,  G534&lt;50),  "Alerta",
   TRUE,           "Revisar")</f>
        <v>Alerta</v>
      </c>
      <c r="J534" s="28">
        <f t="shared" si="8"/>
        <v>0</v>
      </c>
    </row>
    <row r="535" spans="1:10" ht="18" customHeight="1" x14ac:dyDescent="0.3">
      <c r="A535" s="25" t="s">
        <v>1119</v>
      </c>
      <c r="B535" s="8" t="s">
        <v>1120</v>
      </c>
      <c r="C535" s="25" t="s">
        <v>74</v>
      </c>
      <c r="D535" s="25" t="s">
        <v>68</v>
      </c>
      <c r="E535" s="9">
        <v>7400000</v>
      </c>
      <c r="F535" s="26">
        <v>0.73</v>
      </c>
      <c r="G535" s="25">
        <v>60</v>
      </c>
      <c r="H535" s="27">
        <v>17</v>
      </c>
      <c r="I535" s="24" t="str" cm="1">
        <f t="array" ref="I535">_xlfn.IFS(
   AND(F535&gt;=0,9, G535&gt;=85), "Excelente",
   AND(F535&gt;=0,8, G535&gt;=70), "Bueno",
   OR(F535&lt;0,6,  G535&lt;50),  "Alerta",
   TRUE,           "Revisar")</f>
        <v>Alerta</v>
      </c>
      <c r="J535" s="28">
        <f t="shared" si="8"/>
        <v>0</v>
      </c>
    </row>
    <row r="536" spans="1:10" ht="18" customHeight="1" x14ac:dyDescent="0.3">
      <c r="A536" s="18" t="s">
        <v>1121</v>
      </c>
      <c r="B536" s="5" t="s">
        <v>1122</v>
      </c>
      <c r="C536" s="18" t="s">
        <v>71</v>
      </c>
      <c r="D536" s="18" t="s">
        <v>114</v>
      </c>
      <c r="E536" s="6">
        <v>8500000</v>
      </c>
      <c r="F536" s="19">
        <v>0.54</v>
      </c>
      <c r="G536" s="18">
        <v>48</v>
      </c>
      <c r="H536" s="20">
        <v>14.7</v>
      </c>
      <c r="I536" s="24" t="str" cm="1">
        <f t="array" ref="I536">_xlfn.IFS(
   AND(F536&gt;=0,9, G536&gt;=85), "Excelente",
   AND(F536&gt;=0,8, G536&gt;=70), "Bueno",
   OR(F536&lt;0,6,  G536&lt;50),  "Alerta",
   TRUE,           "Revisar")</f>
        <v>Alerta</v>
      </c>
      <c r="J536" s="28">
        <f t="shared" si="8"/>
        <v>0</v>
      </c>
    </row>
    <row r="537" spans="1:10" ht="18" customHeight="1" x14ac:dyDescent="0.3">
      <c r="A537" s="25" t="s">
        <v>1123</v>
      </c>
      <c r="B537" s="8" t="s">
        <v>1124</v>
      </c>
      <c r="C537" s="25" t="s">
        <v>74</v>
      </c>
      <c r="D537" s="25" t="s">
        <v>88</v>
      </c>
      <c r="E537" s="9">
        <v>7500000</v>
      </c>
      <c r="F537" s="26">
        <v>0.57999999999999996</v>
      </c>
      <c r="G537" s="25">
        <v>56</v>
      </c>
      <c r="H537" s="27">
        <v>10.4</v>
      </c>
      <c r="I537" s="24" t="str" cm="1">
        <f t="array" ref="I537">_xlfn.IFS(
   AND(F537&gt;=0,9, G537&gt;=85), "Excelente",
   AND(F537&gt;=0,8, G537&gt;=70), "Bueno",
   OR(F537&lt;0,6,  G537&lt;50),  "Alerta",
   TRUE,           "Revisar")</f>
        <v>Alerta</v>
      </c>
      <c r="J537" s="28">
        <f t="shared" si="8"/>
        <v>0</v>
      </c>
    </row>
    <row r="538" spans="1:10" ht="18" customHeight="1" x14ac:dyDescent="0.3">
      <c r="A538" s="18" t="s">
        <v>1125</v>
      </c>
      <c r="B538" s="5" t="s">
        <v>1126</v>
      </c>
      <c r="C538" s="18" t="s">
        <v>77</v>
      </c>
      <c r="D538" s="18" t="s">
        <v>105</v>
      </c>
      <c r="E538" s="6">
        <v>3300000</v>
      </c>
      <c r="F538" s="19">
        <v>0.47</v>
      </c>
      <c r="G538" s="18">
        <v>71</v>
      </c>
      <c r="H538" s="20">
        <v>2.1</v>
      </c>
      <c r="I538" s="24" t="str" cm="1">
        <f t="array" ref="I538">_xlfn.IFS(
   AND(F538&gt;=0,9, G538&gt;=85), "Excelente",
   AND(F538&gt;=0,8, G538&gt;=70), "Bueno",
   OR(F538&lt;0,6,  G538&lt;50),  "Alerta",
   TRUE,           "Revisar")</f>
        <v>Bueno</v>
      </c>
      <c r="J538" s="28">
        <f t="shared" si="8"/>
        <v>330000</v>
      </c>
    </row>
    <row r="539" spans="1:10" ht="18" customHeight="1" x14ac:dyDescent="0.3">
      <c r="A539" s="25" t="s">
        <v>1127</v>
      </c>
      <c r="B539" s="8" t="s">
        <v>1128</v>
      </c>
      <c r="C539" s="25" t="s">
        <v>59</v>
      </c>
      <c r="D539" s="25" t="s">
        <v>88</v>
      </c>
      <c r="E539" s="9">
        <v>10200000</v>
      </c>
      <c r="F539" s="26">
        <v>0.75</v>
      </c>
      <c r="G539" s="25">
        <v>52</v>
      </c>
      <c r="H539" s="27">
        <v>7.5</v>
      </c>
      <c r="I539" s="24" t="str" cm="1">
        <f t="array" ref="I539">_xlfn.IFS(
   AND(F539&gt;=0,9, G539&gt;=85), "Excelente",
   AND(F539&gt;=0,8, G539&gt;=70), "Bueno",
   OR(F539&lt;0,6,  G539&lt;50),  "Alerta",
   TRUE,           "Revisar")</f>
        <v>Alerta</v>
      </c>
      <c r="J539" s="28">
        <f t="shared" si="8"/>
        <v>0</v>
      </c>
    </row>
    <row r="540" spans="1:10" ht="18" customHeight="1" x14ac:dyDescent="0.3">
      <c r="A540" s="18" t="s">
        <v>1129</v>
      </c>
      <c r="B540" s="5" t="s">
        <v>1130</v>
      </c>
      <c r="C540" s="18" t="s">
        <v>74</v>
      </c>
      <c r="D540" s="18" t="s">
        <v>88</v>
      </c>
      <c r="E540" s="6">
        <v>7600000</v>
      </c>
      <c r="F540" s="19">
        <v>0.98</v>
      </c>
      <c r="G540" s="18">
        <v>58</v>
      </c>
      <c r="H540" s="20">
        <v>10.3</v>
      </c>
      <c r="I540" s="24" t="str" cm="1">
        <f t="array" ref="I540">_xlfn.IFS(
   AND(F540&gt;=0,9, G540&gt;=85), "Excelente",
   AND(F540&gt;=0,8, G540&gt;=70), "Bueno",
   OR(F540&lt;0,6,  G540&lt;50),  "Alerta",
   TRUE,           "Revisar")</f>
        <v>Alerta</v>
      </c>
      <c r="J540" s="28">
        <f t="shared" si="8"/>
        <v>0</v>
      </c>
    </row>
    <row r="541" spans="1:10" ht="18" customHeight="1" x14ac:dyDescent="0.3">
      <c r="A541" s="25" t="s">
        <v>1131</v>
      </c>
      <c r="B541" s="8" t="s">
        <v>1132</v>
      </c>
      <c r="C541" s="25" t="s">
        <v>81</v>
      </c>
      <c r="D541" s="25" t="s">
        <v>105</v>
      </c>
      <c r="E541" s="9">
        <v>8900000</v>
      </c>
      <c r="F541" s="26">
        <v>0.94</v>
      </c>
      <c r="G541" s="25">
        <v>30</v>
      </c>
      <c r="H541" s="27">
        <v>10</v>
      </c>
      <c r="I541" s="24" t="str" cm="1">
        <f t="array" ref="I541">_xlfn.IFS(
   AND(F541&gt;=0,9, G541&gt;=85), "Excelente",
   AND(F541&gt;=0,8, G541&gt;=70), "Bueno",
   OR(F541&lt;0,6,  G541&lt;50),  "Alerta",
   TRUE,           "Revisar")</f>
        <v>Alerta</v>
      </c>
      <c r="J541" s="28">
        <f t="shared" si="8"/>
        <v>0</v>
      </c>
    </row>
    <row r="542" spans="1:10" ht="18" customHeight="1" x14ac:dyDescent="0.3">
      <c r="A542" s="18" t="s">
        <v>1133</v>
      </c>
      <c r="B542" s="5" t="s">
        <v>1134</v>
      </c>
      <c r="C542" s="18" t="s">
        <v>71</v>
      </c>
      <c r="D542" s="18" t="s">
        <v>60</v>
      </c>
      <c r="E542" s="6">
        <v>3700000</v>
      </c>
      <c r="F542" s="19">
        <v>0.73</v>
      </c>
      <c r="G542" s="18">
        <v>65</v>
      </c>
      <c r="H542" s="20">
        <v>4.2</v>
      </c>
      <c r="I542" s="24" t="str" cm="1">
        <f t="array" ref="I542">_xlfn.IFS(
   AND(F542&gt;=0,9, G542&gt;=85), "Excelente",
   AND(F542&gt;=0,8, G542&gt;=70), "Bueno",
   OR(F542&lt;0,6,  G542&lt;50),  "Alerta",
   TRUE,           "Revisar")</f>
        <v>Alerta</v>
      </c>
      <c r="J542" s="28">
        <f t="shared" si="8"/>
        <v>0</v>
      </c>
    </row>
    <row r="543" spans="1:10" ht="18" customHeight="1" x14ac:dyDescent="0.3">
      <c r="A543" s="25" t="s">
        <v>1135</v>
      </c>
      <c r="B543" s="8" t="s">
        <v>1136</v>
      </c>
      <c r="C543" s="25" t="s">
        <v>81</v>
      </c>
      <c r="D543" s="25" t="s">
        <v>78</v>
      </c>
      <c r="E543" s="9">
        <v>11200000</v>
      </c>
      <c r="F543" s="26">
        <v>0.57999999999999996</v>
      </c>
      <c r="G543" s="25">
        <v>72</v>
      </c>
      <c r="H543" s="27">
        <v>14.4</v>
      </c>
      <c r="I543" s="24" t="str" cm="1">
        <f t="array" ref="I543">_xlfn.IFS(
   AND(F543&gt;=0,9, G543&gt;=85), "Excelente",
   AND(F543&gt;=0,8, G543&gt;=70), "Bueno",
   OR(F543&lt;0,6,  G543&lt;50),  "Alerta",
   TRUE,           "Revisar")</f>
        <v>Bueno</v>
      </c>
      <c r="J543" s="28">
        <f t="shared" si="8"/>
        <v>1120000</v>
      </c>
    </row>
    <row r="544" spans="1:10" ht="18" customHeight="1" x14ac:dyDescent="0.3">
      <c r="A544" s="18" t="s">
        <v>1137</v>
      </c>
      <c r="B544" s="5" t="s">
        <v>1138</v>
      </c>
      <c r="C544" s="18" t="s">
        <v>77</v>
      </c>
      <c r="D544" s="18" t="s">
        <v>105</v>
      </c>
      <c r="E544" s="6">
        <v>5400000</v>
      </c>
      <c r="F544" s="19">
        <v>0.77</v>
      </c>
      <c r="G544" s="18">
        <v>82</v>
      </c>
      <c r="H544" s="20">
        <v>0.4</v>
      </c>
      <c r="I544" s="24" t="str" cm="1">
        <f t="array" ref="I544">_xlfn.IFS(
   AND(F544&gt;=0,9, G544&gt;=85), "Excelente",
   AND(F544&gt;=0,8, G544&gt;=70), "Bueno",
   OR(F544&lt;0,6,  G544&lt;50),  "Alerta",
   TRUE,           "Revisar")</f>
        <v>Bueno</v>
      </c>
      <c r="J544" s="28">
        <f t="shared" si="8"/>
        <v>540000</v>
      </c>
    </row>
    <row r="545" spans="1:10" ht="18" customHeight="1" x14ac:dyDescent="0.3">
      <c r="A545" s="25" t="s">
        <v>1139</v>
      </c>
      <c r="B545" s="8" t="s">
        <v>1140</v>
      </c>
      <c r="C545" s="25" t="s">
        <v>91</v>
      </c>
      <c r="D545" s="25" t="s">
        <v>114</v>
      </c>
      <c r="E545" s="9">
        <v>3500000</v>
      </c>
      <c r="F545" s="26">
        <v>0.54</v>
      </c>
      <c r="G545" s="25">
        <v>53</v>
      </c>
      <c r="H545" s="27">
        <v>10.3</v>
      </c>
      <c r="I545" s="24" t="str" cm="1">
        <f t="array" ref="I545">_xlfn.IFS(
   AND(F545&gt;=0,9, G545&gt;=85), "Excelente",
   AND(F545&gt;=0,8, G545&gt;=70), "Bueno",
   OR(F545&lt;0,6,  G545&lt;50),  "Alerta",
   TRUE,           "Revisar")</f>
        <v>Alerta</v>
      </c>
      <c r="J545" s="28">
        <f t="shared" si="8"/>
        <v>0</v>
      </c>
    </row>
    <row r="546" spans="1:10" ht="18" customHeight="1" x14ac:dyDescent="0.3">
      <c r="A546" s="18" t="s">
        <v>1141</v>
      </c>
      <c r="B546" s="5" t="s">
        <v>1142</v>
      </c>
      <c r="C546" s="18" t="s">
        <v>91</v>
      </c>
      <c r="D546" s="18" t="s">
        <v>88</v>
      </c>
      <c r="E546" s="6">
        <v>3800000</v>
      </c>
      <c r="F546" s="19">
        <v>0.56999999999999995</v>
      </c>
      <c r="G546" s="18">
        <v>90</v>
      </c>
      <c r="H546" s="20">
        <v>17.3</v>
      </c>
      <c r="I546" s="24" t="str" cm="1">
        <f t="array" ref="I546">_xlfn.IFS(
   AND(F546&gt;=0,9, G546&gt;=85), "Excelente",
   AND(F546&gt;=0,8, G546&gt;=70), "Bueno",
   OR(F546&lt;0,6,  G546&lt;50),  "Alerta",
   TRUE,           "Revisar")</f>
        <v>Excelente</v>
      </c>
      <c r="J546" s="28">
        <f t="shared" si="8"/>
        <v>380000</v>
      </c>
    </row>
    <row r="547" spans="1:10" ht="18" customHeight="1" x14ac:dyDescent="0.3">
      <c r="A547" s="25" t="s">
        <v>1143</v>
      </c>
      <c r="B547" s="8" t="s">
        <v>1144</v>
      </c>
      <c r="C547" s="25" t="s">
        <v>63</v>
      </c>
      <c r="D547" s="25" t="s">
        <v>114</v>
      </c>
      <c r="E547" s="9">
        <v>10200000</v>
      </c>
      <c r="F547" s="26">
        <v>0.9</v>
      </c>
      <c r="G547" s="25">
        <v>53</v>
      </c>
      <c r="H547" s="27">
        <v>12.5</v>
      </c>
      <c r="I547" s="24" t="str" cm="1">
        <f t="array" ref="I547">_xlfn.IFS(
   AND(F547&gt;=0,9, G547&gt;=85), "Excelente",
   AND(F547&gt;=0,8, G547&gt;=70), "Bueno",
   OR(F547&lt;0,6,  G547&lt;50),  "Alerta",
   TRUE,           "Revisar")</f>
        <v>Alerta</v>
      </c>
      <c r="J547" s="28">
        <f t="shared" si="8"/>
        <v>0</v>
      </c>
    </row>
    <row r="548" spans="1:10" ht="18" customHeight="1" x14ac:dyDescent="0.3">
      <c r="A548" s="18" t="s">
        <v>1145</v>
      </c>
      <c r="B548" s="5" t="s">
        <v>1146</v>
      </c>
      <c r="C548" s="18" t="s">
        <v>77</v>
      </c>
      <c r="D548" s="18" t="s">
        <v>78</v>
      </c>
      <c r="E548" s="6">
        <v>5700000</v>
      </c>
      <c r="F548" s="19">
        <v>0.66</v>
      </c>
      <c r="G548" s="18">
        <v>46</v>
      </c>
      <c r="H548" s="20">
        <v>2.2000000000000002</v>
      </c>
      <c r="I548" s="24" t="str" cm="1">
        <f t="array" ref="I548">_xlfn.IFS(
   AND(F548&gt;=0,9, G548&gt;=85), "Excelente",
   AND(F548&gt;=0,8, G548&gt;=70), "Bueno",
   OR(F548&lt;0,6,  G548&lt;50),  "Alerta",
   TRUE,           "Revisar")</f>
        <v>Alerta</v>
      </c>
      <c r="J548" s="28">
        <f t="shared" si="8"/>
        <v>0</v>
      </c>
    </row>
    <row r="549" spans="1:10" ht="18" customHeight="1" x14ac:dyDescent="0.3">
      <c r="A549" s="25" t="s">
        <v>1147</v>
      </c>
      <c r="B549" s="8" t="s">
        <v>1148</v>
      </c>
      <c r="C549" s="25" t="s">
        <v>63</v>
      </c>
      <c r="D549" s="25" t="s">
        <v>114</v>
      </c>
      <c r="E549" s="9">
        <v>10500000</v>
      </c>
      <c r="F549" s="26">
        <v>0.5</v>
      </c>
      <c r="G549" s="25">
        <v>90</v>
      </c>
      <c r="H549" s="27">
        <v>18</v>
      </c>
      <c r="I549" s="24" t="str" cm="1">
        <f t="array" ref="I549">_xlfn.IFS(
   AND(F549&gt;=0,9, G549&gt;=85), "Excelente",
   AND(F549&gt;=0,8, G549&gt;=70), "Bueno",
   OR(F549&lt;0,6,  G549&lt;50),  "Alerta",
   TRUE,           "Revisar")</f>
        <v>Excelente</v>
      </c>
      <c r="J549" s="28">
        <f t="shared" si="8"/>
        <v>1050000</v>
      </c>
    </row>
    <row r="550" spans="1:10" ht="18" customHeight="1" x14ac:dyDescent="0.3">
      <c r="A550" s="18" t="s">
        <v>1149</v>
      </c>
      <c r="B550" s="5" t="s">
        <v>1150</v>
      </c>
      <c r="C550" s="18" t="s">
        <v>77</v>
      </c>
      <c r="D550" s="18" t="s">
        <v>114</v>
      </c>
      <c r="E550" s="6">
        <v>10500000</v>
      </c>
      <c r="F550" s="19">
        <v>0.75</v>
      </c>
      <c r="G550" s="18">
        <v>30</v>
      </c>
      <c r="H550" s="20">
        <v>17.899999999999999</v>
      </c>
      <c r="I550" s="24" t="str" cm="1">
        <f t="array" ref="I550">_xlfn.IFS(
   AND(F550&gt;=0,9, G550&gt;=85), "Excelente",
   AND(F550&gt;=0,8, G550&gt;=70), "Bueno",
   OR(F550&lt;0,6,  G550&lt;50),  "Alerta",
   TRUE,           "Revisar")</f>
        <v>Alerta</v>
      </c>
      <c r="J550" s="28">
        <f t="shared" si="8"/>
        <v>0</v>
      </c>
    </row>
    <row r="551" spans="1:10" ht="18" customHeight="1" x14ac:dyDescent="0.3">
      <c r="A551" s="25" t="s">
        <v>1151</v>
      </c>
      <c r="B551" s="8" t="s">
        <v>1152</v>
      </c>
      <c r="C551" s="25" t="s">
        <v>63</v>
      </c>
      <c r="D551" s="25" t="s">
        <v>60</v>
      </c>
      <c r="E551" s="9">
        <v>8900000</v>
      </c>
      <c r="F551" s="26">
        <v>0.88</v>
      </c>
      <c r="G551" s="25">
        <v>78</v>
      </c>
      <c r="H551" s="27">
        <v>7</v>
      </c>
      <c r="I551" s="24" t="str" cm="1">
        <f t="array" ref="I551">_xlfn.IFS(
   AND(F551&gt;=0,9, G551&gt;=85), "Excelente",
   AND(F551&gt;=0,8, G551&gt;=70), "Bueno",
   OR(F551&lt;0,6,  G551&lt;50),  "Alerta",
   TRUE,           "Revisar")</f>
        <v>Bueno</v>
      </c>
      <c r="J551" s="28">
        <f t="shared" si="8"/>
        <v>890000</v>
      </c>
    </row>
    <row r="552" spans="1:10" ht="18" customHeight="1" x14ac:dyDescent="0.3">
      <c r="A552" s="18" t="s">
        <v>1153</v>
      </c>
      <c r="B552" s="5" t="s">
        <v>1154</v>
      </c>
      <c r="C552" s="18" t="s">
        <v>63</v>
      </c>
      <c r="D552" s="18" t="s">
        <v>114</v>
      </c>
      <c r="E552" s="6">
        <v>6000000</v>
      </c>
      <c r="F552" s="19">
        <v>0.71</v>
      </c>
      <c r="G552" s="18">
        <v>59</v>
      </c>
      <c r="H552" s="20">
        <v>18.2</v>
      </c>
      <c r="I552" s="24" t="str" cm="1">
        <f t="array" ref="I552">_xlfn.IFS(
   AND(F552&gt;=0,9, G552&gt;=85), "Excelente",
   AND(F552&gt;=0,8, G552&gt;=70), "Bueno",
   OR(F552&lt;0,6,  G552&lt;50),  "Alerta",
   TRUE,           "Revisar")</f>
        <v>Alerta</v>
      </c>
      <c r="J552" s="28">
        <f t="shared" si="8"/>
        <v>0</v>
      </c>
    </row>
    <row r="553" spans="1:10" ht="18" customHeight="1" x14ac:dyDescent="0.3">
      <c r="A553" s="25" t="s">
        <v>1155</v>
      </c>
      <c r="B553" s="8" t="s">
        <v>1156</v>
      </c>
      <c r="C553" s="25" t="s">
        <v>91</v>
      </c>
      <c r="D553" s="25" t="s">
        <v>64</v>
      </c>
      <c r="E553" s="9">
        <v>10100000</v>
      </c>
      <c r="F553" s="26">
        <v>0.74</v>
      </c>
      <c r="G553" s="25">
        <v>96</v>
      </c>
      <c r="H553" s="27">
        <v>0.1</v>
      </c>
      <c r="I553" s="24" t="str" cm="1">
        <f t="array" ref="I553">_xlfn.IFS(
   AND(F553&gt;=0,9, G553&gt;=85), "Excelente",
   AND(F553&gt;=0,8, G553&gt;=70), "Bueno",
   OR(F553&lt;0,6,  G553&lt;50),  "Alerta",
   TRUE,           "Revisar")</f>
        <v>Excelente</v>
      </c>
      <c r="J553" s="28">
        <f t="shared" si="8"/>
        <v>1010000</v>
      </c>
    </row>
    <row r="554" spans="1:10" ht="18" customHeight="1" x14ac:dyDescent="0.3">
      <c r="A554" s="18" t="s">
        <v>1157</v>
      </c>
      <c r="B554" s="5" t="s">
        <v>1158</v>
      </c>
      <c r="C554" s="18" t="s">
        <v>81</v>
      </c>
      <c r="D554" s="18" t="s">
        <v>78</v>
      </c>
      <c r="E554" s="6">
        <v>4700000</v>
      </c>
      <c r="F554" s="19">
        <v>0.68</v>
      </c>
      <c r="G554" s="18">
        <v>62</v>
      </c>
      <c r="H554" s="20">
        <v>5.2</v>
      </c>
      <c r="I554" s="24" t="str" cm="1">
        <f t="array" ref="I554">_xlfn.IFS(
   AND(F554&gt;=0,9, G554&gt;=85), "Excelente",
   AND(F554&gt;=0,8, G554&gt;=70), "Bueno",
   OR(F554&lt;0,6,  G554&lt;50),  "Alerta",
   TRUE,           "Revisar")</f>
        <v>Alerta</v>
      </c>
      <c r="J554" s="28">
        <f t="shared" si="8"/>
        <v>0</v>
      </c>
    </row>
    <row r="555" spans="1:10" ht="18" customHeight="1" x14ac:dyDescent="0.3">
      <c r="A555" s="25" t="s">
        <v>1159</v>
      </c>
      <c r="B555" s="8" t="s">
        <v>1160</v>
      </c>
      <c r="C555" s="25" t="s">
        <v>59</v>
      </c>
      <c r="D555" s="25" t="s">
        <v>68</v>
      </c>
      <c r="E555" s="9">
        <v>5400000</v>
      </c>
      <c r="F555" s="26">
        <v>0.68</v>
      </c>
      <c r="G555" s="25">
        <v>91</v>
      </c>
      <c r="H555" s="27">
        <v>3.6</v>
      </c>
      <c r="I555" s="24" t="str" cm="1">
        <f t="array" ref="I555">_xlfn.IFS(
   AND(F555&gt;=0,9, G555&gt;=85), "Excelente",
   AND(F555&gt;=0,8, G555&gt;=70), "Bueno",
   OR(F555&lt;0,6,  G555&lt;50),  "Alerta",
   TRUE,           "Revisar")</f>
        <v>Excelente</v>
      </c>
      <c r="J555" s="28">
        <f t="shared" si="8"/>
        <v>540000</v>
      </c>
    </row>
    <row r="556" spans="1:10" ht="18" customHeight="1" x14ac:dyDescent="0.3">
      <c r="A556" s="18" t="s">
        <v>1161</v>
      </c>
      <c r="B556" s="5" t="s">
        <v>1162</v>
      </c>
      <c r="C556" s="18" t="s">
        <v>77</v>
      </c>
      <c r="D556" s="18" t="s">
        <v>88</v>
      </c>
      <c r="E556" s="6">
        <v>6700000</v>
      </c>
      <c r="F556" s="19">
        <v>0.77</v>
      </c>
      <c r="G556" s="18">
        <v>80</v>
      </c>
      <c r="H556" s="20">
        <v>14.7</v>
      </c>
      <c r="I556" s="24" t="str" cm="1">
        <f t="array" ref="I556">_xlfn.IFS(
   AND(F556&gt;=0,9, G556&gt;=85), "Excelente",
   AND(F556&gt;=0,8, G556&gt;=70), "Bueno",
   OR(F556&lt;0,6,  G556&lt;50),  "Alerta",
   TRUE,           "Revisar")</f>
        <v>Bueno</v>
      </c>
      <c r="J556" s="28">
        <f t="shared" si="8"/>
        <v>670000</v>
      </c>
    </row>
    <row r="557" spans="1:10" ht="18" customHeight="1" x14ac:dyDescent="0.3">
      <c r="A557" s="25" t="s">
        <v>1163</v>
      </c>
      <c r="B557" s="8" t="s">
        <v>1164</v>
      </c>
      <c r="C557" s="25" t="s">
        <v>71</v>
      </c>
      <c r="D557" s="25" t="s">
        <v>78</v>
      </c>
      <c r="E557" s="9">
        <v>5500000</v>
      </c>
      <c r="F557" s="26">
        <v>0.73</v>
      </c>
      <c r="G557" s="25">
        <v>73</v>
      </c>
      <c r="H557" s="27">
        <v>16</v>
      </c>
      <c r="I557" s="24" t="str" cm="1">
        <f t="array" ref="I557">_xlfn.IFS(
   AND(F557&gt;=0,9, G557&gt;=85), "Excelente",
   AND(F557&gt;=0,8, G557&gt;=70), "Bueno",
   OR(F557&lt;0,6,  G557&lt;50),  "Alerta",
   TRUE,           "Revisar")</f>
        <v>Bueno</v>
      </c>
      <c r="J557" s="28">
        <f t="shared" si="8"/>
        <v>550000</v>
      </c>
    </row>
    <row r="558" spans="1:10" ht="18" customHeight="1" x14ac:dyDescent="0.3">
      <c r="A558" s="18" t="s">
        <v>1165</v>
      </c>
      <c r="B558" s="5" t="s">
        <v>1166</v>
      </c>
      <c r="C558" s="18" t="s">
        <v>91</v>
      </c>
      <c r="D558" s="18" t="s">
        <v>114</v>
      </c>
      <c r="E558" s="6">
        <v>7700000</v>
      </c>
      <c r="F558" s="19">
        <v>0.98</v>
      </c>
      <c r="G558" s="18">
        <v>30</v>
      </c>
      <c r="H558" s="20">
        <v>16.100000000000001</v>
      </c>
      <c r="I558" s="24" t="str" cm="1">
        <f t="array" ref="I558">_xlfn.IFS(
   AND(F558&gt;=0,9, G558&gt;=85), "Excelente",
   AND(F558&gt;=0,8, G558&gt;=70), "Bueno",
   OR(F558&lt;0,6,  G558&lt;50),  "Alerta",
   TRUE,           "Revisar")</f>
        <v>Alerta</v>
      </c>
      <c r="J558" s="28">
        <f t="shared" si="8"/>
        <v>0</v>
      </c>
    </row>
    <row r="559" spans="1:10" ht="18" customHeight="1" x14ac:dyDescent="0.3">
      <c r="A559" s="25" t="s">
        <v>1167</v>
      </c>
      <c r="B559" s="8" t="s">
        <v>1168</v>
      </c>
      <c r="C559" s="25" t="s">
        <v>63</v>
      </c>
      <c r="D559" s="25" t="s">
        <v>78</v>
      </c>
      <c r="E559" s="9">
        <v>3600000</v>
      </c>
      <c r="F559" s="26">
        <v>0.59</v>
      </c>
      <c r="G559" s="25">
        <v>77</v>
      </c>
      <c r="H559" s="27">
        <v>1.6</v>
      </c>
      <c r="I559" s="24" t="str" cm="1">
        <f t="array" ref="I559">_xlfn.IFS(
   AND(F559&gt;=0,9, G559&gt;=85), "Excelente",
   AND(F559&gt;=0,8, G559&gt;=70), "Bueno",
   OR(F559&lt;0,6,  G559&lt;50),  "Alerta",
   TRUE,           "Revisar")</f>
        <v>Bueno</v>
      </c>
      <c r="J559" s="28">
        <f t="shared" si="8"/>
        <v>360000</v>
      </c>
    </row>
    <row r="560" spans="1:10" ht="18" customHeight="1" x14ac:dyDescent="0.3">
      <c r="A560" s="18" t="s">
        <v>1169</v>
      </c>
      <c r="B560" s="5" t="s">
        <v>1170</v>
      </c>
      <c r="C560" s="18" t="s">
        <v>91</v>
      </c>
      <c r="D560" s="18" t="s">
        <v>114</v>
      </c>
      <c r="E560" s="6">
        <v>10900000</v>
      </c>
      <c r="F560" s="19">
        <v>0.72</v>
      </c>
      <c r="G560" s="18">
        <v>31</v>
      </c>
      <c r="H560" s="20">
        <v>4</v>
      </c>
      <c r="I560" s="24" t="str" cm="1">
        <f t="array" ref="I560">_xlfn.IFS(
   AND(F560&gt;=0,9, G560&gt;=85), "Excelente",
   AND(F560&gt;=0,8, G560&gt;=70), "Bueno",
   OR(F560&lt;0,6,  G560&lt;50),  "Alerta",
   TRUE,           "Revisar")</f>
        <v>Alerta</v>
      </c>
      <c r="J560" s="28">
        <f t="shared" si="8"/>
        <v>0</v>
      </c>
    </row>
    <row r="561" spans="1:10" ht="18" customHeight="1" x14ac:dyDescent="0.3">
      <c r="A561" s="25" t="s">
        <v>1171</v>
      </c>
      <c r="B561" s="8" t="s">
        <v>1172</v>
      </c>
      <c r="C561" s="25" t="s">
        <v>67</v>
      </c>
      <c r="D561" s="25" t="s">
        <v>114</v>
      </c>
      <c r="E561" s="9">
        <v>11400000</v>
      </c>
      <c r="F561" s="26">
        <v>0.47</v>
      </c>
      <c r="G561" s="25">
        <v>60</v>
      </c>
      <c r="H561" s="27">
        <v>13.1</v>
      </c>
      <c r="I561" s="24" t="str" cm="1">
        <f t="array" ref="I561">_xlfn.IFS(
   AND(F561&gt;=0,9, G561&gt;=85), "Excelente",
   AND(F561&gt;=0,8, G561&gt;=70), "Bueno",
   OR(F561&lt;0,6,  G561&lt;50),  "Alerta",
   TRUE,           "Revisar")</f>
        <v>Alerta</v>
      </c>
      <c r="J561" s="28">
        <f t="shared" si="8"/>
        <v>0</v>
      </c>
    </row>
    <row r="562" spans="1:10" ht="18" customHeight="1" x14ac:dyDescent="0.3">
      <c r="A562" s="18" t="s">
        <v>1173</v>
      </c>
      <c r="B562" s="5" t="s">
        <v>1174</v>
      </c>
      <c r="C562" s="18" t="s">
        <v>63</v>
      </c>
      <c r="D562" s="18" t="s">
        <v>92</v>
      </c>
      <c r="E562" s="6">
        <v>11300000</v>
      </c>
      <c r="F562" s="19">
        <v>0.67</v>
      </c>
      <c r="G562" s="18">
        <v>55</v>
      </c>
      <c r="H562" s="20">
        <v>10.4</v>
      </c>
      <c r="I562" s="24" t="str" cm="1">
        <f t="array" ref="I562">_xlfn.IFS(
   AND(F562&gt;=0,9, G562&gt;=85), "Excelente",
   AND(F562&gt;=0,8, G562&gt;=70), "Bueno",
   OR(F562&lt;0,6,  G562&lt;50),  "Alerta",
   TRUE,           "Revisar")</f>
        <v>Alerta</v>
      </c>
      <c r="J562" s="28">
        <f t="shared" si="8"/>
        <v>0</v>
      </c>
    </row>
    <row r="563" spans="1:10" ht="18" customHeight="1" x14ac:dyDescent="0.3">
      <c r="A563" s="25" t="s">
        <v>1175</v>
      </c>
      <c r="B563" s="8" t="s">
        <v>1176</v>
      </c>
      <c r="C563" s="25" t="s">
        <v>74</v>
      </c>
      <c r="D563" s="25" t="s">
        <v>88</v>
      </c>
      <c r="E563" s="9">
        <v>12000000</v>
      </c>
      <c r="F563" s="26">
        <v>0.91</v>
      </c>
      <c r="G563" s="25">
        <v>74</v>
      </c>
      <c r="H563" s="27">
        <v>6.9</v>
      </c>
      <c r="I563" s="24" t="str" cm="1">
        <f t="array" ref="I563">_xlfn.IFS(
   AND(F563&gt;=0,9, G563&gt;=85), "Excelente",
   AND(F563&gt;=0,8, G563&gt;=70), "Bueno",
   OR(F563&lt;0,6,  G563&lt;50),  "Alerta",
   TRUE,           "Revisar")</f>
        <v>Bueno</v>
      </c>
      <c r="J563" s="28">
        <f t="shared" si="8"/>
        <v>1200000</v>
      </c>
    </row>
    <row r="564" spans="1:10" ht="18" customHeight="1" x14ac:dyDescent="0.3">
      <c r="A564" s="18" t="s">
        <v>1177</v>
      </c>
      <c r="B564" s="5" t="s">
        <v>1178</v>
      </c>
      <c r="C564" s="18" t="s">
        <v>67</v>
      </c>
      <c r="D564" s="18" t="s">
        <v>105</v>
      </c>
      <c r="E564" s="6">
        <v>7900000</v>
      </c>
      <c r="F564" s="19">
        <v>0.77</v>
      </c>
      <c r="G564" s="18">
        <v>63</v>
      </c>
      <c r="H564" s="20">
        <v>3.5</v>
      </c>
      <c r="I564" s="24" t="str" cm="1">
        <f t="array" ref="I564">_xlfn.IFS(
   AND(F564&gt;=0,9, G564&gt;=85), "Excelente",
   AND(F564&gt;=0,8, G564&gt;=70), "Bueno",
   OR(F564&lt;0,6,  G564&lt;50),  "Alerta",
   TRUE,           "Revisar")</f>
        <v>Alerta</v>
      </c>
      <c r="J564" s="28">
        <f t="shared" si="8"/>
        <v>0</v>
      </c>
    </row>
    <row r="565" spans="1:10" ht="18" customHeight="1" x14ac:dyDescent="0.3">
      <c r="A565" s="25" t="s">
        <v>1179</v>
      </c>
      <c r="B565" s="8" t="s">
        <v>1180</v>
      </c>
      <c r="C565" s="25" t="s">
        <v>77</v>
      </c>
      <c r="D565" s="25" t="s">
        <v>68</v>
      </c>
      <c r="E565" s="9">
        <v>10000000</v>
      </c>
      <c r="F565" s="26">
        <v>0.72</v>
      </c>
      <c r="G565" s="25">
        <v>61</v>
      </c>
      <c r="H565" s="27">
        <v>15.1</v>
      </c>
      <c r="I565" s="24" t="str" cm="1">
        <f t="array" ref="I565">_xlfn.IFS(
   AND(F565&gt;=0,9, G565&gt;=85), "Excelente",
   AND(F565&gt;=0,8, G565&gt;=70), "Bueno",
   OR(F565&lt;0,6,  G565&lt;50),  "Alerta",
   TRUE,           "Revisar")</f>
        <v>Alerta</v>
      </c>
      <c r="J565" s="28">
        <f t="shared" si="8"/>
        <v>0</v>
      </c>
    </row>
    <row r="566" spans="1:10" ht="18" customHeight="1" x14ac:dyDescent="0.3">
      <c r="A566" s="18" t="s">
        <v>1181</v>
      </c>
      <c r="B566" s="5" t="s">
        <v>1182</v>
      </c>
      <c r="C566" s="18" t="s">
        <v>77</v>
      </c>
      <c r="D566" s="18" t="s">
        <v>64</v>
      </c>
      <c r="E566" s="6">
        <v>8900000</v>
      </c>
      <c r="F566" s="19">
        <v>0.51</v>
      </c>
      <c r="G566" s="18">
        <v>38</v>
      </c>
      <c r="H566" s="20">
        <v>7.7</v>
      </c>
      <c r="I566" s="24" t="str" cm="1">
        <f t="array" ref="I566">_xlfn.IFS(
   AND(F566&gt;=0,9, G566&gt;=85), "Excelente",
   AND(F566&gt;=0,8, G566&gt;=70), "Bueno",
   OR(F566&lt;0,6,  G566&lt;50),  "Alerta",
   TRUE,           "Revisar")</f>
        <v>Alerta</v>
      </c>
      <c r="J566" s="28">
        <f t="shared" si="8"/>
        <v>0</v>
      </c>
    </row>
    <row r="567" spans="1:10" ht="18" customHeight="1" x14ac:dyDescent="0.3">
      <c r="A567" s="25" t="s">
        <v>1183</v>
      </c>
      <c r="B567" s="8" t="s">
        <v>1184</v>
      </c>
      <c r="C567" s="25" t="s">
        <v>67</v>
      </c>
      <c r="D567" s="25" t="s">
        <v>92</v>
      </c>
      <c r="E567" s="9">
        <v>8000000</v>
      </c>
      <c r="F567" s="26">
        <v>0.98</v>
      </c>
      <c r="G567" s="25">
        <v>96</v>
      </c>
      <c r="H567" s="27">
        <v>10.7</v>
      </c>
      <c r="I567" s="24" t="str" cm="1">
        <f t="array" ref="I567">_xlfn.IFS(
   AND(F567&gt;=0,9, G567&gt;=85), "Excelente",
   AND(F567&gt;=0,8, G567&gt;=70), "Bueno",
   OR(F567&lt;0,6,  G567&lt;50),  "Alerta",
   TRUE,           "Revisar")</f>
        <v>Excelente</v>
      </c>
      <c r="J567" s="28">
        <f t="shared" si="8"/>
        <v>800000</v>
      </c>
    </row>
    <row r="568" spans="1:10" ht="18" customHeight="1" x14ac:dyDescent="0.3">
      <c r="A568" s="18" t="s">
        <v>1185</v>
      </c>
      <c r="B568" s="5" t="s">
        <v>1186</v>
      </c>
      <c r="C568" s="18" t="s">
        <v>59</v>
      </c>
      <c r="D568" s="18" t="s">
        <v>78</v>
      </c>
      <c r="E568" s="6">
        <v>7900000</v>
      </c>
      <c r="F568" s="19">
        <v>0.82</v>
      </c>
      <c r="G568" s="18">
        <v>73</v>
      </c>
      <c r="H568" s="20">
        <v>1.5</v>
      </c>
      <c r="I568" s="24" t="str" cm="1">
        <f t="array" ref="I568">_xlfn.IFS(
   AND(F568&gt;=0,9, G568&gt;=85), "Excelente",
   AND(F568&gt;=0,8, G568&gt;=70), "Bueno",
   OR(F568&lt;0,6,  G568&lt;50),  "Alerta",
   TRUE,           "Revisar")</f>
        <v>Bueno</v>
      </c>
      <c r="J568" s="28">
        <f t="shared" si="8"/>
        <v>790000</v>
      </c>
    </row>
    <row r="569" spans="1:10" ht="18" customHeight="1" x14ac:dyDescent="0.3">
      <c r="A569" s="25" t="s">
        <v>1187</v>
      </c>
      <c r="B569" s="8" t="s">
        <v>1188</v>
      </c>
      <c r="C569" s="25" t="s">
        <v>59</v>
      </c>
      <c r="D569" s="25" t="s">
        <v>60</v>
      </c>
      <c r="E569" s="9">
        <v>5700000</v>
      </c>
      <c r="F569" s="26">
        <v>0.56000000000000005</v>
      </c>
      <c r="G569" s="25">
        <v>61</v>
      </c>
      <c r="H569" s="27">
        <v>16.7</v>
      </c>
      <c r="I569" s="24" t="str" cm="1">
        <f t="array" ref="I569">_xlfn.IFS(
   AND(F569&gt;=0,9, G569&gt;=85), "Excelente",
   AND(F569&gt;=0,8, G569&gt;=70), "Bueno",
   OR(F569&lt;0,6,  G569&lt;50),  "Alerta",
   TRUE,           "Revisar")</f>
        <v>Alerta</v>
      </c>
      <c r="J569" s="28">
        <f t="shared" si="8"/>
        <v>0</v>
      </c>
    </row>
    <row r="570" spans="1:10" ht="18" customHeight="1" x14ac:dyDescent="0.3">
      <c r="A570" s="18" t="s">
        <v>1189</v>
      </c>
      <c r="B570" s="5" t="s">
        <v>1190</v>
      </c>
      <c r="C570" s="18" t="s">
        <v>77</v>
      </c>
      <c r="D570" s="18" t="s">
        <v>64</v>
      </c>
      <c r="E570" s="6">
        <v>9700000</v>
      </c>
      <c r="F570" s="19">
        <v>0.98</v>
      </c>
      <c r="G570" s="18">
        <v>91</v>
      </c>
      <c r="H570" s="20">
        <v>7.4</v>
      </c>
      <c r="I570" s="24" t="str" cm="1">
        <f t="array" ref="I570">_xlfn.IFS(
   AND(F570&gt;=0,9, G570&gt;=85), "Excelente",
   AND(F570&gt;=0,8, G570&gt;=70), "Bueno",
   OR(F570&lt;0,6,  G570&lt;50),  "Alerta",
   TRUE,           "Revisar")</f>
        <v>Excelente</v>
      </c>
      <c r="J570" s="28">
        <f t="shared" si="8"/>
        <v>970000</v>
      </c>
    </row>
    <row r="571" spans="1:10" ht="18" customHeight="1" x14ac:dyDescent="0.3">
      <c r="A571" s="25" t="s">
        <v>1191</v>
      </c>
      <c r="B571" s="8" t="s">
        <v>1192</v>
      </c>
      <c r="C571" s="25" t="s">
        <v>59</v>
      </c>
      <c r="D571" s="25" t="s">
        <v>105</v>
      </c>
      <c r="E571" s="9">
        <v>5100000</v>
      </c>
      <c r="F571" s="26">
        <v>0.99</v>
      </c>
      <c r="G571" s="25">
        <v>95</v>
      </c>
      <c r="H571" s="27">
        <v>5.6</v>
      </c>
      <c r="I571" s="24" t="str" cm="1">
        <f t="array" ref="I571">_xlfn.IFS(
   AND(F571&gt;=0,9, G571&gt;=85), "Excelente",
   AND(F571&gt;=0,8, G571&gt;=70), "Bueno",
   OR(F571&lt;0,6,  G571&lt;50),  "Alerta",
   TRUE,           "Revisar")</f>
        <v>Excelente</v>
      </c>
      <c r="J571" s="28">
        <f t="shared" si="8"/>
        <v>510000</v>
      </c>
    </row>
    <row r="572" spans="1:10" ht="18" customHeight="1" x14ac:dyDescent="0.3">
      <c r="A572" s="18" t="s">
        <v>1193</v>
      </c>
      <c r="B572" s="5" t="s">
        <v>1194</v>
      </c>
      <c r="C572" s="18" t="s">
        <v>71</v>
      </c>
      <c r="D572" s="18" t="s">
        <v>64</v>
      </c>
      <c r="E572" s="6">
        <v>9500000</v>
      </c>
      <c r="F572" s="19">
        <v>0.89</v>
      </c>
      <c r="G572" s="18">
        <v>91</v>
      </c>
      <c r="H572" s="20">
        <v>18.8</v>
      </c>
      <c r="I572" s="24" t="str" cm="1">
        <f t="array" ref="I572">_xlfn.IFS(
   AND(F572&gt;=0,9, G572&gt;=85), "Excelente",
   AND(F572&gt;=0,8, G572&gt;=70), "Bueno",
   OR(F572&lt;0,6,  G572&lt;50),  "Alerta",
   TRUE,           "Revisar")</f>
        <v>Excelente</v>
      </c>
      <c r="J572" s="28">
        <f t="shared" si="8"/>
        <v>950000</v>
      </c>
    </row>
    <row r="573" spans="1:10" ht="18" customHeight="1" x14ac:dyDescent="0.3">
      <c r="A573" s="25" t="s">
        <v>1195</v>
      </c>
      <c r="B573" s="8" t="s">
        <v>1196</v>
      </c>
      <c r="C573" s="25" t="s">
        <v>77</v>
      </c>
      <c r="D573" s="25" t="s">
        <v>92</v>
      </c>
      <c r="E573" s="9">
        <v>11600000</v>
      </c>
      <c r="F573" s="26">
        <v>0.45</v>
      </c>
      <c r="G573" s="25">
        <v>56</v>
      </c>
      <c r="H573" s="27">
        <v>7.6</v>
      </c>
      <c r="I573" s="24" t="str" cm="1">
        <f t="array" ref="I573">_xlfn.IFS(
   AND(F573&gt;=0,9, G573&gt;=85), "Excelente",
   AND(F573&gt;=0,8, G573&gt;=70), "Bueno",
   OR(F573&lt;0,6,  G573&lt;50),  "Alerta",
   TRUE,           "Revisar")</f>
        <v>Alerta</v>
      </c>
      <c r="J573" s="28">
        <f t="shared" si="8"/>
        <v>0</v>
      </c>
    </row>
    <row r="574" spans="1:10" ht="18" customHeight="1" x14ac:dyDescent="0.3">
      <c r="A574" s="18" t="s">
        <v>1197</v>
      </c>
      <c r="B574" s="5" t="s">
        <v>1198</v>
      </c>
      <c r="C574" s="18" t="s">
        <v>81</v>
      </c>
      <c r="D574" s="18" t="s">
        <v>88</v>
      </c>
      <c r="E574" s="6">
        <v>5100000</v>
      </c>
      <c r="F574" s="19">
        <v>0.75</v>
      </c>
      <c r="G574" s="18">
        <v>60</v>
      </c>
      <c r="H574" s="20">
        <v>5.4</v>
      </c>
      <c r="I574" s="24" t="str" cm="1">
        <f t="array" ref="I574">_xlfn.IFS(
   AND(F574&gt;=0,9, G574&gt;=85), "Excelente",
   AND(F574&gt;=0,8, G574&gt;=70), "Bueno",
   OR(F574&lt;0,6,  G574&lt;50),  "Alerta",
   TRUE,           "Revisar")</f>
        <v>Alerta</v>
      </c>
      <c r="J574" s="28">
        <f t="shared" si="8"/>
        <v>0</v>
      </c>
    </row>
    <row r="575" spans="1:10" ht="18" customHeight="1" x14ac:dyDescent="0.3">
      <c r="A575" s="25" t="s">
        <v>1199</v>
      </c>
      <c r="B575" s="8" t="s">
        <v>1200</v>
      </c>
      <c r="C575" s="25" t="s">
        <v>77</v>
      </c>
      <c r="D575" s="25" t="s">
        <v>68</v>
      </c>
      <c r="E575" s="9">
        <v>5400000</v>
      </c>
      <c r="F575" s="26">
        <v>0.68</v>
      </c>
      <c r="G575" s="25">
        <v>77</v>
      </c>
      <c r="H575" s="27">
        <v>7.3</v>
      </c>
      <c r="I575" s="24" t="str" cm="1">
        <f t="array" ref="I575">_xlfn.IFS(
   AND(F575&gt;=0,9, G575&gt;=85), "Excelente",
   AND(F575&gt;=0,8, G575&gt;=70), "Bueno",
   OR(F575&lt;0,6,  G575&lt;50),  "Alerta",
   TRUE,           "Revisar")</f>
        <v>Bueno</v>
      </c>
      <c r="J575" s="28">
        <f t="shared" si="8"/>
        <v>540000</v>
      </c>
    </row>
    <row r="576" spans="1:10" ht="18" customHeight="1" x14ac:dyDescent="0.3">
      <c r="A576" s="18" t="s">
        <v>1201</v>
      </c>
      <c r="B576" s="5" t="s">
        <v>1202</v>
      </c>
      <c r="C576" s="18" t="s">
        <v>77</v>
      </c>
      <c r="D576" s="18" t="s">
        <v>114</v>
      </c>
      <c r="E576" s="6">
        <v>10100000</v>
      </c>
      <c r="F576" s="19">
        <v>0.52</v>
      </c>
      <c r="G576" s="18">
        <v>59</v>
      </c>
      <c r="H576" s="20">
        <v>16.3</v>
      </c>
      <c r="I576" s="24" t="str" cm="1">
        <f t="array" ref="I576">_xlfn.IFS(
   AND(F576&gt;=0,9, G576&gt;=85), "Excelente",
   AND(F576&gt;=0,8, G576&gt;=70), "Bueno",
   OR(F576&lt;0,6,  G576&lt;50),  "Alerta",
   TRUE,           "Revisar")</f>
        <v>Alerta</v>
      </c>
      <c r="J576" s="28">
        <f t="shared" si="8"/>
        <v>0</v>
      </c>
    </row>
    <row r="577" spans="1:10" ht="18" customHeight="1" x14ac:dyDescent="0.3">
      <c r="A577" s="25" t="s">
        <v>1203</v>
      </c>
      <c r="B577" s="8" t="s">
        <v>1204</v>
      </c>
      <c r="C577" s="25" t="s">
        <v>63</v>
      </c>
      <c r="D577" s="25" t="s">
        <v>68</v>
      </c>
      <c r="E577" s="9">
        <v>5300000</v>
      </c>
      <c r="F577" s="26">
        <v>0.53</v>
      </c>
      <c r="G577" s="25">
        <v>49</v>
      </c>
      <c r="H577" s="27">
        <v>9.5</v>
      </c>
      <c r="I577" s="24" t="str" cm="1">
        <f t="array" ref="I577">_xlfn.IFS(
   AND(F577&gt;=0,9, G577&gt;=85), "Excelente",
   AND(F577&gt;=0,8, G577&gt;=70), "Bueno",
   OR(F577&lt;0,6,  G577&lt;50),  "Alerta",
   TRUE,           "Revisar")</f>
        <v>Alerta</v>
      </c>
      <c r="J577" s="28">
        <f t="shared" si="8"/>
        <v>0</v>
      </c>
    </row>
    <row r="578" spans="1:10" ht="18" customHeight="1" x14ac:dyDescent="0.3">
      <c r="A578" s="18" t="s">
        <v>1205</v>
      </c>
      <c r="B578" s="5" t="s">
        <v>1206</v>
      </c>
      <c r="C578" s="18" t="s">
        <v>63</v>
      </c>
      <c r="D578" s="18" t="s">
        <v>105</v>
      </c>
      <c r="E578" s="6">
        <v>4500000</v>
      </c>
      <c r="F578" s="19">
        <v>1</v>
      </c>
      <c r="G578" s="18">
        <v>96</v>
      </c>
      <c r="H578" s="20">
        <v>10.7</v>
      </c>
      <c r="I578" s="24" t="str" cm="1">
        <f t="array" ref="I578">_xlfn.IFS(
   AND(F578&gt;=0,9, G578&gt;=85), "Excelente",
   AND(F578&gt;=0,8, G578&gt;=70), "Bueno",
   OR(F578&lt;0,6,  G578&lt;50),  "Alerta",
   TRUE,           "Revisar")</f>
        <v>Excelente</v>
      </c>
      <c r="J578" s="28">
        <f t="shared" si="8"/>
        <v>450000</v>
      </c>
    </row>
    <row r="579" spans="1:10" ht="18" customHeight="1" x14ac:dyDescent="0.3">
      <c r="A579" s="25" t="s">
        <v>1207</v>
      </c>
      <c r="B579" s="8" t="s">
        <v>1208</v>
      </c>
      <c r="C579" s="25" t="s">
        <v>77</v>
      </c>
      <c r="D579" s="25" t="s">
        <v>88</v>
      </c>
      <c r="E579" s="9">
        <v>6000000</v>
      </c>
      <c r="F579" s="26">
        <v>0.76</v>
      </c>
      <c r="G579" s="25">
        <v>36</v>
      </c>
      <c r="H579" s="27">
        <v>8</v>
      </c>
      <c r="I579" s="24" t="str" cm="1">
        <f t="array" ref="I579">_xlfn.IFS(
   AND(F579&gt;=0,9, G579&gt;=85), "Excelente",
   AND(F579&gt;=0,8, G579&gt;=70), "Bueno",
   OR(F579&lt;0,6,  G579&lt;50),  "Alerta",
   TRUE,           "Revisar")</f>
        <v>Alerta</v>
      </c>
      <c r="J579" s="28">
        <f t="shared" si="8"/>
        <v>0</v>
      </c>
    </row>
    <row r="580" spans="1:10" ht="18" customHeight="1" x14ac:dyDescent="0.3">
      <c r="A580" s="18" t="s">
        <v>1209</v>
      </c>
      <c r="B580" s="5" t="s">
        <v>1210</v>
      </c>
      <c r="C580" s="18" t="s">
        <v>67</v>
      </c>
      <c r="D580" s="18" t="s">
        <v>88</v>
      </c>
      <c r="E580" s="6">
        <v>8800000</v>
      </c>
      <c r="F580" s="19">
        <v>0.91</v>
      </c>
      <c r="G580" s="18">
        <v>42</v>
      </c>
      <c r="H580" s="20">
        <v>9</v>
      </c>
      <c r="I580" s="24" t="str" cm="1">
        <f t="array" ref="I580">_xlfn.IFS(
   AND(F580&gt;=0,9, G580&gt;=85), "Excelente",
   AND(F580&gt;=0,8, G580&gt;=70), "Bueno",
   OR(F580&lt;0,6,  G580&lt;50),  "Alerta",
   TRUE,           "Revisar")</f>
        <v>Alerta</v>
      </c>
      <c r="J580" s="28">
        <f t="shared" si="8"/>
        <v>0</v>
      </c>
    </row>
    <row r="581" spans="1:10" ht="18" customHeight="1" x14ac:dyDescent="0.3">
      <c r="A581" s="25" t="s">
        <v>1211</v>
      </c>
      <c r="B581" s="8" t="s">
        <v>1212</v>
      </c>
      <c r="C581" s="25" t="s">
        <v>59</v>
      </c>
      <c r="D581" s="25" t="s">
        <v>92</v>
      </c>
      <c r="E581" s="9">
        <v>3000000</v>
      </c>
      <c r="F581" s="26">
        <v>0.68</v>
      </c>
      <c r="G581" s="25">
        <v>74</v>
      </c>
      <c r="H581" s="27">
        <v>17.3</v>
      </c>
      <c r="I581" s="24" t="str" cm="1">
        <f t="array" ref="I581">_xlfn.IFS(
   AND(F581&gt;=0,9, G581&gt;=85), "Excelente",
   AND(F581&gt;=0,8, G581&gt;=70), "Bueno",
   OR(F581&lt;0,6,  G581&lt;50),  "Alerta",
   TRUE,           "Revisar")</f>
        <v>Bueno</v>
      </c>
      <c r="J581" s="28">
        <f t="shared" si="8"/>
        <v>300000</v>
      </c>
    </row>
    <row r="582" spans="1:10" ht="18" customHeight="1" x14ac:dyDescent="0.3">
      <c r="A582" s="18" t="s">
        <v>1213</v>
      </c>
      <c r="B582" s="5" t="s">
        <v>1214</v>
      </c>
      <c r="C582" s="18" t="s">
        <v>77</v>
      </c>
      <c r="D582" s="18" t="s">
        <v>78</v>
      </c>
      <c r="E582" s="6">
        <v>7600000</v>
      </c>
      <c r="F582" s="19">
        <v>0.79</v>
      </c>
      <c r="G582" s="18">
        <v>89</v>
      </c>
      <c r="H582" s="20">
        <v>12.6</v>
      </c>
      <c r="I582" s="24" t="str" cm="1">
        <f t="array" ref="I582">_xlfn.IFS(
   AND(F582&gt;=0,9, G582&gt;=85), "Excelente",
   AND(F582&gt;=0,8, G582&gt;=70), "Bueno",
   OR(F582&lt;0,6,  G582&lt;50),  "Alerta",
   TRUE,           "Revisar")</f>
        <v>Excelente</v>
      </c>
      <c r="J582" s="28">
        <f t="shared" si="8"/>
        <v>760000</v>
      </c>
    </row>
    <row r="583" spans="1:10" ht="18" customHeight="1" x14ac:dyDescent="0.3">
      <c r="A583" s="25" t="s">
        <v>1215</v>
      </c>
      <c r="B583" s="8" t="s">
        <v>1216</v>
      </c>
      <c r="C583" s="25" t="s">
        <v>71</v>
      </c>
      <c r="D583" s="25" t="s">
        <v>92</v>
      </c>
      <c r="E583" s="9">
        <v>8100000</v>
      </c>
      <c r="F583" s="26">
        <v>0.8</v>
      </c>
      <c r="G583" s="25">
        <v>81</v>
      </c>
      <c r="H583" s="27">
        <v>17</v>
      </c>
      <c r="I583" s="24" t="str" cm="1">
        <f t="array" ref="I583">_xlfn.IFS(
   AND(F583&gt;=0,9, G583&gt;=85), "Excelente",
   AND(F583&gt;=0,8, G583&gt;=70), "Bueno",
   OR(F583&lt;0,6,  G583&lt;50),  "Alerta",
   TRUE,           "Revisar")</f>
        <v>Bueno</v>
      </c>
      <c r="J583" s="28">
        <f t="shared" si="8"/>
        <v>810000</v>
      </c>
    </row>
    <row r="584" spans="1:10" ht="18" customHeight="1" x14ac:dyDescent="0.3">
      <c r="A584" s="18" t="s">
        <v>1217</v>
      </c>
      <c r="B584" s="5" t="s">
        <v>1218</v>
      </c>
      <c r="C584" s="18" t="s">
        <v>71</v>
      </c>
      <c r="D584" s="18" t="s">
        <v>92</v>
      </c>
      <c r="E584" s="6">
        <v>5700000</v>
      </c>
      <c r="F584" s="19">
        <v>0.62</v>
      </c>
      <c r="G584" s="18">
        <v>67</v>
      </c>
      <c r="H584" s="20">
        <v>14.2</v>
      </c>
      <c r="I584" s="24" t="str" cm="1">
        <f t="array" ref="I584">_xlfn.IFS(
   AND(F584&gt;=0,9, G584&gt;=85), "Excelente",
   AND(F584&gt;=0,8, G584&gt;=70), "Bueno",
   OR(F584&lt;0,6,  G584&lt;50),  "Alerta",
   TRUE,           "Revisar")</f>
        <v>Alerta</v>
      </c>
      <c r="J584" s="28">
        <f t="shared" si="8"/>
        <v>0</v>
      </c>
    </row>
    <row r="585" spans="1:10" ht="18" customHeight="1" x14ac:dyDescent="0.3">
      <c r="A585" s="25" t="s">
        <v>1219</v>
      </c>
      <c r="B585" s="8" t="s">
        <v>1220</v>
      </c>
      <c r="C585" s="25" t="s">
        <v>63</v>
      </c>
      <c r="D585" s="25" t="s">
        <v>88</v>
      </c>
      <c r="E585" s="9">
        <v>8400000</v>
      </c>
      <c r="F585" s="26">
        <v>0.88</v>
      </c>
      <c r="G585" s="25">
        <v>76</v>
      </c>
      <c r="H585" s="27">
        <v>15</v>
      </c>
      <c r="I585" s="24" t="str" cm="1">
        <f t="array" ref="I585">_xlfn.IFS(
   AND(F585&gt;=0,9, G585&gt;=85), "Excelente",
   AND(F585&gt;=0,8, G585&gt;=70), "Bueno",
   OR(F585&lt;0,6,  G585&lt;50),  "Alerta",
   TRUE,           "Revisar")</f>
        <v>Bueno</v>
      </c>
      <c r="J585" s="28">
        <f t="shared" si="8"/>
        <v>840000</v>
      </c>
    </row>
    <row r="586" spans="1:10" ht="18" customHeight="1" x14ac:dyDescent="0.3">
      <c r="A586" s="18" t="s">
        <v>1221</v>
      </c>
      <c r="B586" s="5" t="s">
        <v>1222</v>
      </c>
      <c r="C586" s="18" t="s">
        <v>63</v>
      </c>
      <c r="D586" s="18" t="s">
        <v>114</v>
      </c>
      <c r="E586" s="6">
        <v>5100000</v>
      </c>
      <c r="F586" s="19">
        <v>0.92</v>
      </c>
      <c r="G586" s="18">
        <v>46</v>
      </c>
      <c r="H586" s="20">
        <v>14.6</v>
      </c>
      <c r="I586" s="24" t="str" cm="1">
        <f t="array" ref="I586">_xlfn.IFS(
   AND(F586&gt;=0,9, G586&gt;=85), "Excelente",
   AND(F586&gt;=0,8, G586&gt;=70), "Bueno",
   OR(F586&lt;0,6,  G586&lt;50),  "Alerta",
   TRUE,           "Revisar")</f>
        <v>Alerta</v>
      </c>
      <c r="J586" s="28">
        <f t="shared" si="8"/>
        <v>0</v>
      </c>
    </row>
    <row r="587" spans="1:10" ht="18" customHeight="1" x14ac:dyDescent="0.3">
      <c r="A587" s="25" t="s">
        <v>1223</v>
      </c>
      <c r="B587" s="8" t="s">
        <v>1224</v>
      </c>
      <c r="C587" s="25" t="s">
        <v>71</v>
      </c>
      <c r="D587" s="25" t="s">
        <v>68</v>
      </c>
      <c r="E587" s="9">
        <v>4100000</v>
      </c>
      <c r="F587" s="26">
        <v>0.5</v>
      </c>
      <c r="G587" s="25">
        <v>90</v>
      </c>
      <c r="H587" s="27">
        <v>11</v>
      </c>
      <c r="I587" s="24" t="str" cm="1">
        <f t="array" ref="I587">_xlfn.IFS(
   AND(F587&gt;=0,9, G587&gt;=85), "Excelente",
   AND(F587&gt;=0,8, G587&gt;=70), "Bueno",
   OR(F587&lt;0,6,  G587&lt;50),  "Alerta",
   TRUE,           "Revisar")</f>
        <v>Excelente</v>
      </c>
      <c r="J587" s="28">
        <f t="shared" si="8"/>
        <v>410000</v>
      </c>
    </row>
    <row r="588" spans="1:10" ht="18" customHeight="1" x14ac:dyDescent="0.3">
      <c r="A588" s="18" t="s">
        <v>1225</v>
      </c>
      <c r="B588" s="5" t="s">
        <v>1226</v>
      </c>
      <c r="C588" s="18" t="s">
        <v>63</v>
      </c>
      <c r="D588" s="18" t="s">
        <v>78</v>
      </c>
      <c r="E588" s="6">
        <v>4100000</v>
      </c>
      <c r="F588" s="19">
        <v>0.59</v>
      </c>
      <c r="G588" s="18">
        <v>49</v>
      </c>
      <c r="H588" s="20">
        <v>1.7</v>
      </c>
      <c r="I588" s="24" t="str" cm="1">
        <f t="array" ref="I588">_xlfn.IFS(
   AND(F588&gt;=0,9, G588&gt;=85), "Excelente",
   AND(F588&gt;=0,8, G588&gt;=70), "Bueno",
   OR(F588&lt;0,6,  G588&lt;50),  "Alerta",
   TRUE,           "Revisar")</f>
        <v>Alerta</v>
      </c>
      <c r="J588" s="28">
        <f t="shared" ref="J588:J651" si="9">IF(OR(I588="Excelente",I588="Bueno"),E588*0.1,0)</f>
        <v>0</v>
      </c>
    </row>
    <row r="589" spans="1:10" ht="18" customHeight="1" x14ac:dyDescent="0.3">
      <c r="A589" s="25" t="s">
        <v>1227</v>
      </c>
      <c r="B589" s="8" t="s">
        <v>1228</v>
      </c>
      <c r="C589" s="25" t="s">
        <v>67</v>
      </c>
      <c r="D589" s="25" t="s">
        <v>60</v>
      </c>
      <c r="E589" s="9">
        <v>6400000</v>
      </c>
      <c r="F589" s="26">
        <v>0.69</v>
      </c>
      <c r="G589" s="25">
        <v>46</v>
      </c>
      <c r="H589" s="27">
        <v>2.6</v>
      </c>
      <c r="I589" s="24" t="str" cm="1">
        <f t="array" ref="I589">_xlfn.IFS(
   AND(F589&gt;=0,9, G589&gt;=85), "Excelente",
   AND(F589&gt;=0,8, G589&gt;=70), "Bueno",
   OR(F589&lt;0,6,  G589&lt;50),  "Alerta",
   TRUE,           "Revisar")</f>
        <v>Alerta</v>
      </c>
      <c r="J589" s="28">
        <f t="shared" si="9"/>
        <v>0</v>
      </c>
    </row>
    <row r="590" spans="1:10" ht="18" customHeight="1" x14ac:dyDescent="0.3">
      <c r="A590" s="18" t="s">
        <v>1229</v>
      </c>
      <c r="B590" s="5" t="s">
        <v>1230</v>
      </c>
      <c r="C590" s="18" t="s">
        <v>91</v>
      </c>
      <c r="D590" s="18" t="s">
        <v>92</v>
      </c>
      <c r="E590" s="6">
        <v>6900000</v>
      </c>
      <c r="F590" s="19">
        <v>0.93</v>
      </c>
      <c r="G590" s="18">
        <v>89</v>
      </c>
      <c r="H590" s="20">
        <v>19.5</v>
      </c>
      <c r="I590" s="24" t="str" cm="1">
        <f t="array" ref="I590">_xlfn.IFS(
   AND(F590&gt;=0,9, G590&gt;=85), "Excelente",
   AND(F590&gt;=0,8, G590&gt;=70), "Bueno",
   OR(F590&lt;0,6,  G590&lt;50),  "Alerta",
   TRUE,           "Revisar")</f>
        <v>Excelente</v>
      </c>
      <c r="J590" s="28">
        <f t="shared" si="9"/>
        <v>690000</v>
      </c>
    </row>
    <row r="591" spans="1:10" ht="18" customHeight="1" x14ac:dyDescent="0.3">
      <c r="A591" s="25" t="s">
        <v>1231</v>
      </c>
      <c r="B591" s="8" t="s">
        <v>1232</v>
      </c>
      <c r="C591" s="25" t="s">
        <v>59</v>
      </c>
      <c r="D591" s="25" t="s">
        <v>105</v>
      </c>
      <c r="E591" s="9">
        <v>4500000</v>
      </c>
      <c r="F591" s="26">
        <v>0.98</v>
      </c>
      <c r="G591" s="25">
        <v>99</v>
      </c>
      <c r="H591" s="27">
        <v>3.5</v>
      </c>
      <c r="I591" s="24" t="str" cm="1">
        <f t="array" ref="I591">_xlfn.IFS(
   AND(F591&gt;=0,9, G591&gt;=85), "Excelente",
   AND(F591&gt;=0,8, G591&gt;=70), "Bueno",
   OR(F591&lt;0,6,  G591&lt;50),  "Alerta",
   TRUE,           "Revisar")</f>
        <v>Excelente</v>
      </c>
      <c r="J591" s="28">
        <f t="shared" si="9"/>
        <v>450000</v>
      </c>
    </row>
    <row r="592" spans="1:10" ht="18" customHeight="1" x14ac:dyDescent="0.3">
      <c r="A592" s="18" t="s">
        <v>1233</v>
      </c>
      <c r="B592" s="5" t="s">
        <v>1234</v>
      </c>
      <c r="C592" s="18" t="s">
        <v>63</v>
      </c>
      <c r="D592" s="18" t="s">
        <v>88</v>
      </c>
      <c r="E592" s="6">
        <v>7200000</v>
      </c>
      <c r="F592" s="19">
        <v>0.71</v>
      </c>
      <c r="G592" s="18">
        <v>59</v>
      </c>
      <c r="H592" s="20">
        <v>16.100000000000001</v>
      </c>
      <c r="I592" s="24" t="str" cm="1">
        <f t="array" ref="I592">_xlfn.IFS(
   AND(F592&gt;=0,9, G592&gt;=85), "Excelente",
   AND(F592&gt;=0,8, G592&gt;=70), "Bueno",
   OR(F592&lt;0,6,  G592&lt;50),  "Alerta",
   TRUE,           "Revisar")</f>
        <v>Alerta</v>
      </c>
      <c r="J592" s="28">
        <f t="shared" si="9"/>
        <v>0</v>
      </c>
    </row>
    <row r="593" spans="1:10" ht="18" customHeight="1" x14ac:dyDescent="0.3">
      <c r="A593" s="25" t="s">
        <v>1235</v>
      </c>
      <c r="B593" s="8" t="s">
        <v>1236</v>
      </c>
      <c r="C593" s="25" t="s">
        <v>81</v>
      </c>
      <c r="D593" s="25" t="s">
        <v>68</v>
      </c>
      <c r="E593" s="9">
        <v>6100000</v>
      </c>
      <c r="F593" s="26">
        <v>0.54</v>
      </c>
      <c r="G593" s="25">
        <v>31</v>
      </c>
      <c r="H593" s="27">
        <v>0</v>
      </c>
      <c r="I593" s="24" t="str" cm="1">
        <f t="array" ref="I593">_xlfn.IFS(
   AND(F593&gt;=0,9, G593&gt;=85), "Excelente",
   AND(F593&gt;=0,8, G593&gt;=70), "Bueno",
   OR(F593&lt;0,6,  G593&lt;50),  "Alerta",
   TRUE,           "Revisar")</f>
        <v>Alerta</v>
      </c>
      <c r="J593" s="28">
        <f t="shared" si="9"/>
        <v>0</v>
      </c>
    </row>
    <row r="594" spans="1:10" ht="18" customHeight="1" x14ac:dyDescent="0.3">
      <c r="A594" s="18" t="s">
        <v>1237</v>
      </c>
      <c r="B594" s="5" t="s">
        <v>1238</v>
      </c>
      <c r="C594" s="18" t="s">
        <v>59</v>
      </c>
      <c r="D594" s="18" t="s">
        <v>105</v>
      </c>
      <c r="E594" s="6">
        <v>9600000</v>
      </c>
      <c r="F594" s="19">
        <v>0.45</v>
      </c>
      <c r="G594" s="18">
        <v>92</v>
      </c>
      <c r="H594" s="20">
        <v>18.899999999999999</v>
      </c>
      <c r="I594" s="24" t="str" cm="1">
        <f t="array" ref="I594">_xlfn.IFS(
   AND(F594&gt;=0,9, G594&gt;=85), "Excelente",
   AND(F594&gt;=0,8, G594&gt;=70), "Bueno",
   OR(F594&lt;0,6,  G594&lt;50),  "Alerta",
   TRUE,           "Revisar")</f>
        <v>Excelente</v>
      </c>
      <c r="J594" s="28">
        <f t="shared" si="9"/>
        <v>960000</v>
      </c>
    </row>
    <row r="595" spans="1:10" ht="18" customHeight="1" x14ac:dyDescent="0.3">
      <c r="A595" s="25" t="s">
        <v>1239</v>
      </c>
      <c r="B595" s="8" t="s">
        <v>1240</v>
      </c>
      <c r="C595" s="25" t="s">
        <v>91</v>
      </c>
      <c r="D595" s="25" t="s">
        <v>68</v>
      </c>
      <c r="E595" s="9">
        <v>6500000</v>
      </c>
      <c r="F595" s="26">
        <v>0.78</v>
      </c>
      <c r="G595" s="25">
        <v>30</v>
      </c>
      <c r="H595" s="27">
        <v>11</v>
      </c>
      <c r="I595" s="24" t="str" cm="1">
        <f t="array" ref="I595">_xlfn.IFS(
   AND(F595&gt;=0,9, G595&gt;=85), "Excelente",
   AND(F595&gt;=0,8, G595&gt;=70), "Bueno",
   OR(F595&lt;0,6,  G595&lt;50),  "Alerta",
   TRUE,           "Revisar")</f>
        <v>Alerta</v>
      </c>
      <c r="J595" s="28">
        <f t="shared" si="9"/>
        <v>0</v>
      </c>
    </row>
    <row r="596" spans="1:10" ht="18" customHeight="1" x14ac:dyDescent="0.3">
      <c r="A596" s="18" t="s">
        <v>1241</v>
      </c>
      <c r="B596" s="5" t="s">
        <v>1242</v>
      </c>
      <c r="C596" s="18" t="s">
        <v>71</v>
      </c>
      <c r="D596" s="18" t="s">
        <v>68</v>
      </c>
      <c r="E596" s="6">
        <v>7600000</v>
      </c>
      <c r="F596" s="19">
        <v>0.56999999999999995</v>
      </c>
      <c r="G596" s="18">
        <v>40</v>
      </c>
      <c r="H596" s="20">
        <v>8.4</v>
      </c>
      <c r="I596" s="24" t="str" cm="1">
        <f t="array" ref="I596">_xlfn.IFS(
   AND(F596&gt;=0,9, G596&gt;=85), "Excelente",
   AND(F596&gt;=0,8, G596&gt;=70), "Bueno",
   OR(F596&lt;0,6,  G596&lt;50),  "Alerta",
   TRUE,           "Revisar")</f>
        <v>Alerta</v>
      </c>
      <c r="J596" s="28">
        <f t="shared" si="9"/>
        <v>0</v>
      </c>
    </row>
    <row r="597" spans="1:10" ht="18" customHeight="1" x14ac:dyDescent="0.3">
      <c r="A597" s="25" t="s">
        <v>1243</v>
      </c>
      <c r="B597" s="8" t="s">
        <v>1244</v>
      </c>
      <c r="C597" s="25" t="s">
        <v>59</v>
      </c>
      <c r="D597" s="25" t="s">
        <v>88</v>
      </c>
      <c r="E597" s="9">
        <v>11100000</v>
      </c>
      <c r="F597" s="26">
        <v>0.86</v>
      </c>
      <c r="G597" s="25">
        <v>64</v>
      </c>
      <c r="H597" s="27">
        <v>8.3000000000000007</v>
      </c>
      <c r="I597" s="24" t="str" cm="1">
        <f t="array" ref="I597">_xlfn.IFS(
   AND(F597&gt;=0,9, G597&gt;=85), "Excelente",
   AND(F597&gt;=0,8, G597&gt;=70), "Bueno",
   OR(F597&lt;0,6,  G597&lt;50),  "Alerta",
   TRUE,           "Revisar")</f>
        <v>Alerta</v>
      </c>
      <c r="J597" s="28">
        <f t="shared" si="9"/>
        <v>0</v>
      </c>
    </row>
    <row r="598" spans="1:10" ht="18" customHeight="1" x14ac:dyDescent="0.3">
      <c r="A598" s="18" t="s">
        <v>1245</v>
      </c>
      <c r="B598" s="5" t="s">
        <v>1246</v>
      </c>
      <c r="C598" s="18" t="s">
        <v>74</v>
      </c>
      <c r="D598" s="18" t="s">
        <v>105</v>
      </c>
      <c r="E598" s="6">
        <v>10700000</v>
      </c>
      <c r="F598" s="19">
        <v>0.7</v>
      </c>
      <c r="G598" s="18">
        <v>92</v>
      </c>
      <c r="H598" s="20">
        <v>3.8</v>
      </c>
      <c r="I598" s="24" t="str" cm="1">
        <f t="array" ref="I598">_xlfn.IFS(
   AND(F598&gt;=0,9, G598&gt;=85), "Excelente",
   AND(F598&gt;=0,8, G598&gt;=70), "Bueno",
   OR(F598&lt;0,6,  G598&lt;50),  "Alerta",
   TRUE,           "Revisar")</f>
        <v>Excelente</v>
      </c>
      <c r="J598" s="28">
        <f t="shared" si="9"/>
        <v>1070000</v>
      </c>
    </row>
    <row r="599" spans="1:10" ht="18" customHeight="1" x14ac:dyDescent="0.3">
      <c r="A599" s="25" t="s">
        <v>1247</v>
      </c>
      <c r="B599" s="8" t="s">
        <v>1248</v>
      </c>
      <c r="C599" s="25" t="s">
        <v>91</v>
      </c>
      <c r="D599" s="25" t="s">
        <v>64</v>
      </c>
      <c r="E599" s="9">
        <v>5100000</v>
      </c>
      <c r="F599" s="26">
        <v>0.98</v>
      </c>
      <c r="G599" s="25">
        <v>66</v>
      </c>
      <c r="H599" s="27">
        <v>5.4</v>
      </c>
      <c r="I599" s="24" t="str" cm="1">
        <f t="array" ref="I599">_xlfn.IFS(
   AND(F599&gt;=0,9, G599&gt;=85), "Excelente",
   AND(F599&gt;=0,8, G599&gt;=70), "Bueno",
   OR(F599&lt;0,6,  G599&lt;50),  "Alerta",
   TRUE,           "Revisar")</f>
        <v>Alerta</v>
      </c>
      <c r="J599" s="28">
        <f t="shared" si="9"/>
        <v>0</v>
      </c>
    </row>
    <row r="600" spans="1:10" ht="18" customHeight="1" x14ac:dyDescent="0.3">
      <c r="A600" s="18" t="s">
        <v>1249</v>
      </c>
      <c r="B600" s="5" t="s">
        <v>1250</v>
      </c>
      <c r="C600" s="18" t="s">
        <v>91</v>
      </c>
      <c r="D600" s="18" t="s">
        <v>60</v>
      </c>
      <c r="E600" s="6">
        <v>3900000</v>
      </c>
      <c r="F600" s="19">
        <v>0.53</v>
      </c>
      <c r="G600" s="18">
        <v>93</v>
      </c>
      <c r="H600" s="20">
        <v>4.3</v>
      </c>
      <c r="I600" s="24" t="str" cm="1">
        <f t="array" ref="I600">_xlfn.IFS(
   AND(F600&gt;=0,9, G600&gt;=85), "Excelente",
   AND(F600&gt;=0,8, G600&gt;=70), "Bueno",
   OR(F600&lt;0,6,  G600&lt;50),  "Alerta",
   TRUE,           "Revisar")</f>
        <v>Excelente</v>
      </c>
      <c r="J600" s="28">
        <f t="shared" si="9"/>
        <v>390000</v>
      </c>
    </row>
    <row r="601" spans="1:10" ht="18" customHeight="1" x14ac:dyDescent="0.3">
      <c r="A601" s="25" t="s">
        <v>1251</v>
      </c>
      <c r="B601" s="8" t="s">
        <v>1252</v>
      </c>
      <c r="C601" s="25" t="s">
        <v>77</v>
      </c>
      <c r="D601" s="25" t="s">
        <v>92</v>
      </c>
      <c r="E601" s="9">
        <v>8700000</v>
      </c>
      <c r="F601" s="26">
        <v>0.83</v>
      </c>
      <c r="G601" s="25">
        <v>34</v>
      </c>
      <c r="H601" s="27">
        <v>6.6</v>
      </c>
      <c r="I601" s="24" t="str" cm="1">
        <f t="array" ref="I601">_xlfn.IFS(
   AND(F601&gt;=0,9, G601&gt;=85), "Excelente",
   AND(F601&gt;=0,8, G601&gt;=70), "Bueno",
   OR(F601&lt;0,6,  G601&lt;50),  "Alerta",
   TRUE,           "Revisar")</f>
        <v>Alerta</v>
      </c>
      <c r="J601" s="28">
        <f t="shared" si="9"/>
        <v>0</v>
      </c>
    </row>
    <row r="602" spans="1:10" ht="18" customHeight="1" x14ac:dyDescent="0.3">
      <c r="A602" s="18" t="s">
        <v>1253</v>
      </c>
      <c r="B602" s="5" t="s">
        <v>1254</v>
      </c>
      <c r="C602" s="18" t="s">
        <v>63</v>
      </c>
      <c r="D602" s="18" t="s">
        <v>64</v>
      </c>
      <c r="E602" s="6">
        <v>4300000</v>
      </c>
      <c r="F602" s="19">
        <v>0.99</v>
      </c>
      <c r="G602" s="18">
        <v>61</v>
      </c>
      <c r="H602" s="20">
        <v>7.7</v>
      </c>
      <c r="I602" s="24" t="str" cm="1">
        <f t="array" ref="I602">_xlfn.IFS(
   AND(F602&gt;=0,9, G602&gt;=85), "Excelente",
   AND(F602&gt;=0,8, G602&gt;=70), "Bueno",
   OR(F602&lt;0,6,  G602&lt;50),  "Alerta",
   TRUE,           "Revisar")</f>
        <v>Alerta</v>
      </c>
      <c r="J602" s="28">
        <f t="shared" si="9"/>
        <v>0</v>
      </c>
    </row>
    <row r="603" spans="1:10" ht="18" customHeight="1" x14ac:dyDescent="0.3">
      <c r="A603" s="25" t="s">
        <v>1255</v>
      </c>
      <c r="B603" s="8" t="s">
        <v>1256</v>
      </c>
      <c r="C603" s="25" t="s">
        <v>91</v>
      </c>
      <c r="D603" s="25" t="s">
        <v>60</v>
      </c>
      <c r="E603" s="9">
        <v>8600000</v>
      </c>
      <c r="F603" s="26">
        <v>0.85</v>
      </c>
      <c r="G603" s="25">
        <v>42</v>
      </c>
      <c r="H603" s="27">
        <v>10.4</v>
      </c>
      <c r="I603" s="24" t="str" cm="1">
        <f t="array" ref="I603">_xlfn.IFS(
   AND(F603&gt;=0,9, G603&gt;=85), "Excelente",
   AND(F603&gt;=0,8, G603&gt;=70), "Bueno",
   OR(F603&lt;0,6,  G603&lt;50),  "Alerta",
   TRUE,           "Revisar")</f>
        <v>Alerta</v>
      </c>
      <c r="J603" s="28">
        <f t="shared" si="9"/>
        <v>0</v>
      </c>
    </row>
    <row r="604" spans="1:10" ht="18" customHeight="1" x14ac:dyDescent="0.3">
      <c r="A604" s="18" t="s">
        <v>1257</v>
      </c>
      <c r="B604" s="5" t="s">
        <v>1258</v>
      </c>
      <c r="C604" s="18" t="s">
        <v>63</v>
      </c>
      <c r="D604" s="18" t="s">
        <v>88</v>
      </c>
      <c r="E604" s="6">
        <v>6900000</v>
      </c>
      <c r="F604" s="19">
        <v>0.54</v>
      </c>
      <c r="G604" s="18">
        <v>35</v>
      </c>
      <c r="H604" s="20">
        <v>14.9</v>
      </c>
      <c r="I604" s="24" t="str" cm="1">
        <f t="array" ref="I604">_xlfn.IFS(
   AND(F604&gt;=0,9, G604&gt;=85), "Excelente",
   AND(F604&gt;=0,8, G604&gt;=70), "Bueno",
   OR(F604&lt;0,6,  G604&lt;50),  "Alerta",
   TRUE,           "Revisar")</f>
        <v>Alerta</v>
      </c>
      <c r="J604" s="28">
        <f t="shared" si="9"/>
        <v>0</v>
      </c>
    </row>
    <row r="605" spans="1:10" ht="18" customHeight="1" x14ac:dyDescent="0.3">
      <c r="A605" s="25" t="s">
        <v>1259</v>
      </c>
      <c r="B605" s="8" t="s">
        <v>1260</v>
      </c>
      <c r="C605" s="25" t="s">
        <v>74</v>
      </c>
      <c r="D605" s="25" t="s">
        <v>88</v>
      </c>
      <c r="E605" s="9">
        <v>8900000</v>
      </c>
      <c r="F605" s="26">
        <v>0.8</v>
      </c>
      <c r="G605" s="25">
        <v>55</v>
      </c>
      <c r="H605" s="27">
        <v>7.2</v>
      </c>
      <c r="I605" s="24" t="str" cm="1">
        <f t="array" ref="I605">_xlfn.IFS(
   AND(F605&gt;=0,9, G605&gt;=85), "Excelente",
   AND(F605&gt;=0,8, G605&gt;=70), "Bueno",
   OR(F605&lt;0,6,  G605&lt;50),  "Alerta",
   TRUE,           "Revisar")</f>
        <v>Alerta</v>
      </c>
      <c r="J605" s="28">
        <f t="shared" si="9"/>
        <v>0</v>
      </c>
    </row>
    <row r="606" spans="1:10" ht="18" customHeight="1" x14ac:dyDescent="0.3">
      <c r="A606" s="18" t="s">
        <v>1261</v>
      </c>
      <c r="B606" s="5" t="s">
        <v>1262</v>
      </c>
      <c r="C606" s="18" t="s">
        <v>67</v>
      </c>
      <c r="D606" s="18" t="s">
        <v>68</v>
      </c>
      <c r="E606" s="6">
        <v>6900000</v>
      </c>
      <c r="F606" s="19">
        <v>0.46</v>
      </c>
      <c r="G606" s="18">
        <v>65</v>
      </c>
      <c r="H606" s="20">
        <v>11.7</v>
      </c>
      <c r="I606" s="24" t="str" cm="1">
        <f t="array" ref="I606">_xlfn.IFS(
   AND(F606&gt;=0,9, G606&gt;=85), "Excelente",
   AND(F606&gt;=0,8, G606&gt;=70), "Bueno",
   OR(F606&lt;0,6,  G606&lt;50),  "Alerta",
   TRUE,           "Revisar")</f>
        <v>Alerta</v>
      </c>
      <c r="J606" s="28">
        <f t="shared" si="9"/>
        <v>0</v>
      </c>
    </row>
    <row r="607" spans="1:10" ht="18" customHeight="1" x14ac:dyDescent="0.3">
      <c r="A607" s="25" t="s">
        <v>1263</v>
      </c>
      <c r="B607" s="8" t="s">
        <v>1264</v>
      </c>
      <c r="C607" s="25" t="s">
        <v>67</v>
      </c>
      <c r="D607" s="25" t="s">
        <v>64</v>
      </c>
      <c r="E607" s="9">
        <v>3300000</v>
      </c>
      <c r="F607" s="26">
        <v>0.77</v>
      </c>
      <c r="G607" s="25">
        <v>90</v>
      </c>
      <c r="H607" s="27">
        <v>13.8</v>
      </c>
      <c r="I607" s="24" t="str" cm="1">
        <f t="array" ref="I607">_xlfn.IFS(
   AND(F607&gt;=0,9, G607&gt;=85), "Excelente",
   AND(F607&gt;=0,8, G607&gt;=70), "Bueno",
   OR(F607&lt;0,6,  G607&lt;50),  "Alerta",
   TRUE,           "Revisar")</f>
        <v>Excelente</v>
      </c>
      <c r="J607" s="28">
        <f t="shared" si="9"/>
        <v>330000</v>
      </c>
    </row>
    <row r="608" spans="1:10" ht="18" customHeight="1" x14ac:dyDescent="0.3">
      <c r="A608" s="18" t="s">
        <v>1265</v>
      </c>
      <c r="B608" s="5" t="s">
        <v>1266</v>
      </c>
      <c r="C608" s="18" t="s">
        <v>81</v>
      </c>
      <c r="D608" s="18" t="s">
        <v>114</v>
      </c>
      <c r="E608" s="6">
        <v>11700000</v>
      </c>
      <c r="F608" s="19">
        <v>0.74</v>
      </c>
      <c r="G608" s="18">
        <v>43</v>
      </c>
      <c r="H608" s="20">
        <v>2.5</v>
      </c>
      <c r="I608" s="24" t="str" cm="1">
        <f t="array" ref="I608">_xlfn.IFS(
   AND(F608&gt;=0,9, G608&gt;=85), "Excelente",
   AND(F608&gt;=0,8, G608&gt;=70), "Bueno",
   OR(F608&lt;0,6,  G608&lt;50),  "Alerta",
   TRUE,           "Revisar")</f>
        <v>Alerta</v>
      </c>
      <c r="J608" s="28">
        <f t="shared" si="9"/>
        <v>0</v>
      </c>
    </row>
    <row r="609" spans="1:10" ht="18" customHeight="1" x14ac:dyDescent="0.3">
      <c r="A609" s="25" t="s">
        <v>1267</v>
      </c>
      <c r="B609" s="8" t="s">
        <v>1268</v>
      </c>
      <c r="C609" s="25" t="s">
        <v>81</v>
      </c>
      <c r="D609" s="25" t="s">
        <v>105</v>
      </c>
      <c r="E609" s="9">
        <v>5200000</v>
      </c>
      <c r="F609" s="26">
        <v>0.46</v>
      </c>
      <c r="G609" s="25">
        <v>78</v>
      </c>
      <c r="H609" s="27">
        <v>7.2</v>
      </c>
      <c r="I609" s="24" t="str" cm="1">
        <f t="array" ref="I609">_xlfn.IFS(
   AND(F609&gt;=0,9, G609&gt;=85), "Excelente",
   AND(F609&gt;=0,8, G609&gt;=70), "Bueno",
   OR(F609&lt;0,6,  G609&lt;50),  "Alerta",
   TRUE,           "Revisar")</f>
        <v>Bueno</v>
      </c>
      <c r="J609" s="28">
        <f t="shared" si="9"/>
        <v>520000</v>
      </c>
    </row>
    <row r="610" spans="1:10" ht="18" customHeight="1" x14ac:dyDescent="0.3">
      <c r="A610" s="18" t="s">
        <v>1269</v>
      </c>
      <c r="B610" s="5" t="s">
        <v>1270</v>
      </c>
      <c r="C610" s="18" t="s">
        <v>91</v>
      </c>
      <c r="D610" s="18" t="s">
        <v>105</v>
      </c>
      <c r="E610" s="6">
        <v>11800000</v>
      </c>
      <c r="F610" s="19">
        <v>0.69</v>
      </c>
      <c r="G610" s="18">
        <v>67</v>
      </c>
      <c r="H610" s="20">
        <v>10.9</v>
      </c>
      <c r="I610" s="24" t="str" cm="1">
        <f t="array" ref="I610">_xlfn.IFS(
   AND(F610&gt;=0,9, G610&gt;=85), "Excelente",
   AND(F610&gt;=0,8, G610&gt;=70), "Bueno",
   OR(F610&lt;0,6,  G610&lt;50),  "Alerta",
   TRUE,           "Revisar")</f>
        <v>Alerta</v>
      </c>
      <c r="J610" s="28">
        <f t="shared" si="9"/>
        <v>0</v>
      </c>
    </row>
    <row r="611" spans="1:10" ht="18" customHeight="1" x14ac:dyDescent="0.3">
      <c r="A611" s="25" t="s">
        <v>1271</v>
      </c>
      <c r="B611" s="8" t="s">
        <v>1272</v>
      </c>
      <c r="C611" s="25" t="s">
        <v>81</v>
      </c>
      <c r="D611" s="25" t="s">
        <v>92</v>
      </c>
      <c r="E611" s="9">
        <v>8700000</v>
      </c>
      <c r="F611" s="26">
        <v>0.6</v>
      </c>
      <c r="G611" s="25">
        <v>100</v>
      </c>
      <c r="H611" s="27">
        <v>3.2</v>
      </c>
      <c r="I611" s="24" t="str" cm="1">
        <f t="array" ref="I611">_xlfn.IFS(
   AND(F611&gt;=0,9, G611&gt;=85), "Excelente",
   AND(F611&gt;=0,8, G611&gt;=70), "Bueno",
   OR(F611&lt;0,6,  G611&lt;50),  "Alerta",
   TRUE,           "Revisar")</f>
        <v>Excelente</v>
      </c>
      <c r="J611" s="28">
        <f t="shared" si="9"/>
        <v>870000</v>
      </c>
    </row>
    <row r="612" spans="1:10" ht="18" customHeight="1" x14ac:dyDescent="0.3">
      <c r="A612" s="18" t="s">
        <v>1273</v>
      </c>
      <c r="B612" s="5" t="s">
        <v>1274</v>
      </c>
      <c r="C612" s="18" t="s">
        <v>91</v>
      </c>
      <c r="D612" s="18" t="s">
        <v>92</v>
      </c>
      <c r="E612" s="6">
        <v>10700000</v>
      </c>
      <c r="F612" s="19">
        <v>0.57999999999999996</v>
      </c>
      <c r="G612" s="18">
        <v>38</v>
      </c>
      <c r="H612" s="20">
        <v>13.2</v>
      </c>
      <c r="I612" s="24" t="str" cm="1">
        <f t="array" ref="I612">_xlfn.IFS(
   AND(F612&gt;=0,9, G612&gt;=85), "Excelente",
   AND(F612&gt;=0,8, G612&gt;=70), "Bueno",
   OR(F612&lt;0,6,  G612&lt;50),  "Alerta",
   TRUE,           "Revisar")</f>
        <v>Alerta</v>
      </c>
      <c r="J612" s="28">
        <f t="shared" si="9"/>
        <v>0</v>
      </c>
    </row>
    <row r="613" spans="1:10" ht="18" customHeight="1" x14ac:dyDescent="0.3">
      <c r="A613" s="25" t="s">
        <v>1275</v>
      </c>
      <c r="B613" s="8" t="s">
        <v>1276</v>
      </c>
      <c r="C613" s="25" t="s">
        <v>77</v>
      </c>
      <c r="D613" s="25" t="s">
        <v>114</v>
      </c>
      <c r="E613" s="9">
        <v>10600000</v>
      </c>
      <c r="F613" s="26">
        <v>0.61</v>
      </c>
      <c r="G613" s="25">
        <v>82</v>
      </c>
      <c r="H613" s="27">
        <v>12.8</v>
      </c>
      <c r="I613" s="24" t="str" cm="1">
        <f t="array" ref="I613">_xlfn.IFS(
   AND(F613&gt;=0,9, G613&gt;=85), "Excelente",
   AND(F613&gt;=0,8, G613&gt;=70), "Bueno",
   OR(F613&lt;0,6,  G613&lt;50),  "Alerta",
   TRUE,           "Revisar")</f>
        <v>Bueno</v>
      </c>
      <c r="J613" s="28">
        <f t="shared" si="9"/>
        <v>1060000</v>
      </c>
    </row>
    <row r="614" spans="1:10" ht="18" customHeight="1" x14ac:dyDescent="0.3">
      <c r="A614" s="18" t="s">
        <v>1277</v>
      </c>
      <c r="B614" s="5" t="s">
        <v>1278</v>
      </c>
      <c r="C614" s="18" t="s">
        <v>74</v>
      </c>
      <c r="D614" s="18" t="s">
        <v>64</v>
      </c>
      <c r="E614" s="6">
        <v>4400000</v>
      </c>
      <c r="F614" s="19">
        <v>0.55000000000000004</v>
      </c>
      <c r="G614" s="18">
        <v>34</v>
      </c>
      <c r="H614" s="20">
        <v>4</v>
      </c>
      <c r="I614" s="24" t="str" cm="1">
        <f t="array" ref="I614">_xlfn.IFS(
   AND(F614&gt;=0,9, G614&gt;=85), "Excelente",
   AND(F614&gt;=0,8, G614&gt;=70), "Bueno",
   OR(F614&lt;0,6,  G614&lt;50),  "Alerta",
   TRUE,           "Revisar")</f>
        <v>Alerta</v>
      </c>
      <c r="J614" s="28">
        <f t="shared" si="9"/>
        <v>0</v>
      </c>
    </row>
    <row r="615" spans="1:10" ht="18" customHeight="1" x14ac:dyDescent="0.3">
      <c r="A615" s="25" t="s">
        <v>1279</v>
      </c>
      <c r="B615" s="8" t="s">
        <v>1280</v>
      </c>
      <c r="C615" s="25" t="s">
        <v>91</v>
      </c>
      <c r="D615" s="25" t="s">
        <v>92</v>
      </c>
      <c r="E615" s="9">
        <v>5600000</v>
      </c>
      <c r="F615" s="26">
        <v>0.78</v>
      </c>
      <c r="G615" s="25">
        <v>39</v>
      </c>
      <c r="H615" s="27">
        <v>0.3</v>
      </c>
      <c r="I615" s="24" t="str" cm="1">
        <f t="array" ref="I615">_xlfn.IFS(
   AND(F615&gt;=0,9, G615&gt;=85), "Excelente",
   AND(F615&gt;=0,8, G615&gt;=70), "Bueno",
   OR(F615&lt;0,6,  G615&lt;50),  "Alerta",
   TRUE,           "Revisar")</f>
        <v>Alerta</v>
      </c>
      <c r="J615" s="28">
        <f t="shared" si="9"/>
        <v>0</v>
      </c>
    </row>
    <row r="616" spans="1:10" ht="18" customHeight="1" x14ac:dyDescent="0.3">
      <c r="A616" s="18" t="s">
        <v>1281</v>
      </c>
      <c r="B616" s="5" t="s">
        <v>1282</v>
      </c>
      <c r="C616" s="18" t="s">
        <v>74</v>
      </c>
      <c r="D616" s="18" t="s">
        <v>105</v>
      </c>
      <c r="E616" s="6">
        <v>10900000</v>
      </c>
      <c r="F616" s="19">
        <v>0.48</v>
      </c>
      <c r="G616" s="18">
        <v>83</v>
      </c>
      <c r="H616" s="20">
        <v>16.399999999999999</v>
      </c>
      <c r="I616" s="24" t="str" cm="1">
        <f t="array" ref="I616">_xlfn.IFS(
   AND(F616&gt;=0,9, G616&gt;=85), "Excelente",
   AND(F616&gt;=0,8, G616&gt;=70), "Bueno",
   OR(F616&lt;0,6,  G616&lt;50),  "Alerta",
   TRUE,           "Revisar")</f>
        <v>Bueno</v>
      </c>
      <c r="J616" s="28">
        <f t="shared" si="9"/>
        <v>1090000</v>
      </c>
    </row>
    <row r="617" spans="1:10" ht="18" customHeight="1" x14ac:dyDescent="0.3">
      <c r="A617" s="25" t="s">
        <v>1283</v>
      </c>
      <c r="B617" s="8" t="s">
        <v>1284</v>
      </c>
      <c r="C617" s="25" t="s">
        <v>59</v>
      </c>
      <c r="D617" s="25" t="s">
        <v>64</v>
      </c>
      <c r="E617" s="9">
        <v>3700000</v>
      </c>
      <c r="F617" s="26">
        <v>0.91</v>
      </c>
      <c r="G617" s="25">
        <v>39</v>
      </c>
      <c r="H617" s="27">
        <v>18.899999999999999</v>
      </c>
      <c r="I617" s="24" t="str" cm="1">
        <f t="array" ref="I617">_xlfn.IFS(
   AND(F617&gt;=0,9, G617&gt;=85), "Excelente",
   AND(F617&gt;=0,8, G617&gt;=70), "Bueno",
   OR(F617&lt;0,6,  G617&lt;50),  "Alerta",
   TRUE,           "Revisar")</f>
        <v>Alerta</v>
      </c>
      <c r="J617" s="28">
        <f t="shared" si="9"/>
        <v>0</v>
      </c>
    </row>
    <row r="618" spans="1:10" ht="18" customHeight="1" x14ac:dyDescent="0.3">
      <c r="A618" s="18" t="s">
        <v>1285</v>
      </c>
      <c r="B618" s="5" t="s">
        <v>1286</v>
      </c>
      <c r="C618" s="18" t="s">
        <v>74</v>
      </c>
      <c r="D618" s="18" t="s">
        <v>60</v>
      </c>
      <c r="E618" s="6">
        <v>9600000</v>
      </c>
      <c r="F618" s="19">
        <v>0.66</v>
      </c>
      <c r="G618" s="18">
        <v>54</v>
      </c>
      <c r="H618" s="20">
        <v>10.5</v>
      </c>
      <c r="I618" s="24" t="str" cm="1">
        <f t="array" ref="I618">_xlfn.IFS(
   AND(F618&gt;=0,9, G618&gt;=85), "Excelente",
   AND(F618&gt;=0,8, G618&gt;=70), "Bueno",
   OR(F618&lt;0,6,  G618&lt;50),  "Alerta",
   TRUE,           "Revisar")</f>
        <v>Alerta</v>
      </c>
      <c r="J618" s="28">
        <f t="shared" si="9"/>
        <v>0</v>
      </c>
    </row>
    <row r="619" spans="1:10" ht="18" customHeight="1" x14ac:dyDescent="0.3">
      <c r="A619" s="25" t="s">
        <v>1287</v>
      </c>
      <c r="B619" s="8" t="s">
        <v>1288</v>
      </c>
      <c r="C619" s="25" t="s">
        <v>71</v>
      </c>
      <c r="D619" s="25" t="s">
        <v>68</v>
      </c>
      <c r="E619" s="9">
        <v>4100000</v>
      </c>
      <c r="F619" s="26">
        <v>0.87</v>
      </c>
      <c r="G619" s="25">
        <v>75</v>
      </c>
      <c r="H619" s="27">
        <v>13.5</v>
      </c>
      <c r="I619" s="24" t="str" cm="1">
        <f t="array" ref="I619">_xlfn.IFS(
   AND(F619&gt;=0,9, G619&gt;=85), "Excelente",
   AND(F619&gt;=0,8, G619&gt;=70), "Bueno",
   OR(F619&lt;0,6,  G619&lt;50),  "Alerta",
   TRUE,           "Revisar")</f>
        <v>Bueno</v>
      </c>
      <c r="J619" s="28">
        <f t="shared" si="9"/>
        <v>410000</v>
      </c>
    </row>
    <row r="620" spans="1:10" ht="18" customHeight="1" x14ac:dyDescent="0.3">
      <c r="A620" s="18" t="s">
        <v>1289</v>
      </c>
      <c r="B620" s="5" t="s">
        <v>1290</v>
      </c>
      <c r="C620" s="18" t="s">
        <v>74</v>
      </c>
      <c r="D620" s="18" t="s">
        <v>114</v>
      </c>
      <c r="E620" s="6">
        <v>5100000</v>
      </c>
      <c r="F620" s="19">
        <v>0.75</v>
      </c>
      <c r="G620" s="18">
        <v>94</v>
      </c>
      <c r="H620" s="20">
        <v>6.8</v>
      </c>
      <c r="I620" s="24" t="str" cm="1">
        <f t="array" ref="I620">_xlfn.IFS(
   AND(F620&gt;=0,9, G620&gt;=85), "Excelente",
   AND(F620&gt;=0,8, G620&gt;=70), "Bueno",
   OR(F620&lt;0,6,  G620&lt;50),  "Alerta",
   TRUE,           "Revisar")</f>
        <v>Excelente</v>
      </c>
      <c r="J620" s="28">
        <f t="shared" si="9"/>
        <v>510000</v>
      </c>
    </row>
    <row r="621" spans="1:10" ht="18" customHeight="1" x14ac:dyDescent="0.3">
      <c r="A621" s="25" t="s">
        <v>1291</v>
      </c>
      <c r="B621" s="8" t="s">
        <v>1292</v>
      </c>
      <c r="C621" s="25" t="s">
        <v>63</v>
      </c>
      <c r="D621" s="25" t="s">
        <v>92</v>
      </c>
      <c r="E621" s="9">
        <v>10500000</v>
      </c>
      <c r="F621" s="26">
        <v>0.57999999999999996</v>
      </c>
      <c r="G621" s="25">
        <v>99</v>
      </c>
      <c r="H621" s="27">
        <v>4.3</v>
      </c>
      <c r="I621" s="24" t="str" cm="1">
        <f t="array" ref="I621">_xlfn.IFS(
   AND(F621&gt;=0,9, G621&gt;=85), "Excelente",
   AND(F621&gt;=0,8, G621&gt;=70), "Bueno",
   OR(F621&lt;0,6,  G621&lt;50),  "Alerta",
   TRUE,           "Revisar")</f>
        <v>Excelente</v>
      </c>
      <c r="J621" s="28">
        <f t="shared" si="9"/>
        <v>1050000</v>
      </c>
    </row>
    <row r="622" spans="1:10" ht="18" customHeight="1" x14ac:dyDescent="0.3">
      <c r="A622" s="18" t="s">
        <v>1293</v>
      </c>
      <c r="B622" s="5" t="s">
        <v>1294</v>
      </c>
      <c r="C622" s="18" t="s">
        <v>77</v>
      </c>
      <c r="D622" s="18" t="s">
        <v>105</v>
      </c>
      <c r="E622" s="6">
        <v>7800000</v>
      </c>
      <c r="F622" s="19">
        <v>0.45</v>
      </c>
      <c r="G622" s="18">
        <v>34</v>
      </c>
      <c r="H622" s="20">
        <v>19.7</v>
      </c>
      <c r="I622" s="24" t="str" cm="1">
        <f t="array" ref="I622">_xlfn.IFS(
   AND(F622&gt;=0,9, G622&gt;=85), "Excelente",
   AND(F622&gt;=0,8, G622&gt;=70), "Bueno",
   OR(F622&lt;0,6,  G622&lt;50),  "Alerta",
   TRUE,           "Revisar")</f>
        <v>Alerta</v>
      </c>
      <c r="J622" s="28">
        <f t="shared" si="9"/>
        <v>0</v>
      </c>
    </row>
    <row r="623" spans="1:10" ht="18" customHeight="1" x14ac:dyDescent="0.3">
      <c r="A623" s="25" t="s">
        <v>1295</v>
      </c>
      <c r="B623" s="8" t="s">
        <v>1296</v>
      </c>
      <c r="C623" s="25" t="s">
        <v>71</v>
      </c>
      <c r="D623" s="25" t="s">
        <v>88</v>
      </c>
      <c r="E623" s="9">
        <v>2800000</v>
      </c>
      <c r="F623" s="26">
        <v>0.62</v>
      </c>
      <c r="G623" s="25">
        <v>58</v>
      </c>
      <c r="H623" s="27">
        <v>4.3</v>
      </c>
      <c r="I623" s="24" t="str" cm="1">
        <f t="array" ref="I623">_xlfn.IFS(
   AND(F623&gt;=0,9, G623&gt;=85), "Excelente",
   AND(F623&gt;=0,8, G623&gt;=70), "Bueno",
   OR(F623&lt;0,6,  G623&lt;50),  "Alerta",
   TRUE,           "Revisar")</f>
        <v>Alerta</v>
      </c>
      <c r="J623" s="28">
        <f t="shared" si="9"/>
        <v>0</v>
      </c>
    </row>
    <row r="624" spans="1:10" ht="18" customHeight="1" x14ac:dyDescent="0.3">
      <c r="A624" s="18" t="s">
        <v>1297</v>
      </c>
      <c r="B624" s="5" t="s">
        <v>1298</v>
      </c>
      <c r="C624" s="18" t="s">
        <v>59</v>
      </c>
      <c r="D624" s="18" t="s">
        <v>114</v>
      </c>
      <c r="E624" s="6">
        <v>4000000</v>
      </c>
      <c r="F624" s="19">
        <v>0.47</v>
      </c>
      <c r="G624" s="18">
        <v>75</v>
      </c>
      <c r="H624" s="20">
        <v>3.1</v>
      </c>
      <c r="I624" s="24" t="str" cm="1">
        <f t="array" ref="I624">_xlfn.IFS(
   AND(F624&gt;=0,9, G624&gt;=85), "Excelente",
   AND(F624&gt;=0,8, G624&gt;=70), "Bueno",
   OR(F624&lt;0,6,  G624&lt;50),  "Alerta",
   TRUE,           "Revisar")</f>
        <v>Bueno</v>
      </c>
      <c r="J624" s="28">
        <f t="shared" si="9"/>
        <v>400000</v>
      </c>
    </row>
    <row r="625" spans="1:10" ht="18" customHeight="1" x14ac:dyDescent="0.3">
      <c r="A625" s="25" t="s">
        <v>1299</v>
      </c>
      <c r="B625" s="8" t="s">
        <v>1300</v>
      </c>
      <c r="C625" s="25" t="s">
        <v>59</v>
      </c>
      <c r="D625" s="25" t="s">
        <v>78</v>
      </c>
      <c r="E625" s="9">
        <v>10100000</v>
      </c>
      <c r="F625" s="26">
        <v>0.67</v>
      </c>
      <c r="G625" s="25">
        <v>57</v>
      </c>
      <c r="H625" s="27">
        <v>14.7</v>
      </c>
      <c r="I625" s="24" t="str" cm="1">
        <f t="array" ref="I625">_xlfn.IFS(
   AND(F625&gt;=0,9, G625&gt;=85), "Excelente",
   AND(F625&gt;=0,8, G625&gt;=70), "Bueno",
   OR(F625&lt;0,6,  G625&lt;50),  "Alerta",
   TRUE,           "Revisar")</f>
        <v>Alerta</v>
      </c>
      <c r="J625" s="28">
        <f t="shared" si="9"/>
        <v>0</v>
      </c>
    </row>
    <row r="626" spans="1:10" ht="18" customHeight="1" x14ac:dyDescent="0.3">
      <c r="A626" s="18" t="s">
        <v>1301</v>
      </c>
      <c r="B626" s="5" t="s">
        <v>1302</v>
      </c>
      <c r="C626" s="18" t="s">
        <v>77</v>
      </c>
      <c r="D626" s="18" t="s">
        <v>78</v>
      </c>
      <c r="E626" s="6">
        <v>10400000</v>
      </c>
      <c r="F626" s="19">
        <v>0.8</v>
      </c>
      <c r="G626" s="18">
        <v>34</v>
      </c>
      <c r="H626" s="20">
        <v>14.6</v>
      </c>
      <c r="I626" s="24" t="str" cm="1">
        <f t="array" ref="I626">_xlfn.IFS(
   AND(F626&gt;=0,9, G626&gt;=85), "Excelente",
   AND(F626&gt;=0,8, G626&gt;=70), "Bueno",
   OR(F626&lt;0,6,  G626&lt;50),  "Alerta",
   TRUE,           "Revisar")</f>
        <v>Alerta</v>
      </c>
      <c r="J626" s="28">
        <f t="shared" si="9"/>
        <v>0</v>
      </c>
    </row>
    <row r="627" spans="1:10" ht="18" customHeight="1" x14ac:dyDescent="0.3">
      <c r="A627" s="25" t="s">
        <v>1303</v>
      </c>
      <c r="B627" s="8" t="s">
        <v>1304</v>
      </c>
      <c r="C627" s="25" t="s">
        <v>91</v>
      </c>
      <c r="D627" s="25" t="s">
        <v>92</v>
      </c>
      <c r="E627" s="9">
        <v>7200000</v>
      </c>
      <c r="F627" s="26">
        <v>0.93</v>
      </c>
      <c r="G627" s="25">
        <v>85</v>
      </c>
      <c r="H627" s="27">
        <v>8.3000000000000007</v>
      </c>
      <c r="I627" s="24" t="str" cm="1">
        <f t="array" ref="I627">_xlfn.IFS(
   AND(F627&gt;=0,9, G627&gt;=85), "Excelente",
   AND(F627&gt;=0,8, G627&gt;=70), "Bueno",
   OR(F627&lt;0,6,  G627&lt;50),  "Alerta",
   TRUE,           "Revisar")</f>
        <v>Excelente</v>
      </c>
      <c r="J627" s="28">
        <f t="shared" si="9"/>
        <v>720000</v>
      </c>
    </row>
    <row r="628" spans="1:10" ht="18" customHeight="1" x14ac:dyDescent="0.3">
      <c r="A628" s="18" t="s">
        <v>1305</v>
      </c>
      <c r="B628" s="5" t="s">
        <v>1306</v>
      </c>
      <c r="C628" s="18" t="s">
        <v>67</v>
      </c>
      <c r="D628" s="18" t="s">
        <v>64</v>
      </c>
      <c r="E628" s="6">
        <v>10900000</v>
      </c>
      <c r="F628" s="19">
        <v>0.88</v>
      </c>
      <c r="G628" s="18">
        <v>78</v>
      </c>
      <c r="H628" s="20">
        <v>1.1000000000000001</v>
      </c>
      <c r="I628" s="24" t="str" cm="1">
        <f t="array" ref="I628">_xlfn.IFS(
   AND(F628&gt;=0,9, G628&gt;=85), "Excelente",
   AND(F628&gt;=0,8, G628&gt;=70), "Bueno",
   OR(F628&lt;0,6,  G628&lt;50),  "Alerta",
   TRUE,           "Revisar")</f>
        <v>Bueno</v>
      </c>
      <c r="J628" s="28">
        <f t="shared" si="9"/>
        <v>1090000</v>
      </c>
    </row>
    <row r="629" spans="1:10" ht="18" customHeight="1" x14ac:dyDescent="0.3">
      <c r="A629" s="25" t="s">
        <v>1307</v>
      </c>
      <c r="B629" s="8" t="s">
        <v>1308</v>
      </c>
      <c r="C629" s="25" t="s">
        <v>63</v>
      </c>
      <c r="D629" s="25" t="s">
        <v>105</v>
      </c>
      <c r="E629" s="9">
        <v>10400000</v>
      </c>
      <c r="F629" s="26">
        <v>0.77</v>
      </c>
      <c r="G629" s="25">
        <v>41</v>
      </c>
      <c r="H629" s="27">
        <v>4.4000000000000004</v>
      </c>
      <c r="I629" s="24" t="str" cm="1">
        <f t="array" ref="I629">_xlfn.IFS(
   AND(F629&gt;=0,9, G629&gt;=85), "Excelente",
   AND(F629&gt;=0,8, G629&gt;=70), "Bueno",
   OR(F629&lt;0,6,  G629&lt;50),  "Alerta",
   TRUE,           "Revisar")</f>
        <v>Alerta</v>
      </c>
      <c r="J629" s="28">
        <f t="shared" si="9"/>
        <v>0</v>
      </c>
    </row>
    <row r="630" spans="1:10" ht="18" customHeight="1" x14ac:dyDescent="0.3">
      <c r="A630" s="18" t="s">
        <v>1309</v>
      </c>
      <c r="B630" s="5" t="s">
        <v>1310</v>
      </c>
      <c r="C630" s="18" t="s">
        <v>74</v>
      </c>
      <c r="D630" s="18" t="s">
        <v>105</v>
      </c>
      <c r="E630" s="6">
        <v>10100000</v>
      </c>
      <c r="F630" s="19">
        <v>0.86</v>
      </c>
      <c r="G630" s="18">
        <v>100</v>
      </c>
      <c r="H630" s="20">
        <v>8</v>
      </c>
      <c r="I630" s="24" t="str" cm="1">
        <f t="array" ref="I630">_xlfn.IFS(
   AND(F630&gt;=0,9, G630&gt;=85), "Excelente",
   AND(F630&gt;=0,8, G630&gt;=70), "Bueno",
   OR(F630&lt;0,6,  G630&lt;50),  "Alerta",
   TRUE,           "Revisar")</f>
        <v>Excelente</v>
      </c>
      <c r="J630" s="28">
        <f t="shared" si="9"/>
        <v>1010000</v>
      </c>
    </row>
    <row r="631" spans="1:10" ht="18" customHeight="1" x14ac:dyDescent="0.3">
      <c r="A631" s="25" t="s">
        <v>1311</v>
      </c>
      <c r="B631" s="8" t="s">
        <v>1312</v>
      </c>
      <c r="C631" s="25" t="s">
        <v>71</v>
      </c>
      <c r="D631" s="25" t="s">
        <v>114</v>
      </c>
      <c r="E631" s="9">
        <v>8900000</v>
      </c>
      <c r="F631" s="26">
        <v>0.76</v>
      </c>
      <c r="G631" s="25">
        <v>92</v>
      </c>
      <c r="H631" s="27">
        <v>7.9</v>
      </c>
      <c r="I631" s="24" t="str" cm="1">
        <f t="array" ref="I631">_xlfn.IFS(
   AND(F631&gt;=0,9, G631&gt;=85), "Excelente",
   AND(F631&gt;=0,8, G631&gt;=70), "Bueno",
   OR(F631&lt;0,6,  G631&lt;50),  "Alerta",
   TRUE,           "Revisar")</f>
        <v>Excelente</v>
      </c>
      <c r="J631" s="28">
        <f t="shared" si="9"/>
        <v>890000</v>
      </c>
    </row>
    <row r="632" spans="1:10" ht="18" customHeight="1" x14ac:dyDescent="0.3">
      <c r="A632" s="18" t="s">
        <v>1313</v>
      </c>
      <c r="B632" s="5" t="s">
        <v>1314</v>
      </c>
      <c r="C632" s="18" t="s">
        <v>67</v>
      </c>
      <c r="D632" s="18" t="s">
        <v>60</v>
      </c>
      <c r="E632" s="6">
        <v>3700000</v>
      </c>
      <c r="F632" s="19">
        <v>0.6</v>
      </c>
      <c r="G632" s="18">
        <v>85</v>
      </c>
      <c r="H632" s="20">
        <v>6.5</v>
      </c>
      <c r="I632" s="24" t="str" cm="1">
        <f t="array" ref="I632">_xlfn.IFS(
   AND(F632&gt;=0,9, G632&gt;=85), "Excelente",
   AND(F632&gt;=0,8, G632&gt;=70), "Bueno",
   OR(F632&lt;0,6,  G632&lt;50),  "Alerta",
   TRUE,           "Revisar")</f>
        <v>Excelente</v>
      </c>
      <c r="J632" s="28">
        <f t="shared" si="9"/>
        <v>370000</v>
      </c>
    </row>
    <row r="633" spans="1:10" ht="18" customHeight="1" x14ac:dyDescent="0.3">
      <c r="A633" s="25" t="s">
        <v>1315</v>
      </c>
      <c r="B633" s="8" t="s">
        <v>1316</v>
      </c>
      <c r="C633" s="25" t="s">
        <v>81</v>
      </c>
      <c r="D633" s="25" t="s">
        <v>92</v>
      </c>
      <c r="E633" s="9">
        <v>5200000</v>
      </c>
      <c r="F633" s="26">
        <v>0.63</v>
      </c>
      <c r="G633" s="25">
        <v>33</v>
      </c>
      <c r="H633" s="27">
        <v>15.4</v>
      </c>
      <c r="I633" s="24" t="str" cm="1">
        <f t="array" ref="I633">_xlfn.IFS(
   AND(F633&gt;=0,9, G633&gt;=85), "Excelente",
   AND(F633&gt;=0,8, G633&gt;=70), "Bueno",
   OR(F633&lt;0,6,  G633&lt;50),  "Alerta",
   TRUE,           "Revisar")</f>
        <v>Alerta</v>
      </c>
      <c r="J633" s="28">
        <f t="shared" si="9"/>
        <v>0</v>
      </c>
    </row>
    <row r="634" spans="1:10" ht="18" customHeight="1" x14ac:dyDescent="0.3">
      <c r="A634" s="18" t="s">
        <v>1317</v>
      </c>
      <c r="B634" s="5" t="s">
        <v>1318</v>
      </c>
      <c r="C634" s="18" t="s">
        <v>77</v>
      </c>
      <c r="D634" s="18" t="s">
        <v>114</v>
      </c>
      <c r="E634" s="6">
        <v>8400000</v>
      </c>
      <c r="F634" s="19">
        <v>0.47</v>
      </c>
      <c r="G634" s="18">
        <v>59</v>
      </c>
      <c r="H634" s="20">
        <v>4</v>
      </c>
      <c r="I634" s="24" t="str" cm="1">
        <f t="array" ref="I634">_xlfn.IFS(
   AND(F634&gt;=0,9, G634&gt;=85), "Excelente",
   AND(F634&gt;=0,8, G634&gt;=70), "Bueno",
   OR(F634&lt;0,6,  G634&lt;50),  "Alerta",
   TRUE,           "Revisar")</f>
        <v>Alerta</v>
      </c>
      <c r="J634" s="28">
        <f t="shared" si="9"/>
        <v>0</v>
      </c>
    </row>
    <row r="635" spans="1:10" ht="18" customHeight="1" x14ac:dyDescent="0.3">
      <c r="A635" s="25" t="s">
        <v>1319</v>
      </c>
      <c r="B635" s="8" t="s">
        <v>1320</v>
      </c>
      <c r="C635" s="25" t="s">
        <v>74</v>
      </c>
      <c r="D635" s="25" t="s">
        <v>78</v>
      </c>
      <c r="E635" s="9">
        <v>3400000</v>
      </c>
      <c r="F635" s="26">
        <v>0.57999999999999996</v>
      </c>
      <c r="G635" s="25">
        <v>48</v>
      </c>
      <c r="H635" s="27">
        <v>17.399999999999999</v>
      </c>
      <c r="I635" s="24" t="str" cm="1">
        <f t="array" ref="I635">_xlfn.IFS(
   AND(F635&gt;=0,9, G635&gt;=85), "Excelente",
   AND(F635&gt;=0,8, G635&gt;=70), "Bueno",
   OR(F635&lt;0,6,  G635&lt;50),  "Alerta",
   TRUE,           "Revisar")</f>
        <v>Alerta</v>
      </c>
      <c r="J635" s="28">
        <f t="shared" si="9"/>
        <v>0</v>
      </c>
    </row>
    <row r="636" spans="1:10" ht="18" customHeight="1" x14ac:dyDescent="0.3">
      <c r="A636" s="18" t="s">
        <v>1321</v>
      </c>
      <c r="B636" s="5" t="s">
        <v>1322</v>
      </c>
      <c r="C636" s="18" t="s">
        <v>74</v>
      </c>
      <c r="D636" s="18" t="s">
        <v>88</v>
      </c>
      <c r="E636" s="6">
        <v>8500000</v>
      </c>
      <c r="F636" s="19">
        <v>0.71</v>
      </c>
      <c r="G636" s="18">
        <v>72</v>
      </c>
      <c r="H636" s="20">
        <v>4.2</v>
      </c>
      <c r="I636" s="24" t="str" cm="1">
        <f t="array" ref="I636">_xlfn.IFS(
   AND(F636&gt;=0,9, G636&gt;=85), "Excelente",
   AND(F636&gt;=0,8, G636&gt;=70), "Bueno",
   OR(F636&lt;0,6,  G636&lt;50),  "Alerta",
   TRUE,           "Revisar")</f>
        <v>Bueno</v>
      </c>
      <c r="J636" s="28">
        <f t="shared" si="9"/>
        <v>850000</v>
      </c>
    </row>
    <row r="637" spans="1:10" ht="18" customHeight="1" x14ac:dyDescent="0.3">
      <c r="A637" s="25" t="s">
        <v>1323</v>
      </c>
      <c r="B637" s="8" t="s">
        <v>1324</v>
      </c>
      <c r="C637" s="25" t="s">
        <v>67</v>
      </c>
      <c r="D637" s="25" t="s">
        <v>88</v>
      </c>
      <c r="E637" s="9">
        <v>9800000</v>
      </c>
      <c r="F637" s="26">
        <v>0.72</v>
      </c>
      <c r="G637" s="25">
        <v>48</v>
      </c>
      <c r="H637" s="27">
        <v>13.9</v>
      </c>
      <c r="I637" s="24" t="str" cm="1">
        <f t="array" ref="I637">_xlfn.IFS(
   AND(F637&gt;=0,9, G637&gt;=85), "Excelente",
   AND(F637&gt;=0,8, G637&gt;=70), "Bueno",
   OR(F637&lt;0,6,  G637&lt;50),  "Alerta",
   TRUE,           "Revisar")</f>
        <v>Alerta</v>
      </c>
      <c r="J637" s="28">
        <f t="shared" si="9"/>
        <v>0</v>
      </c>
    </row>
    <row r="638" spans="1:10" ht="18" customHeight="1" x14ac:dyDescent="0.3">
      <c r="A638" s="18" t="s">
        <v>1325</v>
      </c>
      <c r="B638" s="5" t="s">
        <v>1326</v>
      </c>
      <c r="C638" s="18" t="s">
        <v>91</v>
      </c>
      <c r="D638" s="18" t="s">
        <v>88</v>
      </c>
      <c r="E638" s="6">
        <v>4900000</v>
      </c>
      <c r="F638" s="19">
        <v>0.48</v>
      </c>
      <c r="G638" s="18">
        <v>55</v>
      </c>
      <c r="H638" s="20">
        <v>15.8</v>
      </c>
      <c r="I638" s="24" t="str" cm="1">
        <f t="array" ref="I638">_xlfn.IFS(
   AND(F638&gt;=0,9, G638&gt;=85), "Excelente",
   AND(F638&gt;=0,8, G638&gt;=70), "Bueno",
   OR(F638&lt;0,6,  G638&lt;50),  "Alerta",
   TRUE,           "Revisar")</f>
        <v>Alerta</v>
      </c>
      <c r="J638" s="28">
        <f t="shared" si="9"/>
        <v>0</v>
      </c>
    </row>
    <row r="639" spans="1:10" ht="18" customHeight="1" x14ac:dyDescent="0.3">
      <c r="A639" s="25" t="s">
        <v>1327</v>
      </c>
      <c r="B639" s="8" t="s">
        <v>1328</v>
      </c>
      <c r="C639" s="25" t="s">
        <v>91</v>
      </c>
      <c r="D639" s="25" t="s">
        <v>78</v>
      </c>
      <c r="E639" s="9">
        <v>7700000</v>
      </c>
      <c r="F639" s="26">
        <v>0.81</v>
      </c>
      <c r="G639" s="25">
        <v>76</v>
      </c>
      <c r="H639" s="27">
        <v>17.3</v>
      </c>
      <c r="I639" s="24" t="str" cm="1">
        <f t="array" ref="I639">_xlfn.IFS(
   AND(F639&gt;=0,9, G639&gt;=85), "Excelente",
   AND(F639&gt;=0,8, G639&gt;=70), "Bueno",
   OR(F639&lt;0,6,  G639&lt;50),  "Alerta",
   TRUE,           "Revisar")</f>
        <v>Bueno</v>
      </c>
      <c r="J639" s="28">
        <f t="shared" si="9"/>
        <v>770000</v>
      </c>
    </row>
    <row r="640" spans="1:10" ht="18" customHeight="1" x14ac:dyDescent="0.3">
      <c r="A640" s="18" t="s">
        <v>1329</v>
      </c>
      <c r="B640" s="5" t="s">
        <v>1330</v>
      </c>
      <c r="C640" s="18" t="s">
        <v>63</v>
      </c>
      <c r="D640" s="18" t="s">
        <v>78</v>
      </c>
      <c r="E640" s="6">
        <v>6800000</v>
      </c>
      <c r="F640" s="19">
        <v>0.72</v>
      </c>
      <c r="G640" s="18">
        <v>98</v>
      </c>
      <c r="H640" s="20">
        <v>1.8</v>
      </c>
      <c r="I640" s="24" t="str" cm="1">
        <f t="array" ref="I640">_xlfn.IFS(
   AND(F640&gt;=0,9, G640&gt;=85), "Excelente",
   AND(F640&gt;=0,8, G640&gt;=70), "Bueno",
   OR(F640&lt;0,6,  G640&lt;50),  "Alerta",
   TRUE,           "Revisar")</f>
        <v>Excelente</v>
      </c>
      <c r="J640" s="28">
        <f t="shared" si="9"/>
        <v>680000</v>
      </c>
    </row>
    <row r="641" spans="1:10" ht="18" customHeight="1" x14ac:dyDescent="0.3">
      <c r="A641" s="25" t="s">
        <v>1331</v>
      </c>
      <c r="B641" s="8" t="s">
        <v>1332</v>
      </c>
      <c r="C641" s="25" t="s">
        <v>91</v>
      </c>
      <c r="D641" s="25" t="s">
        <v>64</v>
      </c>
      <c r="E641" s="9">
        <v>5900000</v>
      </c>
      <c r="F641" s="26">
        <v>0.96</v>
      </c>
      <c r="G641" s="25">
        <v>69</v>
      </c>
      <c r="H641" s="27">
        <v>6.7</v>
      </c>
      <c r="I641" s="24" t="str" cm="1">
        <f t="array" ref="I641">_xlfn.IFS(
   AND(F641&gt;=0,9, G641&gt;=85), "Excelente",
   AND(F641&gt;=0,8, G641&gt;=70), "Bueno",
   OR(F641&lt;0,6,  G641&lt;50),  "Alerta",
   TRUE,           "Revisar")</f>
        <v>Alerta</v>
      </c>
      <c r="J641" s="28">
        <f t="shared" si="9"/>
        <v>0</v>
      </c>
    </row>
    <row r="642" spans="1:10" ht="18" customHeight="1" x14ac:dyDescent="0.3">
      <c r="A642" s="18" t="s">
        <v>1333</v>
      </c>
      <c r="B642" s="5" t="s">
        <v>1334</v>
      </c>
      <c r="C642" s="18" t="s">
        <v>71</v>
      </c>
      <c r="D642" s="18" t="s">
        <v>64</v>
      </c>
      <c r="E642" s="6">
        <v>7200000</v>
      </c>
      <c r="F642" s="19">
        <v>0.83</v>
      </c>
      <c r="G642" s="18">
        <v>75</v>
      </c>
      <c r="H642" s="20">
        <v>12.5</v>
      </c>
      <c r="I642" s="24" t="str" cm="1">
        <f t="array" ref="I642">_xlfn.IFS(
   AND(F642&gt;=0,9, G642&gt;=85), "Excelente",
   AND(F642&gt;=0,8, G642&gt;=70), "Bueno",
   OR(F642&lt;0,6,  G642&lt;50),  "Alerta",
   TRUE,           "Revisar")</f>
        <v>Bueno</v>
      </c>
      <c r="J642" s="28">
        <f t="shared" si="9"/>
        <v>720000</v>
      </c>
    </row>
    <row r="643" spans="1:10" ht="18" customHeight="1" x14ac:dyDescent="0.3">
      <c r="A643" s="25" t="s">
        <v>1335</v>
      </c>
      <c r="B643" s="8" t="s">
        <v>1336</v>
      </c>
      <c r="C643" s="25" t="s">
        <v>59</v>
      </c>
      <c r="D643" s="25" t="s">
        <v>68</v>
      </c>
      <c r="E643" s="9">
        <v>3100000</v>
      </c>
      <c r="F643" s="26">
        <v>0.97</v>
      </c>
      <c r="G643" s="25">
        <v>65</v>
      </c>
      <c r="H643" s="27">
        <v>4.5</v>
      </c>
      <c r="I643" s="24" t="str" cm="1">
        <f t="array" ref="I643">_xlfn.IFS(
   AND(F643&gt;=0,9, G643&gt;=85), "Excelente",
   AND(F643&gt;=0,8, G643&gt;=70), "Bueno",
   OR(F643&lt;0,6,  G643&lt;50),  "Alerta",
   TRUE,           "Revisar")</f>
        <v>Alerta</v>
      </c>
      <c r="J643" s="28">
        <f t="shared" si="9"/>
        <v>0</v>
      </c>
    </row>
    <row r="644" spans="1:10" ht="18" customHeight="1" x14ac:dyDescent="0.3">
      <c r="A644" s="18" t="s">
        <v>1337</v>
      </c>
      <c r="B644" s="5" t="s">
        <v>1338</v>
      </c>
      <c r="C644" s="18" t="s">
        <v>63</v>
      </c>
      <c r="D644" s="18" t="s">
        <v>60</v>
      </c>
      <c r="E644" s="6">
        <v>8100000</v>
      </c>
      <c r="F644" s="19">
        <v>0.57999999999999996</v>
      </c>
      <c r="G644" s="18">
        <v>49</v>
      </c>
      <c r="H644" s="20">
        <v>8.5</v>
      </c>
      <c r="I644" s="24" t="str" cm="1">
        <f t="array" ref="I644">_xlfn.IFS(
   AND(F644&gt;=0,9, G644&gt;=85), "Excelente",
   AND(F644&gt;=0,8, G644&gt;=70), "Bueno",
   OR(F644&lt;0,6,  G644&lt;50),  "Alerta",
   TRUE,           "Revisar")</f>
        <v>Alerta</v>
      </c>
      <c r="J644" s="28">
        <f t="shared" si="9"/>
        <v>0</v>
      </c>
    </row>
    <row r="645" spans="1:10" ht="18" customHeight="1" x14ac:dyDescent="0.3">
      <c r="A645" s="25" t="s">
        <v>1339</v>
      </c>
      <c r="B645" s="8" t="s">
        <v>1340</v>
      </c>
      <c r="C645" s="25" t="s">
        <v>81</v>
      </c>
      <c r="D645" s="25" t="s">
        <v>105</v>
      </c>
      <c r="E645" s="9">
        <v>9700000</v>
      </c>
      <c r="F645" s="26">
        <v>0.52</v>
      </c>
      <c r="G645" s="25">
        <v>47</v>
      </c>
      <c r="H645" s="27">
        <v>11.6</v>
      </c>
      <c r="I645" s="24" t="str" cm="1">
        <f t="array" ref="I645">_xlfn.IFS(
   AND(F645&gt;=0,9, G645&gt;=85), "Excelente",
   AND(F645&gt;=0,8, G645&gt;=70), "Bueno",
   OR(F645&lt;0,6,  G645&lt;50),  "Alerta",
   TRUE,           "Revisar")</f>
        <v>Alerta</v>
      </c>
      <c r="J645" s="28">
        <f t="shared" si="9"/>
        <v>0</v>
      </c>
    </row>
    <row r="646" spans="1:10" ht="18" customHeight="1" x14ac:dyDescent="0.3">
      <c r="A646" s="18" t="s">
        <v>1341</v>
      </c>
      <c r="B646" s="5" t="s">
        <v>1342</v>
      </c>
      <c r="C646" s="18" t="s">
        <v>71</v>
      </c>
      <c r="D646" s="18" t="s">
        <v>88</v>
      </c>
      <c r="E646" s="6">
        <v>11600000</v>
      </c>
      <c r="F646" s="19">
        <v>0.84</v>
      </c>
      <c r="G646" s="18">
        <v>97</v>
      </c>
      <c r="H646" s="20">
        <v>18.2</v>
      </c>
      <c r="I646" s="24" t="str" cm="1">
        <f t="array" ref="I646">_xlfn.IFS(
   AND(F646&gt;=0,9, G646&gt;=85), "Excelente",
   AND(F646&gt;=0,8, G646&gt;=70), "Bueno",
   OR(F646&lt;0,6,  G646&lt;50),  "Alerta",
   TRUE,           "Revisar")</f>
        <v>Excelente</v>
      </c>
      <c r="J646" s="28">
        <f t="shared" si="9"/>
        <v>1160000</v>
      </c>
    </row>
    <row r="647" spans="1:10" ht="18" customHeight="1" x14ac:dyDescent="0.3">
      <c r="A647" s="25" t="s">
        <v>1343</v>
      </c>
      <c r="B647" s="8" t="s">
        <v>1344</v>
      </c>
      <c r="C647" s="25" t="s">
        <v>71</v>
      </c>
      <c r="D647" s="25" t="s">
        <v>114</v>
      </c>
      <c r="E647" s="9">
        <v>6800000</v>
      </c>
      <c r="F647" s="26">
        <v>0.49</v>
      </c>
      <c r="G647" s="25">
        <v>98</v>
      </c>
      <c r="H647" s="27">
        <v>19</v>
      </c>
      <c r="I647" s="24" t="str" cm="1">
        <f t="array" ref="I647">_xlfn.IFS(
   AND(F647&gt;=0,9, G647&gt;=85), "Excelente",
   AND(F647&gt;=0,8, G647&gt;=70), "Bueno",
   OR(F647&lt;0,6,  G647&lt;50),  "Alerta",
   TRUE,           "Revisar")</f>
        <v>Excelente</v>
      </c>
      <c r="J647" s="28">
        <f t="shared" si="9"/>
        <v>680000</v>
      </c>
    </row>
    <row r="648" spans="1:10" ht="18" customHeight="1" x14ac:dyDescent="0.3">
      <c r="A648" s="18" t="s">
        <v>1345</v>
      </c>
      <c r="B648" s="5" t="s">
        <v>1346</v>
      </c>
      <c r="C648" s="18" t="s">
        <v>81</v>
      </c>
      <c r="D648" s="18" t="s">
        <v>114</v>
      </c>
      <c r="E648" s="6">
        <v>3100000</v>
      </c>
      <c r="F648" s="19">
        <v>0.87</v>
      </c>
      <c r="G648" s="18">
        <v>82</v>
      </c>
      <c r="H648" s="20">
        <v>19.2</v>
      </c>
      <c r="I648" s="24" t="str" cm="1">
        <f t="array" ref="I648">_xlfn.IFS(
   AND(F648&gt;=0,9, G648&gt;=85), "Excelente",
   AND(F648&gt;=0,8, G648&gt;=70), "Bueno",
   OR(F648&lt;0,6,  G648&lt;50),  "Alerta",
   TRUE,           "Revisar")</f>
        <v>Bueno</v>
      </c>
      <c r="J648" s="28">
        <f t="shared" si="9"/>
        <v>310000</v>
      </c>
    </row>
    <row r="649" spans="1:10" ht="18" customHeight="1" x14ac:dyDescent="0.3">
      <c r="A649" s="25" t="s">
        <v>1347</v>
      </c>
      <c r="B649" s="8" t="s">
        <v>1348</v>
      </c>
      <c r="C649" s="25" t="s">
        <v>71</v>
      </c>
      <c r="D649" s="25" t="s">
        <v>114</v>
      </c>
      <c r="E649" s="9">
        <v>3100000</v>
      </c>
      <c r="F649" s="26">
        <v>0.87</v>
      </c>
      <c r="G649" s="25">
        <v>64</v>
      </c>
      <c r="H649" s="27">
        <v>12.1</v>
      </c>
      <c r="I649" s="24" t="str" cm="1">
        <f t="array" ref="I649">_xlfn.IFS(
   AND(F649&gt;=0,9, G649&gt;=85), "Excelente",
   AND(F649&gt;=0,8, G649&gt;=70), "Bueno",
   OR(F649&lt;0,6,  G649&lt;50),  "Alerta",
   TRUE,           "Revisar")</f>
        <v>Alerta</v>
      </c>
      <c r="J649" s="28">
        <f t="shared" si="9"/>
        <v>0</v>
      </c>
    </row>
    <row r="650" spans="1:10" ht="18" customHeight="1" x14ac:dyDescent="0.3">
      <c r="A650" s="18" t="s">
        <v>1349</v>
      </c>
      <c r="B650" s="5" t="s">
        <v>1350</v>
      </c>
      <c r="C650" s="18" t="s">
        <v>67</v>
      </c>
      <c r="D650" s="18" t="s">
        <v>60</v>
      </c>
      <c r="E650" s="6">
        <v>11500000</v>
      </c>
      <c r="F650" s="19">
        <v>0.46</v>
      </c>
      <c r="G650" s="18">
        <v>40</v>
      </c>
      <c r="H650" s="20">
        <v>13.8</v>
      </c>
      <c r="I650" s="24" t="str" cm="1">
        <f t="array" ref="I650">_xlfn.IFS(
   AND(F650&gt;=0,9, G650&gt;=85), "Excelente",
   AND(F650&gt;=0,8, G650&gt;=70), "Bueno",
   OR(F650&lt;0,6,  G650&lt;50),  "Alerta",
   TRUE,           "Revisar")</f>
        <v>Alerta</v>
      </c>
      <c r="J650" s="28">
        <f t="shared" si="9"/>
        <v>0</v>
      </c>
    </row>
    <row r="651" spans="1:10" ht="18" customHeight="1" x14ac:dyDescent="0.3">
      <c r="A651" s="25" t="s">
        <v>1351</v>
      </c>
      <c r="B651" s="8" t="s">
        <v>1352</v>
      </c>
      <c r="C651" s="25" t="s">
        <v>77</v>
      </c>
      <c r="D651" s="25" t="s">
        <v>92</v>
      </c>
      <c r="E651" s="9">
        <v>5100000</v>
      </c>
      <c r="F651" s="26">
        <v>0.92</v>
      </c>
      <c r="G651" s="25">
        <v>92</v>
      </c>
      <c r="H651" s="27">
        <v>9.5</v>
      </c>
      <c r="I651" s="24" t="str" cm="1">
        <f t="array" ref="I651">_xlfn.IFS(
   AND(F651&gt;=0,9, G651&gt;=85), "Excelente",
   AND(F651&gt;=0,8, G651&gt;=70), "Bueno",
   OR(F651&lt;0,6,  G651&lt;50),  "Alerta",
   TRUE,           "Revisar")</f>
        <v>Excelente</v>
      </c>
      <c r="J651" s="28">
        <f t="shared" si="9"/>
        <v>510000</v>
      </c>
    </row>
    <row r="652" spans="1:10" ht="18" customHeight="1" x14ac:dyDescent="0.3">
      <c r="A652" s="18" t="s">
        <v>1353</v>
      </c>
      <c r="B652" s="5" t="s">
        <v>1354</v>
      </c>
      <c r="C652" s="18" t="s">
        <v>67</v>
      </c>
      <c r="D652" s="18" t="s">
        <v>64</v>
      </c>
      <c r="E652" s="6">
        <v>8000000</v>
      </c>
      <c r="F652" s="19">
        <v>0.87</v>
      </c>
      <c r="G652" s="18">
        <v>31</v>
      </c>
      <c r="H652" s="20">
        <v>18.5</v>
      </c>
      <c r="I652" s="24" t="str" cm="1">
        <f t="array" ref="I652">_xlfn.IFS(
   AND(F652&gt;=0,9, G652&gt;=85), "Excelente",
   AND(F652&gt;=0,8, G652&gt;=70), "Bueno",
   OR(F652&lt;0,6,  G652&lt;50),  "Alerta",
   TRUE,           "Revisar")</f>
        <v>Alerta</v>
      </c>
      <c r="J652" s="28">
        <f t="shared" ref="J652:J715" si="10">IF(OR(I652="Excelente",I652="Bueno"),E652*0.1,0)</f>
        <v>0</v>
      </c>
    </row>
    <row r="653" spans="1:10" ht="18" customHeight="1" x14ac:dyDescent="0.3">
      <c r="A653" s="25" t="s">
        <v>1355</v>
      </c>
      <c r="B653" s="8" t="s">
        <v>1356</v>
      </c>
      <c r="C653" s="25" t="s">
        <v>67</v>
      </c>
      <c r="D653" s="25" t="s">
        <v>60</v>
      </c>
      <c r="E653" s="9">
        <v>3600000</v>
      </c>
      <c r="F653" s="26">
        <v>0.55000000000000004</v>
      </c>
      <c r="G653" s="25">
        <v>86</v>
      </c>
      <c r="H653" s="27">
        <v>17.3</v>
      </c>
      <c r="I653" s="24" t="str" cm="1">
        <f t="array" ref="I653">_xlfn.IFS(
   AND(F653&gt;=0,9, G653&gt;=85), "Excelente",
   AND(F653&gt;=0,8, G653&gt;=70), "Bueno",
   OR(F653&lt;0,6,  G653&lt;50),  "Alerta",
   TRUE,           "Revisar")</f>
        <v>Excelente</v>
      </c>
      <c r="J653" s="28">
        <f t="shared" si="10"/>
        <v>360000</v>
      </c>
    </row>
    <row r="654" spans="1:10" ht="18" customHeight="1" x14ac:dyDescent="0.3">
      <c r="A654" s="18" t="s">
        <v>1357</v>
      </c>
      <c r="B654" s="5" t="s">
        <v>1358</v>
      </c>
      <c r="C654" s="18" t="s">
        <v>81</v>
      </c>
      <c r="D654" s="18" t="s">
        <v>105</v>
      </c>
      <c r="E654" s="6">
        <v>5900000</v>
      </c>
      <c r="F654" s="19">
        <v>0.69</v>
      </c>
      <c r="G654" s="18">
        <v>35</v>
      </c>
      <c r="H654" s="20">
        <v>12.2</v>
      </c>
      <c r="I654" s="24" t="str" cm="1">
        <f t="array" ref="I654">_xlfn.IFS(
   AND(F654&gt;=0,9, G654&gt;=85), "Excelente",
   AND(F654&gt;=0,8, G654&gt;=70), "Bueno",
   OR(F654&lt;0,6,  G654&lt;50),  "Alerta",
   TRUE,           "Revisar")</f>
        <v>Alerta</v>
      </c>
      <c r="J654" s="28">
        <f t="shared" si="10"/>
        <v>0</v>
      </c>
    </row>
    <row r="655" spans="1:10" ht="18" customHeight="1" x14ac:dyDescent="0.3">
      <c r="A655" s="25" t="s">
        <v>1359</v>
      </c>
      <c r="B655" s="8" t="s">
        <v>1360</v>
      </c>
      <c r="C655" s="25" t="s">
        <v>91</v>
      </c>
      <c r="D655" s="25" t="s">
        <v>78</v>
      </c>
      <c r="E655" s="9">
        <v>8500000</v>
      </c>
      <c r="F655" s="26">
        <v>0.7</v>
      </c>
      <c r="G655" s="25">
        <v>35</v>
      </c>
      <c r="H655" s="27">
        <v>17.600000000000001</v>
      </c>
      <c r="I655" s="24" t="str" cm="1">
        <f t="array" ref="I655">_xlfn.IFS(
   AND(F655&gt;=0,9, G655&gt;=85), "Excelente",
   AND(F655&gt;=0,8, G655&gt;=70), "Bueno",
   OR(F655&lt;0,6,  G655&lt;50),  "Alerta",
   TRUE,           "Revisar")</f>
        <v>Alerta</v>
      </c>
      <c r="J655" s="28">
        <f t="shared" si="10"/>
        <v>0</v>
      </c>
    </row>
    <row r="656" spans="1:10" ht="18" customHeight="1" x14ac:dyDescent="0.3">
      <c r="A656" s="18" t="s">
        <v>1361</v>
      </c>
      <c r="B656" s="5" t="s">
        <v>1362</v>
      </c>
      <c r="C656" s="18" t="s">
        <v>63</v>
      </c>
      <c r="D656" s="18" t="s">
        <v>64</v>
      </c>
      <c r="E656" s="6">
        <v>5200000</v>
      </c>
      <c r="F656" s="19">
        <v>0.61</v>
      </c>
      <c r="G656" s="18">
        <v>80</v>
      </c>
      <c r="H656" s="20">
        <v>17.7</v>
      </c>
      <c r="I656" s="24" t="str" cm="1">
        <f t="array" ref="I656">_xlfn.IFS(
   AND(F656&gt;=0,9, G656&gt;=85), "Excelente",
   AND(F656&gt;=0,8, G656&gt;=70), "Bueno",
   OR(F656&lt;0,6,  G656&lt;50),  "Alerta",
   TRUE,           "Revisar")</f>
        <v>Bueno</v>
      </c>
      <c r="J656" s="28">
        <f t="shared" si="10"/>
        <v>520000</v>
      </c>
    </row>
    <row r="657" spans="1:10" ht="18" customHeight="1" x14ac:dyDescent="0.3">
      <c r="A657" s="25" t="s">
        <v>1363</v>
      </c>
      <c r="B657" s="8" t="s">
        <v>1364</v>
      </c>
      <c r="C657" s="25" t="s">
        <v>71</v>
      </c>
      <c r="D657" s="25" t="s">
        <v>68</v>
      </c>
      <c r="E657" s="9">
        <v>6500000</v>
      </c>
      <c r="F657" s="26">
        <v>0.79</v>
      </c>
      <c r="G657" s="25">
        <v>36</v>
      </c>
      <c r="H657" s="27">
        <v>13.8</v>
      </c>
      <c r="I657" s="24" t="str" cm="1">
        <f t="array" ref="I657">_xlfn.IFS(
   AND(F657&gt;=0,9, G657&gt;=85), "Excelente",
   AND(F657&gt;=0,8, G657&gt;=70), "Bueno",
   OR(F657&lt;0,6,  G657&lt;50),  "Alerta",
   TRUE,           "Revisar")</f>
        <v>Alerta</v>
      </c>
      <c r="J657" s="28">
        <f t="shared" si="10"/>
        <v>0</v>
      </c>
    </row>
    <row r="658" spans="1:10" ht="18" customHeight="1" x14ac:dyDescent="0.3">
      <c r="A658" s="18" t="s">
        <v>1365</v>
      </c>
      <c r="B658" s="5" t="s">
        <v>1366</v>
      </c>
      <c r="C658" s="18" t="s">
        <v>77</v>
      </c>
      <c r="D658" s="18" t="s">
        <v>78</v>
      </c>
      <c r="E658" s="6">
        <v>12000000</v>
      </c>
      <c r="F658" s="19">
        <v>0.73</v>
      </c>
      <c r="G658" s="18">
        <v>53</v>
      </c>
      <c r="H658" s="20">
        <v>15.6</v>
      </c>
      <c r="I658" s="24" t="str" cm="1">
        <f t="array" ref="I658">_xlfn.IFS(
   AND(F658&gt;=0,9, G658&gt;=85), "Excelente",
   AND(F658&gt;=0,8, G658&gt;=70), "Bueno",
   OR(F658&lt;0,6,  G658&lt;50),  "Alerta",
   TRUE,           "Revisar")</f>
        <v>Alerta</v>
      </c>
      <c r="J658" s="28">
        <f t="shared" si="10"/>
        <v>0</v>
      </c>
    </row>
    <row r="659" spans="1:10" ht="18" customHeight="1" x14ac:dyDescent="0.3">
      <c r="A659" s="25" t="s">
        <v>1367</v>
      </c>
      <c r="B659" s="8" t="s">
        <v>1368</v>
      </c>
      <c r="C659" s="25" t="s">
        <v>63</v>
      </c>
      <c r="D659" s="25" t="s">
        <v>68</v>
      </c>
      <c r="E659" s="9">
        <v>6900000</v>
      </c>
      <c r="F659" s="26">
        <v>0.7</v>
      </c>
      <c r="G659" s="25">
        <v>52</v>
      </c>
      <c r="H659" s="27">
        <v>9.1</v>
      </c>
      <c r="I659" s="24" t="str" cm="1">
        <f t="array" ref="I659">_xlfn.IFS(
   AND(F659&gt;=0,9, G659&gt;=85), "Excelente",
   AND(F659&gt;=0,8, G659&gt;=70), "Bueno",
   OR(F659&lt;0,6,  G659&lt;50),  "Alerta",
   TRUE,           "Revisar")</f>
        <v>Alerta</v>
      </c>
      <c r="J659" s="28">
        <f t="shared" si="10"/>
        <v>0</v>
      </c>
    </row>
    <row r="660" spans="1:10" ht="18" customHeight="1" x14ac:dyDescent="0.3">
      <c r="A660" s="18" t="s">
        <v>1369</v>
      </c>
      <c r="B660" s="5" t="s">
        <v>1370</v>
      </c>
      <c r="C660" s="18" t="s">
        <v>77</v>
      </c>
      <c r="D660" s="18" t="s">
        <v>78</v>
      </c>
      <c r="E660" s="6">
        <v>6000000</v>
      </c>
      <c r="F660" s="19">
        <v>0.63</v>
      </c>
      <c r="G660" s="18">
        <v>50</v>
      </c>
      <c r="H660" s="20">
        <v>14.4</v>
      </c>
      <c r="I660" s="24" t="str" cm="1">
        <f t="array" ref="I660">_xlfn.IFS(
   AND(F660&gt;=0,9, G660&gt;=85), "Excelente",
   AND(F660&gt;=0,8, G660&gt;=70), "Bueno",
   OR(F660&lt;0,6,  G660&lt;50),  "Alerta",
   TRUE,           "Revisar")</f>
        <v>Alerta</v>
      </c>
      <c r="J660" s="28">
        <f t="shared" si="10"/>
        <v>0</v>
      </c>
    </row>
    <row r="661" spans="1:10" ht="18" customHeight="1" x14ac:dyDescent="0.3">
      <c r="A661" s="25" t="s">
        <v>1371</v>
      </c>
      <c r="B661" s="8" t="s">
        <v>1372</v>
      </c>
      <c r="C661" s="25" t="s">
        <v>81</v>
      </c>
      <c r="D661" s="25" t="s">
        <v>78</v>
      </c>
      <c r="E661" s="9">
        <v>9500000</v>
      </c>
      <c r="F661" s="26">
        <v>0.84</v>
      </c>
      <c r="G661" s="25">
        <v>95</v>
      </c>
      <c r="H661" s="27">
        <v>12.2</v>
      </c>
      <c r="I661" s="24" t="str" cm="1">
        <f t="array" ref="I661">_xlfn.IFS(
   AND(F661&gt;=0,9, G661&gt;=85), "Excelente",
   AND(F661&gt;=0,8, G661&gt;=70), "Bueno",
   OR(F661&lt;0,6,  G661&lt;50),  "Alerta",
   TRUE,           "Revisar")</f>
        <v>Excelente</v>
      </c>
      <c r="J661" s="28">
        <f t="shared" si="10"/>
        <v>950000</v>
      </c>
    </row>
    <row r="662" spans="1:10" ht="18" customHeight="1" x14ac:dyDescent="0.3">
      <c r="A662" s="18" t="s">
        <v>1373</v>
      </c>
      <c r="B662" s="5" t="s">
        <v>1374</v>
      </c>
      <c r="C662" s="18" t="s">
        <v>71</v>
      </c>
      <c r="D662" s="18" t="s">
        <v>92</v>
      </c>
      <c r="E662" s="6">
        <v>10000000</v>
      </c>
      <c r="F662" s="19">
        <v>0.93</v>
      </c>
      <c r="G662" s="18">
        <v>49</v>
      </c>
      <c r="H662" s="20">
        <v>3.2</v>
      </c>
      <c r="I662" s="24" t="str" cm="1">
        <f t="array" ref="I662">_xlfn.IFS(
   AND(F662&gt;=0,9, G662&gt;=85), "Excelente",
   AND(F662&gt;=0,8, G662&gt;=70), "Bueno",
   OR(F662&lt;0,6,  G662&lt;50),  "Alerta",
   TRUE,           "Revisar")</f>
        <v>Alerta</v>
      </c>
      <c r="J662" s="28">
        <f t="shared" si="10"/>
        <v>0</v>
      </c>
    </row>
    <row r="663" spans="1:10" ht="18" customHeight="1" x14ac:dyDescent="0.3">
      <c r="A663" s="25" t="s">
        <v>1375</v>
      </c>
      <c r="B663" s="8" t="s">
        <v>1376</v>
      </c>
      <c r="C663" s="25" t="s">
        <v>59</v>
      </c>
      <c r="D663" s="25" t="s">
        <v>88</v>
      </c>
      <c r="E663" s="9">
        <v>8500000</v>
      </c>
      <c r="F663" s="26">
        <v>0.61</v>
      </c>
      <c r="G663" s="25">
        <v>53</v>
      </c>
      <c r="H663" s="27">
        <v>2.4</v>
      </c>
      <c r="I663" s="24" t="str" cm="1">
        <f t="array" ref="I663">_xlfn.IFS(
   AND(F663&gt;=0,9, G663&gt;=85), "Excelente",
   AND(F663&gt;=0,8, G663&gt;=70), "Bueno",
   OR(F663&lt;0,6,  G663&lt;50),  "Alerta",
   TRUE,           "Revisar")</f>
        <v>Alerta</v>
      </c>
      <c r="J663" s="28">
        <f t="shared" si="10"/>
        <v>0</v>
      </c>
    </row>
    <row r="664" spans="1:10" ht="18" customHeight="1" x14ac:dyDescent="0.3">
      <c r="A664" s="18" t="s">
        <v>1377</v>
      </c>
      <c r="B664" s="5" t="s">
        <v>1378</v>
      </c>
      <c r="C664" s="18" t="s">
        <v>59</v>
      </c>
      <c r="D664" s="18" t="s">
        <v>64</v>
      </c>
      <c r="E664" s="6">
        <v>8600000</v>
      </c>
      <c r="F664" s="19">
        <v>0.72</v>
      </c>
      <c r="G664" s="18">
        <v>93</v>
      </c>
      <c r="H664" s="20">
        <v>10.9</v>
      </c>
      <c r="I664" s="24" t="str" cm="1">
        <f t="array" ref="I664">_xlfn.IFS(
   AND(F664&gt;=0,9, G664&gt;=85), "Excelente",
   AND(F664&gt;=0,8, G664&gt;=70), "Bueno",
   OR(F664&lt;0,6,  G664&lt;50),  "Alerta",
   TRUE,           "Revisar")</f>
        <v>Excelente</v>
      </c>
      <c r="J664" s="28">
        <f t="shared" si="10"/>
        <v>860000</v>
      </c>
    </row>
    <row r="665" spans="1:10" ht="18" customHeight="1" x14ac:dyDescent="0.3">
      <c r="A665" s="25" t="s">
        <v>1379</v>
      </c>
      <c r="B665" s="8" t="s">
        <v>1380</v>
      </c>
      <c r="C665" s="25" t="s">
        <v>91</v>
      </c>
      <c r="D665" s="25" t="s">
        <v>60</v>
      </c>
      <c r="E665" s="9">
        <v>9800000</v>
      </c>
      <c r="F665" s="26">
        <v>0.6</v>
      </c>
      <c r="G665" s="25">
        <v>56</v>
      </c>
      <c r="H665" s="27">
        <v>1</v>
      </c>
      <c r="I665" s="24" t="str" cm="1">
        <f t="array" ref="I665">_xlfn.IFS(
   AND(F665&gt;=0,9, G665&gt;=85), "Excelente",
   AND(F665&gt;=0,8, G665&gt;=70), "Bueno",
   OR(F665&lt;0,6,  G665&lt;50),  "Alerta",
   TRUE,           "Revisar")</f>
        <v>Alerta</v>
      </c>
      <c r="J665" s="28">
        <f t="shared" si="10"/>
        <v>0</v>
      </c>
    </row>
    <row r="666" spans="1:10" ht="18" customHeight="1" x14ac:dyDescent="0.3">
      <c r="A666" s="18" t="s">
        <v>1381</v>
      </c>
      <c r="B666" s="5" t="s">
        <v>1382</v>
      </c>
      <c r="C666" s="18" t="s">
        <v>59</v>
      </c>
      <c r="D666" s="18" t="s">
        <v>92</v>
      </c>
      <c r="E666" s="6">
        <v>3900000</v>
      </c>
      <c r="F666" s="19">
        <v>0.48</v>
      </c>
      <c r="G666" s="18">
        <v>83</v>
      </c>
      <c r="H666" s="20">
        <v>19.899999999999999</v>
      </c>
      <c r="I666" s="24" t="str" cm="1">
        <f t="array" ref="I666">_xlfn.IFS(
   AND(F666&gt;=0,9, G666&gt;=85), "Excelente",
   AND(F666&gt;=0,8, G666&gt;=70), "Bueno",
   OR(F666&lt;0,6,  G666&lt;50),  "Alerta",
   TRUE,           "Revisar")</f>
        <v>Bueno</v>
      </c>
      <c r="J666" s="28">
        <f t="shared" si="10"/>
        <v>390000</v>
      </c>
    </row>
    <row r="667" spans="1:10" ht="18" customHeight="1" x14ac:dyDescent="0.3">
      <c r="A667" s="25" t="s">
        <v>1383</v>
      </c>
      <c r="B667" s="8" t="s">
        <v>1384</v>
      </c>
      <c r="C667" s="25" t="s">
        <v>59</v>
      </c>
      <c r="D667" s="25" t="s">
        <v>114</v>
      </c>
      <c r="E667" s="9">
        <v>8600000</v>
      </c>
      <c r="F667" s="26">
        <v>0.86</v>
      </c>
      <c r="G667" s="25">
        <v>76</v>
      </c>
      <c r="H667" s="27">
        <v>18.600000000000001</v>
      </c>
      <c r="I667" s="24" t="str" cm="1">
        <f t="array" ref="I667">_xlfn.IFS(
   AND(F667&gt;=0,9, G667&gt;=85), "Excelente",
   AND(F667&gt;=0,8, G667&gt;=70), "Bueno",
   OR(F667&lt;0,6,  G667&lt;50),  "Alerta",
   TRUE,           "Revisar")</f>
        <v>Bueno</v>
      </c>
      <c r="J667" s="28">
        <f t="shared" si="10"/>
        <v>860000</v>
      </c>
    </row>
    <row r="668" spans="1:10" ht="18" customHeight="1" x14ac:dyDescent="0.3">
      <c r="A668" s="18" t="s">
        <v>1385</v>
      </c>
      <c r="B668" s="5" t="s">
        <v>1386</v>
      </c>
      <c r="C668" s="18" t="s">
        <v>81</v>
      </c>
      <c r="D668" s="18" t="s">
        <v>68</v>
      </c>
      <c r="E668" s="6">
        <v>3600000</v>
      </c>
      <c r="F668" s="19">
        <v>0.87</v>
      </c>
      <c r="G668" s="18">
        <v>100</v>
      </c>
      <c r="H668" s="20">
        <v>1.3</v>
      </c>
      <c r="I668" s="24" t="str" cm="1">
        <f t="array" ref="I668">_xlfn.IFS(
   AND(F668&gt;=0,9, G668&gt;=85), "Excelente",
   AND(F668&gt;=0,8, G668&gt;=70), "Bueno",
   OR(F668&lt;0,6,  G668&lt;50),  "Alerta",
   TRUE,           "Revisar")</f>
        <v>Excelente</v>
      </c>
      <c r="J668" s="28">
        <f t="shared" si="10"/>
        <v>360000</v>
      </c>
    </row>
    <row r="669" spans="1:10" ht="18" customHeight="1" x14ac:dyDescent="0.3">
      <c r="A669" s="25" t="s">
        <v>1387</v>
      </c>
      <c r="B669" s="8" t="s">
        <v>1388</v>
      </c>
      <c r="C669" s="25" t="s">
        <v>91</v>
      </c>
      <c r="D669" s="25" t="s">
        <v>78</v>
      </c>
      <c r="E669" s="9">
        <v>10100000</v>
      </c>
      <c r="F669" s="26">
        <v>0.85</v>
      </c>
      <c r="G669" s="25">
        <v>97</v>
      </c>
      <c r="H669" s="27">
        <v>19.7</v>
      </c>
      <c r="I669" s="24" t="str" cm="1">
        <f t="array" ref="I669">_xlfn.IFS(
   AND(F669&gt;=0,9, G669&gt;=85), "Excelente",
   AND(F669&gt;=0,8, G669&gt;=70), "Bueno",
   OR(F669&lt;0,6,  G669&lt;50),  "Alerta",
   TRUE,           "Revisar")</f>
        <v>Excelente</v>
      </c>
      <c r="J669" s="28">
        <f t="shared" si="10"/>
        <v>1010000</v>
      </c>
    </row>
    <row r="670" spans="1:10" ht="18" customHeight="1" x14ac:dyDescent="0.3">
      <c r="A670" s="18" t="s">
        <v>1389</v>
      </c>
      <c r="B670" s="5" t="s">
        <v>1390</v>
      </c>
      <c r="C670" s="18" t="s">
        <v>59</v>
      </c>
      <c r="D670" s="18" t="s">
        <v>68</v>
      </c>
      <c r="E670" s="6">
        <v>10500000</v>
      </c>
      <c r="F670" s="19">
        <v>0.92</v>
      </c>
      <c r="G670" s="18">
        <v>63</v>
      </c>
      <c r="H670" s="20">
        <v>10.5</v>
      </c>
      <c r="I670" s="24" t="str" cm="1">
        <f t="array" ref="I670">_xlfn.IFS(
   AND(F670&gt;=0,9, G670&gt;=85), "Excelente",
   AND(F670&gt;=0,8, G670&gt;=70), "Bueno",
   OR(F670&lt;0,6,  G670&lt;50),  "Alerta",
   TRUE,           "Revisar")</f>
        <v>Alerta</v>
      </c>
      <c r="J670" s="28">
        <f t="shared" si="10"/>
        <v>0</v>
      </c>
    </row>
    <row r="671" spans="1:10" ht="18" customHeight="1" x14ac:dyDescent="0.3">
      <c r="A671" s="25" t="s">
        <v>1391</v>
      </c>
      <c r="B671" s="8" t="s">
        <v>1392</v>
      </c>
      <c r="C671" s="25" t="s">
        <v>71</v>
      </c>
      <c r="D671" s="25" t="s">
        <v>105</v>
      </c>
      <c r="E671" s="9">
        <v>9400000</v>
      </c>
      <c r="F671" s="26">
        <v>0.85</v>
      </c>
      <c r="G671" s="25">
        <v>93</v>
      </c>
      <c r="H671" s="27">
        <v>9.9</v>
      </c>
      <c r="I671" s="24" t="str" cm="1">
        <f t="array" ref="I671">_xlfn.IFS(
   AND(F671&gt;=0,9, G671&gt;=85), "Excelente",
   AND(F671&gt;=0,8, G671&gt;=70), "Bueno",
   OR(F671&lt;0,6,  G671&lt;50),  "Alerta",
   TRUE,           "Revisar")</f>
        <v>Excelente</v>
      </c>
      <c r="J671" s="28">
        <f t="shared" si="10"/>
        <v>940000</v>
      </c>
    </row>
    <row r="672" spans="1:10" ht="18" customHeight="1" x14ac:dyDescent="0.3">
      <c r="A672" s="18" t="s">
        <v>1393</v>
      </c>
      <c r="B672" s="5" t="s">
        <v>1394</v>
      </c>
      <c r="C672" s="18" t="s">
        <v>91</v>
      </c>
      <c r="D672" s="18" t="s">
        <v>105</v>
      </c>
      <c r="E672" s="6">
        <v>10800000</v>
      </c>
      <c r="F672" s="19">
        <v>0.89</v>
      </c>
      <c r="G672" s="18">
        <v>56</v>
      </c>
      <c r="H672" s="20">
        <v>16</v>
      </c>
      <c r="I672" s="24" t="str" cm="1">
        <f t="array" ref="I672">_xlfn.IFS(
   AND(F672&gt;=0,9, G672&gt;=85), "Excelente",
   AND(F672&gt;=0,8, G672&gt;=70), "Bueno",
   OR(F672&lt;0,6,  G672&lt;50),  "Alerta",
   TRUE,           "Revisar")</f>
        <v>Alerta</v>
      </c>
      <c r="J672" s="28">
        <f t="shared" si="10"/>
        <v>0</v>
      </c>
    </row>
    <row r="673" spans="1:10" ht="18" customHeight="1" x14ac:dyDescent="0.3">
      <c r="A673" s="25" t="s">
        <v>1395</v>
      </c>
      <c r="B673" s="8" t="s">
        <v>1396</v>
      </c>
      <c r="C673" s="25" t="s">
        <v>67</v>
      </c>
      <c r="D673" s="25" t="s">
        <v>88</v>
      </c>
      <c r="E673" s="9">
        <v>6000000</v>
      </c>
      <c r="F673" s="26">
        <v>0.88</v>
      </c>
      <c r="G673" s="25">
        <v>69</v>
      </c>
      <c r="H673" s="27">
        <v>6</v>
      </c>
      <c r="I673" s="24" t="str" cm="1">
        <f t="array" ref="I673">_xlfn.IFS(
   AND(F673&gt;=0,9, G673&gt;=85), "Excelente",
   AND(F673&gt;=0,8, G673&gt;=70), "Bueno",
   OR(F673&lt;0,6,  G673&lt;50),  "Alerta",
   TRUE,           "Revisar")</f>
        <v>Alerta</v>
      </c>
      <c r="J673" s="28">
        <f t="shared" si="10"/>
        <v>0</v>
      </c>
    </row>
    <row r="674" spans="1:10" ht="18" customHeight="1" x14ac:dyDescent="0.3">
      <c r="A674" s="18" t="s">
        <v>1397</v>
      </c>
      <c r="B674" s="5" t="s">
        <v>1398</v>
      </c>
      <c r="C674" s="18" t="s">
        <v>91</v>
      </c>
      <c r="D674" s="18" t="s">
        <v>78</v>
      </c>
      <c r="E674" s="6">
        <v>11500000</v>
      </c>
      <c r="F674" s="19">
        <v>0.63</v>
      </c>
      <c r="G674" s="18">
        <v>80</v>
      </c>
      <c r="H674" s="20">
        <v>14.5</v>
      </c>
      <c r="I674" s="24" t="str" cm="1">
        <f t="array" ref="I674">_xlfn.IFS(
   AND(F674&gt;=0,9, G674&gt;=85), "Excelente",
   AND(F674&gt;=0,8, G674&gt;=70), "Bueno",
   OR(F674&lt;0,6,  G674&lt;50),  "Alerta",
   TRUE,           "Revisar")</f>
        <v>Bueno</v>
      </c>
      <c r="J674" s="28">
        <f t="shared" si="10"/>
        <v>1150000</v>
      </c>
    </row>
    <row r="675" spans="1:10" ht="18" customHeight="1" x14ac:dyDescent="0.3">
      <c r="A675" s="25" t="s">
        <v>1399</v>
      </c>
      <c r="B675" s="8" t="s">
        <v>1400</v>
      </c>
      <c r="C675" s="25" t="s">
        <v>71</v>
      </c>
      <c r="D675" s="25" t="s">
        <v>60</v>
      </c>
      <c r="E675" s="9">
        <v>7000000</v>
      </c>
      <c r="F675" s="26">
        <v>0.91</v>
      </c>
      <c r="G675" s="25">
        <v>91</v>
      </c>
      <c r="H675" s="27">
        <v>18.3</v>
      </c>
      <c r="I675" s="24" t="str" cm="1">
        <f t="array" ref="I675">_xlfn.IFS(
   AND(F675&gt;=0,9, G675&gt;=85), "Excelente",
   AND(F675&gt;=0,8, G675&gt;=70), "Bueno",
   OR(F675&lt;0,6,  G675&lt;50),  "Alerta",
   TRUE,           "Revisar")</f>
        <v>Excelente</v>
      </c>
      <c r="J675" s="28">
        <f t="shared" si="10"/>
        <v>700000</v>
      </c>
    </row>
    <row r="676" spans="1:10" ht="18" customHeight="1" x14ac:dyDescent="0.3">
      <c r="A676" s="18" t="s">
        <v>1401</v>
      </c>
      <c r="B676" s="5" t="s">
        <v>1402</v>
      </c>
      <c r="C676" s="18" t="s">
        <v>71</v>
      </c>
      <c r="D676" s="18" t="s">
        <v>105</v>
      </c>
      <c r="E676" s="6">
        <v>4700000</v>
      </c>
      <c r="F676" s="19">
        <v>0.79</v>
      </c>
      <c r="G676" s="18">
        <v>98</v>
      </c>
      <c r="H676" s="20">
        <v>17.899999999999999</v>
      </c>
      <c r="I676" s="24" t="str" cm="1">
        <f t="array" ref="I676">_xlfn.IFS(
   AND(F676&gt;=0,9, G676&gt;=85), "Excelente",
   AND(F676&gt;=0,8, G676&gt;=70), "Bueno",
   OR(F676&lt;0,6,  G676&lt;50),  "Alerta",
   TRUE,           "Revisar")</f>
        <v>Excelente</v>
      </c>
      <c r="J676" s="28">
        <f t="shared" si="10"/>
        <v>470000</v>
      </c>
    </row>
    <row r="677" spans="1:10" ht="18" customHeight="1" x14ac:dyDescent="0.3">
      <c r="A677" s="25" t="s">
        <v>1403</v>
      </c>
      <c r="B677" s="8" t="s">
        <v>1404</v>
      </c>
      <c r="C677" s="25" t="s">
        <v>63</v>
      </c>
      <c r="D677" s="25" t="s">
        <v>64</v>
      </c>
      <c r="E677" s="9">
        <v>9400000</v>
      </c>
      <c r="F677" s="26">
        <v>0.61</v>
      </c>
      <c r="G677" s="25">
        <v>70</v>
      </c>
      <c r="H677" s="27">
        <v>11.1</v>
      </c>
      <c r="I677" s="24" t="str" cm="1">
        <f t="array" ref="I677">_xlfn.IFS(
   AND(F677&gt;=0,9, G677&gt;=85), "Excelente",
   AND(F677&gt;=0,8, G677&gt;=70), "Bueno",
   OR(F677&lt;0,6,  G677&lt;50),  "Alerta",
   TRUE,           "Revisar")</f>
        <v>Bueno</v>
      </c>
      <c r="J677" s="28">
        <f t="shared" si="10"/>
        <v>940000</v>
      </c>
    </row>
    <row r="678" spans="1:10" ht="18" customHeight="1" x14ac:dyDescent="0.3">
      <c r="A678" s="18" t="s">
        <v>1405</v>
      </c>
      <c r="B678" s="5" t="s">
        <v>1406</v>
      </c>
      <c r="C678" s="18" t="s">
        <v>81</v>
      </c>
      <c r="D678" s="18" t="s">
        <v>92</v>
      </c>
      <c r="E678" s="6">
        <v>3600000</v>
      </c>
      <c r="F678" s="19">
        <v>0.98</v>
      </c>
      <c r="G678" s="18">
        <v>65</v>
      </c>
      <c r="H678" s="20">
        <v>16.8</v>
      </c>
      <c r="I678" s="24" t="str" cm="1">
        <f t="array" ref="I678">_xlfn.IFS(
   AND(F678&gt;=0,9, G678&gt;=85), "Excelente",
   AND(F678&gt;=0,8, G678&gt;=70), "Bueno",
   OR(F678&lt;0,6,  G678&lt;50),  "Alerta",
   TRUE,           "Revisar")</f>
        <v>Alerta</v>
      </c>
      <c r="J678" s="28">
        <f t="shared" si="10"/>
        <v>0</v>
      </c>
    </row>
    <row r="679" spans="1:10" ht="18" customHeight="1" x14ac:dyDescent="0.3">
      <c r="A679" s="25" t="s">
        <v>1407</v>
      </c>
      <c r="B679" s="8" t="s">
        <v>1408</v>
      </c>
      <c r="C679" s="25" t="s">
        <v>71</v>
      </c>
      <c r="D679" s="25" t="s">
        <v>68</v>
      </c>
      <c r="E679" s="9">
        <v>5100000</v>
      </c>
      <c r="F679" s="26">
        <v>0.78</v>
      </c>
      <c r="G679" s="25">
        <v>69</v>
      </c>
      <c r="H679" s="27">
        <v>14.1</v>
      </c>
      <c r="I679" s="24" t="str" cm="1">
        <f t="array" ref="I679">_xlfn.IFS(
   AND(F679&gt;=0,9, G679&gt;=85), "Excelente",
   AND(F679&gt;=0,8, G679&gt;=70), "Bueno",
   OR(F679&lt;0,6,  G679&lt;50),  "Alerta",
   TRUE,           "Revisar")</f>
        <v>Alerta</v>
      </c>
      <c r="J679" s="28">
        <f t="shared" si="10"/>
        <v>0</v>
      </c>
    </row>
    <row r="680" spans="1:10" ht="18" customHeight="1" x14ac:dyDescent="0.3">
      <c r="A680" s="18" t="s">
        <v>1409</v>
      </c>
      <c r="B680" s="5" t="s">
        <v>1410</v>
      </c>
      <c r="C680" s="18" t="s">
        <v>63</v>
      </c>
      <c r="D680" s="18" t="s">
        <v>78</v>
      </c>
      <c r="E680" s="6">
        <v>9100000</v>
      </c>
      <c r="F680" s="19">
        <v>0.93</v>
      </c>
      <c r="G680" s="18">
        <v>77</v>
      </c>
      <c r="H680" s="20">
        <v>9</v>
      </c>
      <c r="I680" s="24" t="str" cm="1">
        <f t="array" ref="I680">_xlfn.IFS(
   AND(F680&gt;=0,9, G680&gt;=85), "Excelente",
   AND(F680&gt;=0,8, G680&gt;=70), "Bueno",
   OR(F680&lt;0,6,  G680&lt;50),  "Alerta",
   TRUE,           "Revisar")</f>
        <v>Bueno</v>
      </c>
      <c r="J680" s="28">
        <f t="shared" si="10"/>
        <v>910000</v>
      </c>
    </row>
    <row r="681" spans="1:10" ht="18" customHeight="1" x14ac:dyDescent="0.3">
      <c r="A681" s="25" t="s">
        <v>1411</v>
      </c>
      <c r="B681" s="8" t="s">
        <v>1412</v>
      </c>
      <c r="C681" s="25" t="s">
        <v>59</v>
      </c>
      <c r="D681" s="25" t="s">
        <v>114</v>
      </c>
      <c r="E681" s="9">
        <v>4200000</v>
      </c>
      <c r="F681" s="26">
        <v>0.66</v>
      </c>
      <c r="G681" s="25">
        <v>34</v>
      </c>
      <c r="H681" s="27">
        <v>15.6</v>
      </c>
      <c r="I681" s="24" t="str" cm="1">
        <f t="array" ref="I681">_xlfn.IFS(
   AND(F681&gt;=0,9, G681&gt;=85), "Excelente",
   AND(F681&gt;=0,8, G681&gt;=70), "Bueno",
   OR(F681&lt;0,6,  G681&lt;50),  "Alerta",
   TRUE,           "Revisar")</f>
        <v>Alerta</v>
      </c>
      <c r="J681" s="28">
        <f t="shared" si="10"/>
        <v>0</v>
      </c>
    </row>
    <row r="682" spans="1:10" ht="18" customHeight="1" x14ac:dyDescent="0.3">
      <c r="A682" s="18" t="s">
        <v>1413</v>
      </c>
      <c r="B682" s="5" t="s">
        <v>1414</v>
      </c>
      <c r="C682" s="18" t="s">
        <v>91</v>
      </c>
      <c r="D682" s="18" t="s">
        <v>105</v>
      </c>
      <c r="E682" s="6">
        <v>9200000</v>
      </c>
      <c r="F682" s="19">
        <v>0.53</v>
      </c>
      <c r="G682" s="18">
        <v>73</v>
      </c>
      <c r="H682" s="20">
        <v>18.5</v>
      </c>
      <c r="I682" s="24" t="str" cm="1">
        <f t="array" ref="I682">_xlfn.IFS(
   AND(F682&gt;=0,9, G682&gt;=85), "Excelente",
   AND(F682&gt;=0,8, G682&gt;=70), "Bueno",
   OR(F682&lt;0,6,  G682&lt;50),  "Alerta",
   TRUE,           "Revisar")</f>
        <v>Bueno</v>
      </c>
      <c r="J682" s="28">
        <f t="shared" si="10"/>
        <v>920000</v>
      </c>
    </row>
    <row r="683" spans="1:10" ht="18" customHeight="1" x14ac:dyDescent="0.3">
      <c r="A683" s="25" t="s">
        <v>1415</v>
      </c>
      <c r="B683" s="8" t="s">
        <v>1416</v>
      </c>
      <c r="C683" s="25" t="s">
        <v>74</v>
      </c>
      <c r="D683" s="25" t="s">
        <v>114</v>
      </c>
      <c r="E683" s="9">
        <v>5400000</v>
      </c>
      <c r="F683" s="26">
        <v>0.85</v>
      </c>
      <c r="G683" s="25">
        <v>88</v>
      </c>
      <c r="H683" s="27">
        <v>7.8</v>
      </c>
      <c r="I683" s="24" t="str" cm="1">
        <f t="array" ref="I683">_xlfn.IFS(
   AND(F683&gt;=0,9, G683&gt;=85), "Excelente",
   AND(F683&gt;=0,8, G683&gt;=70), "Bueno",
   OR(F683&lt;0,6,  G683&lt;50),  "Alerta",
   TRUE,           "Revisar")</f>
        <v>Excelente</v>
      </c>
      <c r="J683" s="28">
        <f t="shared" si="10"/>
        <v>540000</v>
      </c>
    </row>
    <row r="684" spans="1:10" ht="18" customHeight="1" x14ac:dyDescent="0.3">
      <c r="A684" s="18" t="s">
        <v>1417</v>
      </c>
      <c r="B684" s="5" t="s">
        <v>1418</v>
      </c>
      <c r="C684" s="18" t="s">
        <v>77</v>
      </c>
      <c r="D684" s="18" t="s">
        <v>64</v>
      </c>
      <c r="E684" s="6">
        <v>4100000</v>
      </c>
      <c r="F684" s="19">
        <v>0.74</v>
      </c>
      <c r="G684" s="18">
        <v>69</v>
      </c>
      <c r="H684" s="20">
        <v>0.4</v>
      </c>
      <c r="I684" s="24" t="str" cm="1">
        <f t="array" ref="I684">_xlfn.IFS(
   AND(F684&gt;=0,9, G684&gt;=85), "Excelente",
   AND(F684&gt;=0,8, G684&gt;=70), "Bueno",
   OR(F684&lt;0,6,  G684&lt;50),  "Alerta",
   TRUE,           "Revisar")</f>
        <v>Alerta</v>
      </c>
      <c r="J684" s="28">
        <f t="shared" si="10"/>
        <v>0</v>
      </c>
    </row>
    <row r="685" spans="1:10" ht="18" customHeight="1" x14ac:dyDescent="0.3">
      <c r="A685" s="25" t="s">
        <v>1419</v>
      </c>
      <c r="B685" s="8" t="s">
        <v>1420</v>
      </c>
      <c r="C685" s="25" t="s">
        <v>67</v>
      </c>
      <c r="D685" s="25" t="s">
        <v>60</v>
      </c>
      <c r="E685" s="9">
        <v>6400000</v>
      </c>
      <c r="F685" s="26">
        <v>0.6</v>
      </c>
      <c r="G685" s="25">
        <v>70</v>
      </c>
      <c r="H685" s="27">
        <v>15.5</v>
      </c>
      <c r="I685" s="24" t="str" cm="1">
        <f t="array" ref="I685">_xlfn.IFS(
   AND(F685&gt;=0,9, G685&gt;=85), "Excelente",
   AND(F685&gt;=0,8, G685&gt;=70), "Bueno",
   OR(F685&lt;0,6,  G685&lt;50),  "Alerta",
   TRUE,           "Revisar")</f>
        <v>Bueno</v>
      </c>
      <c r="J685" s="28">
        <f t="shared" si="10"/>
        <v>640000</v>
      </c>
    </row>
    <row r="686" spans="1:10" ht="18" customHeight="1" x14ac:dyDescent="0.3">
      <c r="A686" s="18" t="s">
        <v>1421</v>
      </c>
      <c r="B686" s="5" t="s">
        <v>1422</v>
      </c>
      <c r="C686" s="18" t="s">
        <v>67</v>
      </c>
      <c r="D686" s="18" t="s">
        <v>114</v>
      </c>
      <c r="E686" s="6">
        <v>3700000</v>
      </c>
      <c r="F686" s="19">
        <v>0.62</v>
      </c>
      <c r="G686" s="18">
        <v>73</v>
      </c>
      <c r="H686" s="20">
        <v>10.8</v>
      </c>
      <c r="I686" s="24" t="str" cm="1">
        <f t="array" ref="I686">_xlfn.IFS(
   AND(F686&gt;=0,9, G686&gt;=85), "Excelente",
   AND(F686&gt;=0,8, G686&gt;=70), "Bueno",
   OR(F686&lt;0,6,  G686&lt;50),  "Alerta",
   TRUE,           "Revisar")</f>
        <v>Bueno</v>
      </c>
      <c r="J686" s="28">
        <f t="shared" si="10"/>
        <v>370000</v>
      </c>
    </row>
    <row r="687" spans="1:10" ht="18" customHeight="1" x14ac:dyDescent="0.3">
      <c r="A687" s="25" t="s">
        <v>1423</v>
      </c>
      <c r="B687" s="8" t="s">
        <v>1424</v>
      </c>
      <c r="C687" s="25" t="s">
        <v>63</v>
      </c>
      <c r="D687" s="25" t="s">
        <v>64</v>
      </c>
      <c r="E687" s="9">
        <v>3900000</v>
      </c>
      <c r="F687" s="26">
        <v>0.68</v>
      </c>
      <c r="G687" s="25">
        <v>52</v>
      </c>
      <c r="H687" s="27">
        <v>14.1</v>
      </c>
      <c r="I687" s="24" t="str" cm="1">
        <f t="array" ref="I687">_xlfn.IFS(
   AND(F687&gt;=0,9, G687&gt;=85), "Excelente",
   AND(F687&gt;=0,8, G687&gt;=70), "Bueno",
   OR(F687&lt;0,6,  G687&lt;50),  "Alerta",
   TRUE,           "Revisar")</f>
        <v>Alerta</v>
      </c>
      <c r="J687" s="28">
        <f t="shared" si="10"/>
        <v>0</v>
      </c>
    </row>
    <row r="688" spans="1:10" ht="18" customHeight="1" x14ac:dyDescent="0.3">
      <c r="A688" s="18" t="s">
        <v>1425</v>
      </c>
      <c r="B688" s="5" t="s">
        <v>1426</v>
      </c>
      <c r="C688" s="18" t="s">
        <v>81</v>
      </c>
      <c r="D688" s="18" t="s">
        <v>88</v>
      </c>
      <c r="E688" s="6">
        <v>7000000</v>
      </c>
      <c r="F688" s="19">
        <v>0.9</v>
      </c>
      <c r="G688" s="18">
        <v>98</v>
      </c>
      <c r="H688" s="20">
        <v>1.6</v>
      </c>
      <c r="I688" s="24" t="str" cm="1">
        <f t="array" ref="I688">_xlfn.IFS(
   AND(F688&gt;=0,9, G688&gt;=85), "Excelente",
   AND(F688&gt;=0,8, G688&gt;=70), "Bueno",
   OR(F688&lt;0,6,  G688&lt;50),  "Alerta",
   TRUE,           "Revisar")</f>
        <v>Excelente</v>
      </c>
      <c r="J688" s="28">
        <f t="shared" si="10"/>
        <v>700000</v>
      </c>
    </row>
    <row r="689" spans="1:10" ht="18" customHeight="1" x14ac:dyDescent="0.3">
      <c r="A689" s="25" t="s">
        <v>1427</v>
      </c>
      <c r="B689" s="8" t="s">
        <v>1428</v>
      </c>
      <c r="C689" s="25" t="s">
        <v>67</v>
      </c>
      <c r="D689" s="25" t="s">
        <v>60</v>
      </c>
      <c r="E689" s="9">
        <v>4600000</v>
      </c>
      <c r="F689" s="26">
        <v>0.92</v>
      </c>
      <c r="G689" s="25">
        <v>63</v>
      </c>
      <c r="H689" s="27">
        <v>18.3</v>
      </c>
      <c r="I689" s="24" t="str" cm="1">
        <f t="array" ref="I689">_xlfn.IFS(
   AND(F689&gt;=0,9, G689&gt;=85), "Excelente",
   AND(F689&gt;=0,8, G689&gt;=70), "Bueno",
   OR(F689&lt;0,6,  G689&lt;50),  "Alerta",
   TRUE,           "Revisar")</f>
        <v>Alerta</v>
      </c>
      <c r="J689" s="28">
        <f t="shared" si="10"/>
        <v>0</v>
      </c>
    </row>
    <row r="690" spans="1:10" ht="18" customHeight="1" x14ac:dyDescent="0.3">
      <c r="A690" s="18" t="s">
        <v>1429</v>
      </c>
      <c r="B690" s="5" t="s">
        <v>1430</v>
      </c>
      <c r="C690" s="18" t="s">
        <v>81</v>
      </c>
      <c r="D690" s="18" t="s">
        <v>92</v>
      </c>
      <c r="E690" s="6">
        <v>8600000</v>
      </c>
      <c r="F690" s="19">
        <v>0.72</v>
      </c>
      <c r="G690" s="18">
        <v>38</v>
      </c>
      <c r="H690" s="20">
        <v>9.5</v>
      </c>
      <c r="I690" s="24" t="str" cm="1">
        <f t="array" ref="I690">_xlfn.IFS(
   AND(F690&gt;=0,9, G690&gt;=85), "Excelente",
   AND(F690&gt;=0,8, G690&gt;=70), "Bueno",
   OR(F690&lt;0,6,  G690&lt;50),  "Alerta",
   TRUE,           "Revisar")</f>
        <v>Alerta</v>
      </c>
      <c r="J690" s="28">
        <f t="shared" si="10"/>
        <v>0</v>
      </c>
    </row>
    <row r="691" spans="1:10" ht="18" customHeight="1" x14ac:dyDescent="0.3">
      <c r="A691" s="25" t="s">
        <v>1431</v>
      </c>
      <c r="B691" s="8" t="s">
        <v>1432</v>
      </c>
      <c r="C691" s="25" t="s">
        <v>71</v>
      </c>
      <c r="D691" s="25" t="s">
        <v>88</v>
      </c>
      <c r="E691" s="9">
        <v>7200000</v>
      </c>
      <c r="F691" s="26">
        <v>0.78</v>
      </c>
      <c r="G691" s="25">
        <v>46</v>
      </c>
      <c r="H691" s="27">
        <v>10.199999999999999</v>
      </c>
      <c r="I691" s="24" t="str" cm="1">
        <f t="array" ref="I691">_xlfn.IFS(
   AND(F691&gt;=0,9, G691&gt;=85), "Excelente",
   AND(F691&gt;=0,8, G691&gt;=70), "Bueno",
   OR(F691&lt;0,6,  G691&lt;50),  "Alerta",
   TRUE,           "Revisar")</f>
        <v>Alerta</v>
      </c>
      <c r="J691" s="28">
        <f t="shared" si="10"/>
        <v>0</v>
      </c>
    </row>
    <row r="692" spans="1:10" ht="18" customHeight="1" x14ac:dyDescent="0.3">
      <c r="A692" s="18" t="s">
        <v>1433</v>
      </c>
      <c r="B692" s="5" t="s">
        <v>1434</v>
      </c>
      <c r="C692" s="18" t="s">
        <v>74</v>
      </c>
      <c r="D692" s="18" t="s">
        <v>92</v>
      </c>
      <c r="E692" s="6">
        <v>9900000</v>
      </c>
      <c r="F692" s="19">
        <v>0.81</v>
      </c>
      <c r="G692" s="18">
        <v>68</v>
      </c>
      <c r="H692" s="20">
        <v>10.7</v>
      </c>
      <c r="I692" s="24" t="str" cm="1">
        <f t="array" ref="I692">_xlfn.IFS(
   AND(F692&gt;=0,9, G692&gt;=85), "Excelente",
   AND(F692&gt;=0,8, G692&gt;=70), "Bueno",
   OR(F692&lt;0,6,  G692&lt;50),  "Alerta",
   TRUE,           "Revisar")</f>
        <v>Alerta</v>
      </c>
      <c r="J692" s="28">
        <f t="shared" si="10"/>
        <v>0</v>
      </c>
    </row>
    <row r="693" spans="1:10" ht="18" customHeight="1" x14ac:dyDescent="0.3">
      <c r="A693" s="25" t="s">
        <v>1435</v>
      </c>
      <c r="B693" s="8" t="s">
        <v>1436</v>
      </c>
      <c r="C693" s="25" t="s">
        <v>77</v>
      </c>
      <c r="D693" s="25" t="s">
        <v>68</v>
      </c>
      <c r="E693" s="9">
        <v>3600000</v>
      </c>
      <c r="F693" s="26">
        <v>0.64</v>
      </c>
      <c r="G693" s="25">
        <v>85</v>
      </c>
      <c r="H693" s="27">
        <v>15.7</v>
      </c>
      <c r="I693" s="24" t="str" cm="1">
        <f t="array" ref="I693">_xlfn.IFS(
   AND(F693&gt;=0,9, G693&gt;=85), "Excelente",
   AND(F693&gt;=0,8, G693&gt;=70), "Bueno",
   OR(F693&lt;0,6,  G693&lt;50),  "Alerta",
   TRUE,           "Revisar")</f>
        <v>Excelente</v>
      </c>
      <c r="J693" s="28">
        <f t="shared" si="10"/>
        <v>360000</v>
      </c>
    </row>
    <row r="694" spans="1:10" ht="18" customHeight="1" x14ac:dyDescent="0.3">
      <c r="A694" s="18" t="s">
        <v>1437</v>
      </c>
      <c r="B694" s="5" t="s">
        <v>1438</v>
      </c>
      <c r="C694" s="18" t="s">
        <v>81</v>
      </c>
      <c r="D694" s="18" t="s">
        <v>60</v>
      </c>
      <c r="E694" s="6">
        <v>5000000</v>
      </c>
      <c r="F694" s="19">
        <v>0.81</v>
      </c>
      <c r="G694" s="18">
        <v>39</v>
      </c>
      <c r="H694" s="20">
        <v>14.8</v>
      </c>
      <c r="I694" s="24" t="str" cm="1">
        <f t="array" ref="I694">_xlfn.IFS(
   AND(F694&gt;=0,9, G694&gt;=85), "Excelente",
   AND(F694&gt;=0,8, G694&gt;=70), "Bueno",
   OR(F694&lt;0,6,  G694&lt;50),  "Alerta",
   TRUE,           "Revisar")</f>
        <v>Alerta</v>
      </c>
      <c r="J694" s="28">
        <f t="shared" si="10"/>
        <v>0</v>
      </c>
    </row>
    <row r="695" spans="1:10" ht="18" customHeight="1" x14ac:dyDescent="0.3">
      <c r="A695" s="25" t="s">
        <v>1439</v>
      </c>
      <c r="B695" s="8" t="s">
        <v>1440</v>
      </c>
      <c r="C695" s="25" t="s">
        <v>77</v>
      </c>
      <c r="D695" s="25" t="s">
        <v>78</v>
      </c>
      <c r="E695" s="9">
        <v>10300000</v>
      </c>
      <c r="F695" s="26">
        <v>0.78</v>
      </c>
      <c r="G695" s="25">
        <v>71</v>
      </c>
      <c r="H695" s="27">
        <v>11.1</v>
      </c>
      <c r="I695" s="24" t="str" cm="1">
        <f t="array" ref="I695">_xlfn.IFS(
   AND(F695&gt;=0,9, G695&gt;=85), "Excelente",
   AND(F695&gt;=0,8, G695&gt;=70), "Bueno",
   OR(F695&lt;0,6,  G695&lt;50),  "Alerta",
   TRUE,           "Revisar")</f>
        <v>Bueno</v>
      </c>
      <c r="J695" s="28">
        <f t="shared" si="10"/>
        <v>1030000</v>
      </c>
    </row>
    <row r="696" spans="1:10" ht="18" customHeight="1" x14ac:dyDescent="0.3">
      <c r="A696" s="18" t="s">
        <v>1441</v>
      </c>
      <c r="B696" s="5" t="s">
        <v>1442</v>
      </c>
      <c r="C696" s="18" t="s">
        <v>74</v>
      </c>
      <c r="D696" s="18" t="s">
        <v>68</v>
      </c>
      <c r="E696" s="6">
        <v>6900000</v>
      </c>
      <c r="F696" s="19">
        <v>0.72</v>
      </c>
      <c r="G696" s="18">
        <v>37</v>
      </c>
      <c r="H696" s="20">
        <v>1.8</v>
      </c>
      <c r="I696" s="24" t="str" cm="1">
        <f t="array" ref="I696">_xlfn.IFS(
   AND(F696&gt;=0,9, G696&gt;=85), "Excelente",
   AND(F696&gt;=0,8, G696&gt;=70), "Bueno",
   OR(F696&lt;0,6,  G696&lt;50),  "Alerta",
   TRUE,           "Revisar")</f>
        <v>Alerta</v>
      </c>
      <c r="J696" s="28">
        <f t="shared" si="10"/>
        <v>0</v>
      </c>
    </row>
    <row r="697" spans="1:10" ht="18" customHeight="1" x14ac:dyDescent="0.3">
      <c r="A697" s="25" t="s">
        <v>1443</v>
      </c>
      <c r="B697" s="8" t="s">
        <v>1444</v>
      </c>
      <c r="C697" s="25" t="s">
        <v>77</v>
      </c>
      <c r="D697" s="25" t="s">
        <v>60</v>
      </c>
      <c r="E697" s="9">
        <v>5400000</v>
      </c>
      <c r="F697" s="26">
        <v>0.82</v>
      </c>
      <c r="G697" s="25">
        <v>70</v>
      </c>
      <c r="H697" s="27">
        <v>6</v>
      </c>
      <c r="I697" s="24" t="str" cm="1">
        <f t="array" ref="I697">_xlfn.IFS(
   AND(F697&gt;=0,9, G697&gt;=85), "Excelente",
   AND(F697&gt;=0,8, G697&gt;=70), "Bueno",
   OR(F697&lt;0,6,  G697&lt;50),  "Alerta",
   TRUE,           "Revisar")</f>
        <v>Bueno</v>
      </c>
      <c r="J697" s="28">
        <f t="shared" si="10"/>
        <v>540000</v>
      </c>
    </row>
    <row r="698" spans="1:10" ht="18" customHeight="1" x14ac:dyDescent="0.3">
      <c r="A698" s="18" t="s">
        <v>1445</v>
      </c>
      <c r="B698" s="5" t="s">
        <v>1446</v>
      </c>
      <c r="C698" s="18" t="s">
        <v>91</v>
      </c>
      <c r="D698" s="18" t="s">
        <v>68</v>
      </c>
      <c r="E698" s="6">
        <v>4400000</v>
      </c>
      <c r="F698" s="19">
        <v>0.92</v>
      </c>
      <c r="G698" s="18">
        <v>37</v>
      </c>
      <c r="H698" s="20">
        <v>7.4</v>
      </c>
      <c r="I698" s="24" t="str" cm="1">
        <f t="array" ref="I698">_xlfn.IFS(
   AND(F698&gt;=0,9, G698&gt;=85), "Excelente",
   AND(F698&gt;=0,8, G698&gt;=70), "Bueno",
   OR(F698&lt;0,6,  G698&lt;50),  "Alerta",
   TRUE,           "Revisar")</f>
        <v>Alerta</v>
      </c>
      <c r="J698" s="28">
        <f t="shared" si="10"/>
        <v>0</v>
      </c>
    </row>
    <row r="699" spans="1:10" ht="18" customHeight="1" x14ac:dyDescent="0.3">
      <c r="A699" s="25" t="s">
        <v>1447</v>
      </c>
      <c r="B699" s="8" t="s">
        <v>1448</v>
      </c>
      <c r="C699" s="25" t="s">
        <v>91</v>
      </c>
      <c r="D699" s="25" t="s">
        <v>92</v>
      </c>
      <c r="E699" s="9">
        <v>4200000</v>
      </c>
      <c r="F699" s="26">
        <v>0.92</v>
      </c>
      <c r="G699" s="25">
        <v>33</v>
      </c>
      <c r="H699" s="27">
        <v>4.7</v>
      </c>
      <c r="I699" s="24" t="str" cm="1">
        <f t="array" ref="I699">_xlfn.IFS(
   AND(F699&gt;=0,9, G699&gt;=85), "Excelente",
   AND(F699&gt;=0,8, G699&gt;=70), "Bueno",
   OR(F699&lt;0,6,  G699&lt;50),  "Alerta",
   TRUE,           "Revisar")</f>
        <v>Alerta</v>
      </c>
      <c r="J699" s="28">
        <f t="shared" si="10"/>
        <v>0</v>
      </c>
    </row>
    <row r="700" spans="1:10" ht="18" customHeight="1" x14ac:dyDescent="0.3">
      <c r="A700" s="18" t="s">
        <v>1449</v>
      </c>
      <c r="B700" s="5" t="s">
        <v>1450</v>
      </c>
      <c r="C700" s="18" t="s">
        <v>81</v>
      </c>
      <c r="D700" s="18" t="s">
        <v>68</v>
      </c>
      <c r="E700" s="6">
        <v>7900000</v>
      </c>
      <c r="F700" s="19">
        <v>0.66</v>
      </c>
      <c r="G700" s="18">
        <v>99</v>
      </c>
      <c r="H700" s="20">
        <v>4.2</v>
      </c>
      <c r="I700" s="24" t="str" cm="1">
        <f t="array" ref="I700">_xlfn.IFS(
   AND(F700&gt;=0,9, G700&gt;=85), "Excelente",
   AND(F700&gt;=0,8, G700&gt;=70), "Bueno",
   OR(F700&lt;0,6,  G700&lt;50),  "Alerta",
   TRUE,           "Revisar")</f>
        <v>Excelente</v>
      </c>
      <c r="J700" s="28">
        <f t="shared" si="10"/>
        <v>790000</v>
      </c>
    </row>
    <row r="701" spans="1:10" ht="18" customHeight="1" x14ac:dyDescent="0.3">
      <c r="A701" s="25" t="s">
        <v>1451</v>
      </c>
      <c r="B701" s="8" t="s">
        <v>1452</v>
      </c>
      <c r="C701" s="25" t="s">
        <v>71</v>
      </c>
      <c r="D701" s="25" t="s">
        <v>114</v>
      </c>
      <c r="E701" s="9">
        <v>2900000</v>
      </c>
      <c r="F701" s="26">
        <v>0.49</v>
      </c>
      <c r="G701" s="25">
        <v>32</v>
      </c>
      <c r="H701" s="27">
        <v>2.9</v>
      </c>
      <c r="I701" s="24" t="str" cm="1">
        <f t="array" ref="I701">_xlfn.IFS(
   AND(F701&gt;=0,9, G701&gt;=85), "Excelente",
   AND(F701&gt;=0,8, G701&gt;=70), "Bueno",
   OR(F701&lt;0,6,  G701&lt;50),  "Alerta",
   TRUE,           "Revisar")</f>
        <v>Alerta</v>
      </c>
      <c r="J701" s="28">
        <f t="shared" si="10"/>
        <v>0</v>
      </c>
    </row>
    <row r="702" spans="1:10" ht="18" customHeight="1" x14ac:dyDescent="0.3">
      <c r="A702" s="18" t="s">
        <v>1453</v>
      </c>
      <c r="B702" s="5" t="s">
        <v>1454</v>
      </c>
      <c r="C702" s="18" t="s">
        <v>63</v>
      </c>
      <c r="D702" s="18" t="s">
        <v>114</v>
      </c>
      <c r="E702" s="6">
        <v>3800000</v>
      </c>
      <c r="F702" s="19">
        <v>0.53</v>
      </c>
      <c r="G702" s="18">
        <v>83</v>
      </c>
      <c r="H702" s="20">
        <v>17.2</v>
      </c>
      <c r="I702" s="24" t="str" cm="1">
        <f t="array" ref="I702">_xlfn.IFS(
   AND(F702&gt;=0,9, G702&gt;=85), "Excelente",
   AND(F702&gt;=0,8, G702&gt;=70), "Bueno",
   OR(F702&lt;0,6,  G702&lt;50),  "Alerta",
   TRUE,           "Revisar")</f>
        <v>Bueno</v>
      </c>
      <c r="J702" s="28">
        <f t="shared" si="10"/>
        <v>380000</v>
      </c>
    </row>
    <row r="703" spans="1:10" ht="18" customHeight="1" x14ac:dyDescent="0.3">
      <c r="A703" s="25" t="s">
        <v>1455</v>
      </c>
      <c r="B703" s="8" t="s">
        <v>1456</v>
      </c>
      <c r="C703" s="25" t="s">
        <v>63</v>
      </c>
      <c r="D703" s="25" t="s">
        <v>114</v>
      </c>
      <c r="E703" s="9">
        <v>8600000</v>
      </c>
      <c r="F703" s="26">
        <v>0.73</v>
      </c>
      <c r="G703" s="25">
        <v>100</v>
      </c>
      <c r="H703" s="27">
        <v>16.399999999999999</v>
      </c>
      <c r="I703" s="24" t="str" cm="1">
        <f t="array" ref="I703">_xlfn.IFS(
   AND(F703&gt;=0,9, G703&gt;=85), "Excelente",
   AND(F703&gt;=0,8, G703&gt;=70), "Bueno",
   OR(F703&lt;0,6,  G703&lt;50),  "Alerta",
   TRUE,           "Revisar")</f>
        <v>Excelente</v>
      </c>
      <c r="J703" s="28">
        <f t="shared" si="10"/>
        <v>860000</v>
      </c>
    </row>
    <row r="704" spans="1:10" ht="18" customHeight="1" x14ac:dyDescent="0.3">
      <c r="A704" s="18" t="s">
        <v>1457</v>
      </c>
      <c r="B704" s="5" t="s">
        <v>1458</v>
      </c>
      <c r="C704" s="18" t="s">
        <v>63</v>
      </c>
      <c r="D704" s="18" t="s">
        <v>64</v>
      </c>
      <c r="E704" s="6">
        <v>10100000</v>
      </c>
      <c r="F704" s="19">
        <v>0.72</v>
      </c>
      <c r="G704" s="18">
        <v>60</v>
      </c>
      <c r="H704" s="20">
        <v>14.2</v>
      </c>
      <c r="I704" s="24" t="str" cm="1">
        <f t="array" ref="I704">_xlfn.IFS(
   AND(F704&gt;=0,9, G704&gt;=85), "Excelente",
   AND(F704&gt;=0,8, G704&gt;=70), "Bueno",
   OR(F704&lt;0,6,  G704&lt;50),  "Alerta",
   TRUE,           "Revisar")</f>
        <v>Alerta</v>
      </c>
      <c r="J704" s="28">
        <f t="shared" si="10"/>
        <v>0</v>
      </c>
    </row>
    <row r="705" spans="1:10" ht="18" customHeight="1" x14ac:dyDescent="0.3">
      <c r="A705" s="25" t="s">
        <v>1459</v>
      </c>
      <c r="B705" s="8" t="s">
        <v>1460</v>
      </c>
      <c r="C705" s="25" t="s">
        <v>81</v>
      </c>
      <c r="D705" s="25" t="s">
        <v>64</v>
      </c>
      <c r="E705" s="9">
        <v>3200000</v>
      </c>
      <c r="F705" s="26">
        <v>0.76</v>
      </c>
      <c r="G705" s="25">
        <v>77</v>
      </c>
      <c r="H705" s="27">
        <v>2.2999999999999998</v>
      </c>
      <c r="I705" s="24" t="str" cm="1">
        <f t="array" ref="I705">_xlfn.IFS(
   AND(F705&gt;=0,9, G705&gt;=85), "Excelente",
   AND(F705&gt;=0,8, G705&gt;=70), "Bueno",
   OR(F705&lt;0,6,  G705&lt;50),  "Alerta",
   TRUE,           "Revisar")</f>
        <v>Bueno</v>
      </c>
      <c r="J705" s="28">
        <f t="shared" si="10"/>
        <v>320000</v>
      </c>
    </row>
    <row r="706" spans="1:10" ht="18" customHeight="1" x14ac:dyDescent="0.3">
      <c r="A706" s="18" t="s">
        <v>1461</v>
      </c>
      <c r="B706" s="5" t="s">
        <v>1462</v>
      </c>
      <c r="C706" s="18" t="s">
        <v>59</v>
      </c>
      <c r="D706" s="18" t="s">
        <v>105</v>
      </c>
      <c r="E706" s="6">
        <v>9400000</v>
      </c>
      <c r="F706" s="19">
        <v>0.49</v>
      </c>
      <c r="G706" s="18">
        <v>41</v>
      </c>
      <c r="H706" s="20">
        <v>4.9000000000000004</v>
      </c>
      <c r="I706" s="24" t="str" cm="1">
        <f t="array" ref="I706">_xlfn.IFS(
   AND(F706&gt;=0,9, G706&gt;=85), "Excelente",
   AND(F706&gt;=0,8, G706&gt;=70), "Bueno",
   OR(F706&lt;0,6,  G706&lt;50),  "Alerta",
   TRUE,           "Revisar")</f>
        <v>Alerta</v>
      </c>
      <c r="J706" s="28">
        <f t="shared" si="10"/>
        <v>0</v>
      </c>
    </row>
    <row r="707" spans="1:10" ht="18" customHeight="1" x14ac:dyDescent="0.3">
      <c r="A707" s="25" t="s">
        <v>1463</v>
      </c>
      <c r="B707" s="8" t="s">
        <v>1464</v>
      </c>
      <c r="C707" s="25" t="s">
        <v>59</v>
      </c>
      <c r="D707" s="25" t="s">
        <v>64</v>
      </c>
      <c r="E707" s="9">
        <v>7100000</v>
      </c>
      <c r="F707" s="26">
        <v>0.74</v>
      </c>
      <c r="G707" s="25">
        <v>31</v>
      </c>
      <c r="H707" s="27">
        <v>9.4</v>
      </c>
      <c r="I707" s="24" t="str" cm="1">
        <f t="array" ref="I707">_xlfn.IFS(
   AND(F707&gt;=0,9, G707&gt;=85), "Excelente",
   AND(F707&gt;=0,8, G707&gt;=70), "Bueno",
   OR(F707&lt;0,6,  G707&lt;50),  "Alerta",
   TRUE,           "Revisar")</f>
        <v>Alerta</v>
      </c>
      <c r="J707" s="28">
        <f t="shared" si="10"/>
        <v>0</v>
      </c>
    </row>
    <row r="708" spans="1:10" ht="18" customHeight="1" x14ac:dyDescent="0.3">
      <c r="A708" s="18" t="s">
        <v>1465</v>
      </c>
      <c r="B708" s="5" t="s">
        <v>1466</v>
      </c>
      <c r="C708" s="18" t="s">
        <v>77</v>
      </c>
      <c r="D708" s="18" t="s">
        <v>92</v>
      </c>
      <c r="E708" s="6">
        <v>8100000</v>
      </c>
      <c r="F708" s="19">
        <v>0.64</v>
      </c>
      <c r="G708" s="18">
        <v>67</v>
      </c>
      <c r="H708" s="20">
        <v>5.8</v>
      </c>
      <c r="I708" s="24" t="str" cm="1">
        <f t="array" ref="I708">_xlfn.IFS(
   AND(F708&gt;=0,9, G708&gt;=85), "Excelente",
   AND(F708&gt;=0,8, G708&gt;=70), "Bueno",
   OR(F708&lt;0,6,  G708&lt;50),  "Alerta",
   TRUE,           "Revisar")</f>
        <v>Alerta</v>
      </c>
      <c r="J708" s="28">
        <f t="shared" si="10"/>
        <v>0</v>
      </c>
    </row>
    <row r="709" spans="1:10" ht="18" customHeight="1" x14ac:dyDescent="0.3">
      <c r="A709" s="25" t="s">
        <v>1467</v>
      </c>
      <c r="B709" s="8" t="s">
        <v>1468</v>
      </c>
      <c r="C709" s="25" t="s">
        <v>59</v>
      </c>
      <c r="D709" s="25" t="s">
        <v>88</v>
      </c>
      <c r="E709" s="9">
        <v>3500000</v>
      </c>
      <c r="F709" s="26">
        <v>0.8</v>
      </c>
      <c r="G709" s="25">
        <v>51</v>
      </c>
      <c r="H709" s="27">
        <v>11.5</v>
      </c>
      <c r="I709" s="24" t="str" cm="1">
        <f t="array" ref="I709">_xlfn.IFS(
   AND(F709&gt;=0,9, G709&gt;=85), "Excelente",
   AND(F709&gt;=0,8, G709&gt;=70), "Bueno",
   OR(F709&lt;0,6,  G709&lt;50),  "Alerta",
   TRUE,           "Revisar")</f>
        <v>Alerta</v>
      </c>
      <c r="J709" s="28">
        <f t="shared" si="10"/>
        <v>0</v>
      </c>
    </row>
    <row r="710" spans="1:10" ht="18" customHeight="1" x14ac:dyDescent="0.3">
      <c r="A710" s="18" t="s">
        <v>1469</v>
      </c>
      <c r="B710" s="5" t="s">
        <v>1470</v>
      </c>
      <c r="C710" s="18" t="s">
        <v>74</v>
      </c>
      <c r="D710" s="18" t="s">
        <v>114</v>
      </c>
      <c r="E710" s="6">
        <v>9200000</v>
      </c>
      <c r="F710" s="19">
        <v>0.49</v>
      </c>
      <c r="G710" s="18">
        <v>65</v>
      </c>
      <c r="H710" s="20">
        <v>5</v>
      </c>
      <c r="I710" s="24" t="str" cm="1">
        <f t="array" ref="I710">_xlfn.IFS(
   AND(F710&gt;=0,9, G710&gt;=85), "Excelente",
   AND(F710&gt;=0,8, G710&gt;=70), "Bueno",
   OR(F710&lt;0,6,  G710&lt;50),  "Alerta",
   TRUE,           "Revisar")</f>
        <v>Alerta</v>
      </c>
      <c r="J710" s="28">
        <f t="shared" si="10"/>
        <v>0</v>
      </c>
    </row>
    <row r="711" spans="1:10" ht="18" customHeight="1" x14ac:dyDescent="0.3">
      <c r="A711" s="25" t="s">
        <v>1471</v>
      </c>
      <c r="B711" s="8" t="s">
        <v>1472</v>
      </c>
      <c r="C711" s="25" t="s">
        <v>74</v>
      </c>
      <c r="D711" s="25" t="s">
        <v>114</v>
      </c>
      <c r="E711" s="9">
        <v>10300000</v>
      </c>
      <c r="F711" s="26">
        <v>0.86</v>
      </c>
      <c r="G711" s="25">
        <v>87</v>
      </c>
      <c r="H711" s="27">
        <v>7.4</v>
      </c>
      <c r="I711" s="24" t="str" cm="1">
        <f t="array" ref="I711">_xlfn.IFS(
   AND(F711&gt;=0,9, G711&gt;=85), "Excelente",
   AND(F711&gt;=0,8, G711&gt;=70), "Bueno",
   OR(F711&lt;0,6,  G711&lt;50),  "Alerta",
   TRUE,           "Revisar")</f>
        <v>Excelente</v>
      </c>
      <c r="J711" s="28">
        <f t="shared" si="10"/>
        <v>1030000</v>
      </c>
    </row>
    <row r="712" spans="1:10" ht="18" customHeight="1" x14ac:dyDescent="0.3">
      <c r="A712" s="18" t="s">
        <v>1473</v>
      </c>
      <c r="B712" s="5" t="s">
        <v>1474</v>
      </c>
      <c r="C712" s="18" t="s">
        <v>67</v>
      </c>
      <c r="D712" s="18" t="s">
        <v>105</v>
      </c>
      <c r="E712" s="6">
        <v>5100000</v>
      </c>
      <c r="F712" s="19">
        <v>0.89</v>
      </c>
      <c r="G712" s="18">
        <v>34</v>
      </c>
      <c r="H712" s="20">
        <v>6.9</v>
      </c>
      <c r="I712" s="24" t="str" cm="1">
        <f t="array" ref="I712">_xlfn.IFS(
   AND(F712&gt;=0,9, G712&gt;=85), "Excelente",
   AND(F712&gt;=0,8, G712&gt;=70), "Bueno",
   OR(F712&lt;0,6,  G712&lt;50),  "Alerta",
   TRUE,           "Revisar")</f>
        <v>Alerta</v>
      </c>
      <c r="J712" s="28">
        <f t="shared" si="10"/>
        <v>0</v>
      </c>
    </row>
    <row r="713" spans="1:10" ht="18" customHeight="1" x14ac:dyDescent="0.3">
      <c r="A713" s="25" t="s">
        <v>1475</v>
      </c>
      <c r="B713" s="8" t="s">
        <v>1476</v>
      </c>
      <c r="C713" s="25" t="s">
        <v>63</v>
      </c>
      <c r="D713" s="25" t="s">
        <v>68</v>
      </c>
      <c r="E713" s="9">
        <v>5800000</v>
      </c>
      <c r="F713" s="26">
        <v>0.81</v>
      </c>
      <c r="G713" s="25">
        <v>51</v>
      </c>
      <c r="H713" s="27">
        <v>4.2</v>
      </c>
      <c r="I713" s="24" t="str" cm="1">
        <f t="array" ref="I713">_xlfn.IFS(
   AND(F713&gt;=0,9, G713&gt;=85), "Excelente",
   AND(F713&gt;=0,8, G713&gt;=70), "Bueno",
   OR(F713&lt;0,6,  G713&lt;50),  "Alerta",
   TRUE,           "Revisar")</f>
        <v>Alerta</v>
      </c>
      <c r="J713" s="28">
        <f t="shared" si="10"/>
        <v>0</v>
      </c>
    </row>
    <row r="714" spans="1:10" ht="18" customHeight="1" x14ac:dyDescent="0.3">
      <c r="A714" s="18" t="s">
        <v>1477</v>
      </c>
      <c r="B714" s="5" t="s">
        <v>1478</v>
      </c>
      <c r="C714" s="18" t="s">
        <v>71</v>
      </c>
      <c r="D714" s="18" t="s">
        <v>105</v>
      </c>
      <c r="E714" s="6">
        <v>7900000</v>
      </c>
      <c r="F714" s="19">
        <v>0.71</v>
      </c>
      <c r="G714" s="18">
        <v>90</v>
      </c>
      <c r="H714" s="20">
        <v>14.9</v>
      </c>
      <c r="I714" s="24" t="str" cm="1">
        <f t="array" ref="I714">_xlfn.IFS(
   AND(F714&gt;=0,9, G714&gt;=85), "Excelente",
   AND(F714&gt;=0,8, G714&gt;=70), "Bueno",
   OR(F714&lt;0,6,  G714&lt;50),  "Alerta",
   TRUE,           "Revisar")</f>
        <v>Excelente</v>
      </c>
      <c r="J714" s="28">
        <f t="shared" si="10"/>
        <v>790000</v>
      </c>
    </row>
    <row r="715" spans="1:10" ht="18" customHeight="1" x14ac:dyDescent="0.3">
      <c r="A715" s="25" t="s">
        <v>1479</v>
      </c>
      <c r="B715" s="8" t="s">
        <v>1480</v>
      </c>
      <c r="C715" s="25" t="s">
        <v>63</v>
      </c>
      <c r="D715" s="25" t="s">
        <v>68</v>
      </c>
      <c r="E715" s="9">
        <v>8800000</v>
      </c>
      <c r="F715" s="26">
        <v>0.59</v>
      </c>
      <c r="G715" s="25">
        <v>97</v>
      </c>
      <c r="H715" s="27">
        <v>17.399999999999999</v>
      </c>
      <c r="I715" s="24" t="str" cm="1">
        <f t="array" ref="I715">_xlfn.IFS(
   AND(F715&gt;=0,9, G715&gt;=85), "Excelente",
   AND(F715&gt;=0,8, G715&gt;=70), "Bueno",
   OR(F715&lt;0,6,  G715&lt;50),  "Alerta",
   TRUE,           "Revisar")</f>
        <v>Excelente</v>
      </c>
      <c r="J715" s="28">
        <f t="shared" si="10"/>
        <v>880000</v>
      </c>
    </row>
    <row r="716" spans="1:10" ht="18" customHeight="1" x14ac:dyDescent="0.3">
      <c r="A716" s="18" t="s">
        <v>1481</v>
      </c>
      <c r="B716" s="5" t="s">
        <v>1482</v>
      </c>
      <c r="C716" s="18" t="s">
        <v>81</v>
      </c>
      <c r="D716" s="18" t="s">
        <v>68</v>
      </c>
      <c r="E716" s="6">
        <v>10600000</v>
      </c>
      <c r="F716" s="19">
        <v>0.95</v>
      </c>
      <c r="G716" s="18">
        <v>64</v>
      </c>
      <c r="H716" s="20">
        <v>6.7</v>
      </c>
      <c r="I716" s="24" t="str" cm="1">
        <f t="array" ref="I716">_xlfn.IFS(
   AND(F716&gt;=0,9, G716&gt;=85), "Excelente",
   AND(F716&gt;=0,8, G716&gt;=70), "Bueno",
   OR(F716&lt;0,6,  G716&lt;50),  "Alerta",
   TRUE,           "Revisar")</f>
        <v>Alerta</v>
      </c>
      <c r="J716" s="28">
        <f t="shared" ref="J716:J779" si="11">IF(OR(I716="Excelente",I716="Bueno"),E716*0.1,0)</f>
        <v>0</v>
      </c>
    </row>
    <row r="717" spans="1:10" ht="18" customHeight="1" x14ac:dyDescent="0.3">
      <c r="A717" s="25" t="s">
        <v>1483</v>
      </c>
      <c r="B717" s="8" t="s">
        <v>1484</v>
      </c>
      <c r="C717" s="25" t="s">
        <v>63</v>
      </c>
      <c r="D717" s="25" t="s">
        <v>105</v>
      </c>
      <c r="E717" s="9">
        <v>11400000</v>
      </c>
      <c r="F717" s="26">
        <v>0.86</v>
      </c>
      <c r="G717" s="25">
        <v>54</v>
      </c>
      <c r="H717" s="27">
        <v>10.4</v>
      </c>
      <c r="I717" s="24" t="str" cm="1">
        <f t="array" ref="I717">_xlfn.IFS(
   AND(F717&gt;=0,9, G717&gt;=85), "Excelente",
   AND(F717&gt;=0,8, G717&gt;=70), "Bueno",
   OR(F717&lt;0,6,  G717&lt;50),  "Alerta",
   TRUE,           "Revisar")</f>
        <v>Alerta</v>
      </c>
      <c r="J717" s="28">
        <f t="shared" si="11"/>
        <v>0</v>
      </c>
    </row>
    <row r="718" spans="1:10" ht="18" customHeight="1" x14ac:dyDescent="0.3">
      <c r="A718" s="18" t="s">
        <v>1485</v>
      </c>
      <c r="B718" s="5" t="s">
        <v>1486</v>
      </c>
      <c r="C718" s="18" t="s">
        <v>91</v>
      </c>
      <c r="D718" s="18" t="s">
        <v>64</v>
      </c>
      <c r="E718" s="6">
        <v>3600000</v>
      </c>
      <c r="F718" s="19">
        <v>0.46</v>
      </c>
      <c r="G718" s="18">
        <v>42</v>
      </c>
      <c r="H718" s="20">
        <v>10.5</v>
      </c>
      <c r="I718" s="24" t="str" cm="1">
        <f t="array" ref="I718">_xlfn.IFS(
   AND(F718&gt;=0,9, G718&gt;=85), "Excelente",
   AND(F718&gt;=0,8, G718&gt;=70), "Bueno",
   OR(F718&lt;0,6,  G718&lt;50),  "Alerta",
   TRUE,           "Revisar")</f>
        <v>Alerta</v>
      </c>
      <c r="J718" s="28">
        <f t="shared" si="11"/>
        <v>0</v>
      </c>
    </row>
    <row r="719" spans="1:10" ht="18" customHeight="1" x14ac:dyDescent="0.3">
      <c r="A719" s="25" t="s">
        <v>1487</v>
      </c>
      <c r="B719" s="8" t="s">
        <v>1488</v>
      </c>
      <c r="C719" s="25" t="s">
        <v>67</v>
      </c>
      <c r="D719" s="25" t="s">
        <v>64</v>
      </c>
      <c r="E719" s="9">
        <v>3100000</v>
      </c>
      <c r="F719" s="26">
        <v>0.79</v>
      </c>
      <c r="G719" s="25">
        <v>37</v>
      </c>
      <c r="H719" s="27">
        <v>18.8</v>
      </c>
      <c r="I719" s="24" t="str" cm="1">
        <f t="array" ref="I719">_xlfn.IFS(
   AND(F719&gt;=0,9, G719&gt;=85), "Excelente",
   AND(F719&gt;=0,8, G719&gt;=70), "Bueno",
   OR(F719&lt;0,6,  G719&lt;50),  "Alerta",
   TRUE,           "Revisar")</f>
        <v>Alerta</v>
      </c>
      <c r="J719" s="28">
        <f t="shared" si="11"/>
        <v>0</v>
      </c>
    </row>
    <row r="720" spans="1:10" ht="18" customHeight="1" x14ac:dyDescent="0.3">
      <c r="A720" s="18" t="s">
        <v>1489</v>
      </c>
      <c r="B720" s="5" t="s">
        <v>1490</v>
      </c>
      <c r="C720" s="18" t="s">
        <v>77</v>
      </c>
      <c r="D720" s="18" t="s">
        <v>88</v>
      </c>
      <c r="E720" s="6">
        <v>8200000</v>
      </c>
      <c r="F720" s="19">
        <v>0.83</v>
      </c>
      <c r="G720" s="18">
        <v>71</v>
      </c>
      <c r="H720" s="20">
        <v>5.0999999999999996</v>
      </c>
      <c r="I720" s="24" t="str" cm="1">
        <f t="array" ref="I720">_xlfn.IFS(
   AND(F720&gt;=0,9, G720&gt;=85), "Excelente",
   AND(F720&gt;=0,8, G720&gt;=70), "Bueno",
   OR(F720&lt;0,6,  G720&lt;50),  "Alerta",
   TRUE,           "Revisar")</f>
        <v>Bueno</v>
      </c>
      <c r="J720" s="28">
        <f t="shared" si="11"/>
        <v>820000</v>
      </c>
    </row>
    <row r="721" spans="1:10" ht="18" customHeight="1" x14ac:dyDescent="0.3">
      <c r="A721" s="25" t="s">
        <v>1491</v>
      </c>
      <c r="B721" s="8" t="s">
        <v>1492</v>
      </c>
      <c r="C721" s="25" t="s">
        <v>91</v>
      </c>
      <c r="D721" s="25" t="s">
        <v>68</v>
      </c>
      <c r="E721" s="9">
        <v>7700000</v>
      </c>
      <c r="F721" s="26">
        <v>0.63</v>
      </c>
      <c r="G721" s="25">
        <v>37</v>
      </c>
      <c r="H721" s="27">
        <v>5.2</v>
      </c>
      <c r="I721" s="24" t="str" cm="1">
        <f t="array" ref="I721">_xlfn.IFS(
   AND(F721&gt;=0,9, G721&gt;=85), "Excelente",
   AND(F721&gt;=0,8, G721&gt;=70), "Bueno",
   OR(F721&lt;0,6,  G721&lt;50),  "Alerta",
   TRUE,           "Revisar")</f>
        <v>Alerta</v>
      </c>
      <c r="J721" s="28">
        <f t="shared" si="11"/>
        <v>0</v>
      </c>
    </row>
    <row r="722" spans="1:10" ht="18" customHeight="1" x14ac:dyDescent="0.3">
      <c r="A722" s="18" t="s">
        <v>1493</v>
      </c>
      <c r="B722" s="5" t="s">
        <v>1494</v>
      </c>
      <c r="C722" s="18" t="s">
        <v>77</v>
      </c>
      <c r="D722" s="18" t="s">
        <v>78</v>
      </c>
      <c r="E722" s="6">
        <v>9000000</v>
      </c>
      <c r="F722" s="19">
        <v>0.99</v>
      </c>
      <c r="G722" s="18">
        <v>55</v>
      </c>
      <c r="H722" s="20">
        <v>12.2</v>
      </c>
      <c r="I722" s="24" t="str" cm="1">
        <f t="array" ref="I722">_xlfn.IFS(
   AND(F722&gt;=0,9, G722&gt;=85), "Excelente",
   AND(F722&gt;=0,8, G722&gt;=70), "Bueno",
   OR(F722&lt;0,6,  G722&lt;50),  "Alerta",
   TRUE,           "Revisar")</f>
        <v>Alerta</v>
      </c>
      <c r="J722" s="28">
        <f t="shared" si="11"/>
        <v>0</v>
      </c>
    </row>
    <row r="723" spans="1:10" ht="18" customHeight="1" x14ac:dyDescent="0.3">
      <c r="A723" s="25" t="s">
        <v>1495</v>
      </c>
      <c r="B723" s="8" t="s">
        <v>1496</v>
      </c>
      <c r="C723" s="25" t="s">
        <v>77</v>
      </c>
      <c r="D723" s="25" t="s">
        <v>78</v>
      </c>
      <c r="E723" s="9">
        <v>4600000</v>
      </c>
      <c r="F723" s="26">
        <v>0.75</v>
      </c>
      <c r="G723" s="25">
        <v>85</v>
      </c>
      <c r="H723" s="27">
        <v>4.4000000000000004</v>
      </c>
      <c r="I723" s="24" t="str" cm="1">
        <f t="array" ref="I723">_xlfn.IFS(
   AND(F723&gt;=0,9, G723&gt;=85), "Excelente",
   AND(F723&gt;=0,8, G723&gt;=70), "Bueno",
   OR(F723&lt;0,6,  G723&lt;50),  "Alerta",
   TRUE,           "Revisar")</f>
        <v>Excelente</v>
      </c>
      <c r="J723" s="28">
        <f t="shared" si="11"/>
        <v>460000</v>
      </c>
    </row>
    <row r="724" spans="1:10" ht="18" customHeight="1" x14ac:dyDescent="0.3">
      <c r="A724" s="18" t="s">
        <v>1497</v>
      </c>
      <c r="B724" s="5" t="s">
        <v>1498</v>
      </c>
      <c r="C724" s="18" t="s">
        <v>59</v>
      </c>
      <c r="D724" s="18" t="s">
        <v>78</v>
      </c>
      <c r="E724" s="6">
        <v>3200000</v>
      </c>
      <c r="F724" s="19">
        <v>0.49</v>
      </c>
      <c r="G724" s="18">
        <v>62</v>
      </c>
      <c r="H724" s="20">
        <v>15.5</v>
      </c>
      <c r="I724" s="24" t="str" cm="1">
        <f t="array" ref="I724">_xlfn.IFS(
   AND(F724&gt;=0,9, G724&gt;=85), "Excelente",
   AND(F724&gt;=0,8, G724&gt;=70), "Bueno",
   OR(F724&lt;0,6,  G724&lt;50),  "Alerta",
   TRUE,           "Revisar")</f>
        <v>Alerta</v>
      </c>
      <c r="J724" s="28">
        <f t="shared" si="11"/>
        <v>0</v>
      </c>
    </row>
    <row r="725" spans="1:10" ht="18" customHeight="1" x14ac:dyDescent="0.3">
      <c r="A725" s="25" t="s">
        <v>1499</v>
      </c>
      <c r="B725" s="8" t="s">
        <v>1500</v>
      </c>
      <c r="C725" s="25" t="s">
        <v>77</v>
      </c>
      <c r="D725" s="25" t="s">
        <v>114</v>
      </c>
      <c r="E725" s="9">
        <v>11100000</v>
      </c>
      <c r="F725" s="26">
        <v>0.8</v>
      </c>
      <c r="G725" s="25">
        <v>34</v>
      </c>
      <c r="H725" s="27">
        <v>13.3</v>
      </c>
      <c r="I725" s="24" t="str" cm="1">
        <f t="array" ref="I725">_xlfn.IFS(
   AND(F725&gt;=0,9, G725&gt;=85), "Excelente",
   AND(F725&gt;=0,8, G725&gt;=70), "Bueno",
   OR(F725&lt;0,6,  G725&lt;50),  "Alerta",
   TRUE,           "Revisar")</f>
        <v>Alerta</v>
      </c>
      <c r="J725" s="28">
        <f t="shared" si="11"/>
        <v>0</v>
      </c>
    </row>
    <row r="726" spans="1:10" ht="18" customHeight="1" x14ac:dyDescent="0.3">
      <c r="A726" s="18" t="s">
        <v>1501</v>
      </c>
      <c r="B726" s="5" t="s">
        <v>1502</v>
      </c>
      <c r="C726" s="18" t="s">
        <v>77</v>
      </c>
      <c r="D726" s="18" t="s">
        <v>105</v>
      </c>
      <c r="E726" s="6">
        <v>8300000</v>
      </c>
      <c r="F726" s="19">
        <v>0.67</v>
      </c>
      <c r="G726" s="18">
        <v>38</v>
      </c>
      <c r="H726" s="20">
        <v>10.8</v>
      </c>
      <c r="I726" s="24" t="str" cm="1">
        <f t="array" ref="I726">_xlfn.IFS(
   AND(F726&gt;=0,9, G726&gt;=85), "Excelente",
   AND(F726&gt;=0,8, G726&gt;=70), "Bueno",
   OR(F726&lt;0,6,  G726&lt;50),  "Alerta",
   TRUE,           "Revisar")</f>
        <v>Alerta</v>
      </c>
      <c r="J726" s="28">
        <f t="shared" si="11"/>
        <v>0</v>
      </c>
    </row>
    <row r="727" spans="1:10" ht="18" customHeight="1" x14ac:dyDescent="0.3">
      <c r="A727" s="25" t="s">
        <v>1503</v>
      </c>
      <c r="B727" s="8" t="s">
        <v>1504</v>
      </c>
      <c r="C727" s="25" t="s">
        <v>77</v>
      </c>
      <c r="D727" s="25" t="s">
        <v>78</v>
      </c>
      <c r="E727" s="9">
        <v>10000000</v>
      </c>
      <c r="F727" s="26">
        <v>0.74</v>
      </c>
      <c r="G727" s="25">
        <v>75</v>
      </c>
      <c r="H727" s="27">
        <v>6.7</v>
      </c>
      <c r="I727" s="24" t="str" cm="1">
        <f t="array" ref="I727">_xlfn.IFS(
   AND(F727&gt;=0,9, G727&gt;=85), "Excelente",
   AND(F727&gt;=0,8, G727&gt;=70), "Bueno",
   OR(F727&lt;0,6,  G727&lt;50),  "Alerta",
   TRUE,           "Revisar")</f>
        <v>Bueno</v>
      </c>
      <c r="J727" s="28">
        <f t="shared" si="11"/>
        <v>1000000</v>
      </c>
    </row>
    <row r="728" spans="1:10" ht="18" customHeight="1" x14ac:dyDescent="0.3">
      <c r="A728" s="18" t="s">
        <v>1505</v>
      </c>
      <c r="B728" s="5" t="s">
        <v>1506</v>
      </c>
      <c r="C728" s="18" t="s">
        <v>81</v>
      </c>
      <c r="D728" s="18" t="s">
        <v>78</v>
      </c>
      <c r="E728" s="6">
        <v>8600000</v>
      </c>
      <c r="F728" s="19">
        <v>0.87</v>
      </c>
      <c r="G728" s="18">
        <v>67</v>
      </c>
      <c r="H728" s="20">
        <v>13</v>
      </c>
      <c r="I728" s="24" t="str" cm="1">
        <f t="array" ref="I728">_xlfn.IFS(
   AND(F728&gt;=0,9, G728&gt;=85), "Excelente",
   AND(F728&gt;=0,8, G728&gt;=70), "Bueno",
   OR(F728&lt;0,6,  G728&lt;50),  "Alerta",
   TRUE,           "Revisar")</f>
        <v>Alerta</v>
      </c>
      <c r="J728" s="28">
        <f t="shared" si="11"/>
        <v>0</v>
      </c>
    </row>
    <row r="729" spans="1:10" ht="18" customHeight="1" x14ac:dyDescent="0.3">
      <c r="A729" s="25" t="s">
        <v>1507</v>
      </c>
      <c r="B729" s="8" t="s">
        <v>1508</v>
      </c>
      <c r="C729" s="25" t="s">
        <v>63</v>
      </c>
      <c r="D729" s="25" t="s">
        <v>78</v>
      </c>
      <c r="E729" s="9">
        <v>10800000</v>
      </c>
      <c r="F729" s="26">
        <v>0.83</v>
      </c>
      <c r="G729" s="25">
        <v>92</v>
      </c>
      <c r="H729" s="27">
        <v>1.7</v>
      </c>
      <c r="I729" s="24" t="str" cm="1">
        <f t="array" ref="I729">_xlfn.IFS(
   AND(F729&gt;=0,9, G729&gt;=85), "Excelente",
   AND(F729&gt;=0,8, G729&gt;=70), "Bueno",
   OR(F729&lt;0,6,  G729&lt;50),  "Alerta",
   TRUE,           "Revisar")</f>
        <v>Excelente</v>
      </c>
      <c r="J729" s="28">
        <f t="shared" si="11"/>
        <v>1080000</v>
      </c>
    </row>
    <row r="730" spans="1:10" ht="18" customHeight="1" x14ac:dyDescent="0.3">
      <c r="A730" s="18" t="s">
        <v>1509</v>
      </c>
      <c r="B730" s="5" t="s">
        <v>1510</v>
      </c>
      <c r="C730" s="18" t="s">
        <v>91</v>
      </c>
      <c r="D730" s="18" t="s">
        <v>60</v>
      </c>
      <c r="E730" s="6">
        <v>9000000</v>
      </c>
      <c r="F730" s="19">
        <v>0.66</v>
      </c>
      <c r="G730" s="18">
        <v>99</v>
      </c>
      <c r="H730" s="20">
        <v>12.9</v>
      </c>
      <c r="I730" s="24" t="str" cm="1">
        <f t="array" ref="I730">_xlfn.IFS(
   AND(F730&gt;=0,9, G730&gt;=85), "Excelente",
   AND(F730&gt;=0,8, G730&gt;=70), "Bueno",
   OR(F730&lt;0,6,  G730&lt;50),  "Alerta",
   TRUE,           "Revisar")</f>
        <v>Excelente</v>
      </c>
      <c r="J730" s="28">
        <f t="shared" si="11"/>
        <v>900000</v>
      </c>
    </row>
    <row r="731" spans="1:10" ht="18" customHeight="1" x14ac:dyDescent="0.3">
      <c r="A731" s="25" t="s">
        <v>1511</v>
      </c>
      <c r="B731" s="8" t="s">
        <v>1512</v>
      </c>
      <c r="C731" s="25" t="s">
        <v>77</v>
      </c>
      <c r="D731" s="25" t="s">
        <v>64</v>
      </c>
      <c r="E731" s="9">
        <v>3200000</v>
      </c>
      <c r="F731" s="26">
        <v>0.64</v>
      </c>
      <c r="G731" s="25">
        <v>73</v>
      </c>
      <c r="H731" s="27">
        <v>15.8</v>
      </c>
      <c r="I731" s="24" t="str" cm="1">
        <f t="array" ref="I731">_xlfn.IFS(
   AND(F731&gt;=0,9, G731&gt;=85), "Excelente",
   AND(F731&gt;=0,8, G731&gt;=70), "Bueno",
   OR(F731&lt;0,6,  G731&lt;50),  "Alerta",
   TRUE,           "Revisar")</f>
        <v>Bueno</v>
      </c>
      <c r="J731" s="28">
        <f t="shared" si="11"/>
        <v>320000</v>
      </c>
    </row>
    <row r="732" spans="1:10" ht="18" customHeight="1" x14ac:dyDescent="0.3">
      <c r="A732" s="18" t="s">
        <v>1513</v>
      </c>
      <c r="B732" s="5" t="s">
        <v>1514</v>
      </c>
      <c r="C732" s="18" t="s">
        <v>71</v>
      </c>
      <c r="D732" s="18" t="s">
        <v>105</v>
      </c>
      <c r="E732" s="6">
        <v>11100000</v>
      </c>
      <c r="F732" s="19">
        <v>0.46</v>
      </c>
      <c r="G732" s="18">
        <v>35</v>
      </c>
      <c r="H732" s="20">
        <v>4.9000000000000004</v>
      </c>
      <c r="I732" s="24" t="str" cm="1">
        <f t="array" ref="I732">_xlfn.IFS(
   AND(F732&gt;=0,9, G732&gt;=85), "Excelente",
   AND(F732&gt;=0,8, G732&gt;=70), "Bueno",
   OR(F732&lt;0,6,  G732&lt;50),  "Alerta",
   TRUE,           "Revisar")</f>
        <v>Alerta</v>
      </c>
      <c r="J732" s="28">
        <f t="shared" si="11"/>
        <v>0</v>
      </c>
    </row>
    <row r="733" spans="1:10" ht="18" customHeight="1" x14ac:dyDescent="0.3">
      <c r="A733" s="25" t="s">
        <v>1515</v>
      </c>
      <c r="B733" s="8" t="s">
        <v>1516</v>
      </c>
      <c r="C733" s="25" t="s">
        <v>59</v>
      </c>
      <c r="D733" s="25" t="s">
        <v>78</v>
      </c>
      <c r="E733" s="9">
        <v>8600000</v>
      </c>
      <c r="F733" s="26">
        <v>0.79</v>
      </c>
      <c r="G733" s="25">
        <v>38</v>
      </c>
      <c r="H733" s="27">
        <v>16.399999999999999</v>
      </c>
      <c r="I733" s="24" t="str" cm="1">
        <f t="array" ref="I733">_xlfn.IFS(
   AND(F733&gt;=0,9, G733&gt;=85), "Excelente",
   AND(F733&gt;=0,8, G733&gt;=70), "Bueno",
   OR(F733&lt;0,6,  G733&lt;50),  "Alerta",
   TRUE,           "Revisar")</f>
        <v>Alerta</v>
      </c>
      <c r="J733" s="28">
        <f t="shared" si="11"/>
        <v>0</v>
      </c>
    </row>
    <row r="734" spans="1:10" ht="18" customHeight="1" x14ac:dyDescent="0.3">
      <c r="A734" s="18" t="s">
        <v>1517</v>
      </c>
      <c r="B734" s="5" t="s">
        <v>1518</v>
      </c>
      <c r="C734" s="18" t="s">
        <v>67</v>
      </c>
      <c r="D734" s="18" t="s">
        <v>78</v>
      </c>
      <c r="E734" s="6">
        <v>5300000</v>
      </c>
      <c r="F734" s="19">
        <v>0.68</v>
      </c>
      <c r="G734" s="18">
        <v>81</v>
      </c>
      <c r="H734" s="20">
        <v>6.5</v>
      </c>
      <c r="I734" s="24" t="str" cm="1">
        <f t="array" ref="I734">_xlfn.IFS(
   AND(F734&gt;=0,9, G734&gt;=85), "Excelente",
   AND(F734&gt;=0,8, G734&gt;=70), "Bueno",
   OR(F734&lt;0,6,  G734&lt;50),  "Alerta",
   TRUE,           "Revisar")</f>
        <v>Bueno</v>
      </c>
      <c r="J734" s="28">
        <f t="shared" si="11"/>
        <v>530000</v>
      </c>
    </row>
    <row r="735" spans="1:10" ht="18" customHeight="1" x14ac:dyDescent="0.3">
      <c r="A735" s="25" t="s">
        <v>1519</v>
      </c>
      <c r="B735" s="8" t="s">
        <v>1520</v>
      </c>
      <c r="C735" s="25" t="s">
        <v>71</v>
      </c>
      <c r="D735" s="25" t="s">
        <v>92</v>
      </c>
      <c r="E735" s="9">
        <v>5500000</v>
      </c>
      <c r="F735" s="26">
        <v>0.87</v>
      </c>
      <c r="G735" s="25">
        <v>52</v>
      </c>
      <c r="H735" s="27">
        <v>6.7</v>
      </c>
      <c r="I735" s="24" t="str" cm="1">
        <f t="array" ref="I735">_xlfn.IFS(
   AND(F735&gt;=0,9, G735&gt;=85), "Excelente",
   AND(F735&gt;=0,8, G735&gt;=70), "Bueno",
   OR(F735&lt;0,6,  G735&lt;50),  "Alerta",
   TRUE,           "Revisar")</f>
        <v>Alerta</v>
      </c>
      <c r="J735" s="28">
        <f t="shared" si="11"/>
        <v>0</v>
      </c>
    </row>
    <row r="736" spans="1:10" ht="18" customHeight="1" x14ac:dyDescent="0.3">
      <c r="A736" s="18" t="s">
        <v>1521</v>
      </c>
      <c r="B736" s="5" t="s">
        <v>1522</v>
      </c>
      <c r="C736" s="18" t="s">
        <v>91</v>
      </c>
      <c r="D736" s="18" t="s">
        <v>114</v>
      </c>
      <c r="E736" s="6">
        <v>4000000</v>
      </c>
      <c r="F736" s="19">
        <v>0.89</v>
      </c>
      <c r="G736" s="18">
        <v>78</v>
      </c>
      <c r="H736" s="20">
        <v>15.6</v>
      </c>
      <c r="I736" s="24" t="str" cm="1">
        <f t="array" ref="I736">_xlfn.IFS(
   AND(F736&gt;=0,9, G736&gt;=85), "Excelente",
   AND(F736&gt;=0,8, G736&gt;=70), "Bueno",
   OR(F736&lt;0,6,  G736&lt;50),  "Alerta",
   TRUE,           "Revisar")</f>
        <v>Bueno</v>
      </c>
      <c r="J736" s="28">
        <f t="shared" si="11"/>
        <v>400000</v>
      </c>
    </row>
    <row r="737" spans="1:10" ht="18" customHeight="1" x14ac:dyDescent="0.3">
      <c r="A737" s="25" t="s">
        <v>1523</v>
      </c>
      <c r="B737" s="8" t="s">
        <v>1524</v>
      </c>
      <c r="C737" s="25" t="s">
        <v>91</v>
      </c>
      <c r="D737" s="25" t="s">
        <v>64</v>
      </c>
      <c r="E737" s="9">
        <v>5000000</v>
      </c>
      <c r="F737" s="26">
        <v>0.96</v>
      </c>
      <c r="G737" s="25">
        <v>66</v>
      </c>
      <c r="H737" s="27">
        <v>8.3000000000000007</v>
      </c>
      <c r="I737" s="24" t="str" cm="1">
        <f t="array" ref="I737">_xlfn.IFS(
   AND(F737&gt;=0,9, G737&gt;=85), "Excelente",
   AND(F737&gt;=0,8, G737&gt;=70), "Bueno",
   OR(F737&lt;0,6,  G737&lt;50),  "Alerta",
   TRUE,           "Revisar")</f>
        <v>Alerta</v>
      </c>
      <c r="J737" s="28">
        <f t="shared" si="11"/>
        <v>0</v>
      </c>
    </row>
    <row r="738" spans="1:10" ht="18" customHeight="1" x14ac:dyDescent="0.3">
      <c r="A738" s="18" t="s">
        <v>1525</v>
      </c>
      <c r="B738" s="5" t="s">
        <v>1526</v>
      </c>
      <c r="C738" s="18" t="s">
        <v>59</v>
      </c>
      <c r="D738" s="18" t="s">
        <v>105</v>
      </c>
      <c r="E738" s="6">
        <v>8000000</v>
      </c>
      <c r="F738" s="19">
        <v>0.57999999999999996</v>
      </c>
      <c r="G738" s="18">
        <v>52</v>
      </c>
      <c r="H738" s="20">
        <v>12.2</v>
      </c>
      <c r="I738" s="24" t="str" cm="1">
        <f t="array" ref="I738">_xlfn.IFS(
   AND(F738&gt;=0,9, G738&gt;=85), "Excelente",
   AND(F738&gt;=0,8, G738&gt;=70), "Bueno",
   OR(F738&lt;0,6,  G738&lt;50),  "Alerta",
   TRUE,           "Revisar")</f>
        <v>Alerta</v>
      </c>
      <c r="J738" s="28">
        <f t="shared" si="11"/>
        <v>0</v>
      </c>
    </row>
    <row r="739" spans="1:10" ht="18" customHeight="1" x14ac:dyDescent="0.3">
      <c r="A739" s="25" t="s">
        <v>1527</v>
      </c>
      <c r="B739" s="8" t="s">
        <v>1528</v>
      </c>
      <c r="C739" s="25" t="s">
        <v>71</v>
      </c>
      <c r="D739" s="25" t="s">
        <v>105</v>
      </c>
      <c r="E739" s="9">
        <v>10600000</v>
      </c>
      <c r="F739" s="26">
        <v>0.97</v>
      </c>
      <c r="G739" s="25">
        <v>68</v>
      </c>
      <c r="H739" s="27">
        <v>7</v>
      </c>
      <c r="I739" s="24" t="str" cm="1">
        <f t="array" ref="I739">_xlfn.IFS(
   AND(F739&gt;=0,9, G739&gt;=85), "Excelente",
   AND(F739&gt;=0,8, G739&gt;=70), "Bueno",
   OR(F739&lt;0,6,  G739&lt;50),  "Alerta",
   TRUE,           "Revisar")</f>
        <v>Alerta</v>
      </c>
      <c r="J739" s="28">
        <f t="shared" si="11"/>
        <v>0</v>
      </c>
    </row>
    <row r="740" spans="1:10" ht="18" customHeight="1" x14ac:dyDescent="0.3">
      <c r="A740" s="18" t="s">
        <v>1529</v>
      </c>
      <c r="B740" s="5" t="s">
        <v>1530</v>
      </c>
      <c r="C740" s="18" t="s">
        <v>74</v>
      </c>
      <c r="D740" s="18" t="s">
        <v>92</v>
      </c>
      <c r="E740" s="6">
        <v>9700000</v>
      </c>
      <c r="F740" s="19">
        <v>0.73</v>
      </c>
      <c r="G740" s="18">
        <v>89</v>
      </c>
      <c r="H740" s="20">
        <v>15.4</v>
      </c>
      <c r="I740" s="24" t="str" cm="1">
        <f t="array" ref="I740">_xlfn.IFS(
   AND(F740&gt;=0,9, G740&gt;=85), "Excelente",
   AND(F740&gt;=0,8, G740&gt;=70), "Bueno",
   OR(F740&lt;0,6,  G740&lt;50),  "Alerta",
   TRUE,           "Revisar")</f>
        <v>Excelente</v>
      </c>
      <c r="J740" s="28">
        <f t="shared" si="11"/>
        <v>970000</v>
      </c>
    </row>
    <row r="741" spans="1:10" ht="18" customHeight="1" x14ac:dyDescent="0.3">
      <c r="A741" s="25" t="s">
        <v>1531</v>
      </c>
      <c r="B741" s="8" t="s">
        <v>1532</v>
      </c>
      <c r="C741" s="25" t="s">
        <v>91</v>
      </c>
      <c r="D741" s="25" t="s">
        <v>60</v>
      </c>
      <c r="E741" s="9">
        <v>4200000</v>
      </c>
      <c r="F741" s="26">
        <v>0.89</v>
      </c>
      <c r="G741" s="25">
        <v>90</v>
      </c>
      <c r="H741" s="27">
        <v>10</v>
      </c>
      <c r="I741" s="24" t="str" cm="1">
        <f t="array" ref="I741">_xlfn.IFS(
   AND(F741&gt;=0,9, G741&gt;=85), "Excelente",
   AND(F741&gt;=0,8, G741&gt;=70), "Bueno",
   OR(F741&lt;0,6,  G741&lt;50),  "Alerta",
   TRUE,           "Revisar")</f>
        <v>Excelente</v>
      </c>
      <c r="J741" s="28">
        <f t="shared" si="11"/>
        <v>420000</v>
      </c>
    </row>
    <row r="742" spans="1:10" ht="18" customHeight="1" x14ac:dyDescent="0.3">
      <c r="A742" s="18" t="s">
        <v>1533</v>
      </c>
      <c r="B742" s="5" t="s">
        <v>1534</v>
      </c>
      <c r="C742" s="18" t="s">
        <v>67</v>
      </c>
      <c r="D742" s="18" t="s">
        <v>68</v>
      </c>
      <c r="E742" s="6">
        <v>6000000</v>
      </c>
      <c r="F742" s="19">
        <v>0.63</v>
      </c>
      <c r="G742" s="18">
        <v>88</v>
      </c>
      <c r="H742" s="20">
        <v>0.9</v>
      </c>
      <c r="I742" s="24" t="str" cm="1">
        <f t="array" ref="I742">_xlfn.IFS(
   AND(F742&gt;=0,9, G742&gt;=85), "Excelente",
   AND(F742&gt;=0,8, G742&gt;=70), "Bueno",
   OR(F742&lt;0,6,  G742&lt;50),  "Alerta",
   TRUE,           "Revisar")</f>
        <v>Excelente</v>
      </c>
      <c r="J742" s="28">
        <f t="shared" si="11"/>
        <v>600000</v>
      </c>
    </row>
    <row r="743" spans="1:10" ht="18" customHeight="1" x14ac:dyDescent="0.3">
      <c r="A743" s="25" t="s">
        <v>1535</v>
      </c>
      <c r="B743" s="8" t="s">
        <v>1536</v>
      </c>
      <c r="C743" s="25" t="s">
        <v>91</v>
      </c>
      <c r="D743" s="25" t="s">
        <v>105</v>
      </c>
      <c r="E743" s="9">
        <v>9300000</v>
      </c>
      <c r="F743" s="26">
        <v>0.51</v>
      </c>
      <c r="G743" s="25">
        <v>60</v>
      </c>
      <c r="H743" s="27">
        <v>14.4</v>
      </c>
      <c r="I743" s="24" t="str" cm="1">
        <f t="array" ref="I743">_xlfn.IFS(
   AND(F743&gt;=0,9, G743&gt;=85), "Excelente",
   AND(F743&gt;=0,8, G743&gt;=70), "Bueno",
   OR(F743&lt;0,6,  G743&lt;50),  "Alerta",
   TRUE,           "Revisar")</f>
        <v>Alerta</v>
      </c>
      <c r="J743" s="28">
        <f t="shared" si="11"/>
        <v>0</v>
      </c>
    </row>
    <row r="744" spans="1:10" ht="18" customHeight="1" x14ac:dyDescent="0.3">
      <c r="A744" s="18" t="s">
        <v>1537</v>
      </c>
      <c r="B744" s="5" t="s">
        <v>1538</v>
      </c>
      <c r="C744" s="18" t="s">
        <v>81</v>
      </c>
      <c r="D744" s="18" t="s">
        <v>60</v>
      </c>
      <c r="E744" s="6">
        <v>4200000</v>
      </c>
      <c r="F744" s="19">
        <v>0.63</v>
      </c>
      <c r="G744" s="18">
        <v>42</v>
      </c>
      <c r="H744" s="20">
        <v>4.7</v>
      </c>
      <c r="I744" s="24" t="str" cm="1">
        <f t="array" ref="I744">_xlfn.IFS(
   AND(F744&gt;=0,9, G744&gt;=85), "Excelente",
   AND(F744&gt;=0,8, G744&gt;=70), "Bueno",
   OR(F744&lt;0,6,  G744&lt;50),  "Alerta",
   TRUE,           "Revisar")</f>
        <v>Alerta</v>
      </c>
      <c r="J744" s="28">
        <f t="shared" si="11"/>
        <v>0</v>
      </c>
    </row>
    <row r="745" spans="1:10" ht="18" customHeight="1" x14ac:dyDescent="0.3">
      <c r="A745" s="25" t="s">
        <v>1539</v>
      </c>
      <c r="B745" s="8" t="s">
        <v>1540</v>
      </c>
      <c r="C745" s="25" t="s">
        <v>67</v>
      </c>
      <c r="D745" s="25" t="s">
        <v>68</v>
      </c>
      <c r="E745" s="9">
        <v>5600000</v>
      </c>
      <c r="F745" s="26">
        <v>0.49</v>
      </c>
      <c r="G745" s="25">
        <v>92</v>
      </c>
      <c r="H745" s="27">
        <v>1.1000000000000001</v>
      </c>
      <c r="I745" s="24" t="str" cm="1">
        <f t="array" ref="I745">_xlfn.IFS(
   AND(F745&gt;=0,9, G745&gt;=85), "Excelente",
   AND(F745&gt;=0,8, G745&gt;=70), "Bueno",
   OR(F745&lt;0,6,  G745&lt;50),  "Alerta",
   TRUE,           "Revisar")</f>
        <v>Excelente</v>
      </c>
      <c r="J745" s="28">
        <f t="shared" si="11"/>
        <v>560000</v>
      </c>
    </row>
    <row r="746" spans="1:10" ht="18" customHeight="1" x14ac:dyDescent="0.3">
      <c r="A746" s="18" t="s">
        <v>1541</v>
      </c>
      <c r="B746" s="5" t="s">
        <v>1542</v>
      </c>
      <c r="C746" s="18" t="s">
        <v>67</v>
      </c>
      <c r="D746" s="18" t="s">
        <v>105</v>
      </c>
      <c r="E746" s="6">
        <v>5000000</v>
      </c>
      <c r="F746" s="19">
        <v>0.66</v>
      </c>
      <c r="G746" s="18">
        <v>47</v>
      </c>
      <c r="H746" s="20">
        <v>9.1999999999999993</v>
      </c>
      <c r="I746" s="24" t="str" cm="1">
        <f t="array" ref="I746">_xlfn.IFS(
   AND(F746&gt;=0,9, G746&gt;=85), "Excelente",
   AND(F746&gt;=0,8, G746&gt;=70), "Bueno",
   OR(F746&lt;0,6,  G746&lt;50),  "Alerta",
   TRUE,           "Revisar")</f>
        <v>Alerta</v>
      </c>
      <c r="J746" s="28">
        <f t="shared" si="11"/>
        <v>0</v>
      </c>
    </row>
    <row r="747" spans="1:10" ht="18" customHeight="1" x14ac:dyDescent="0.3">
      <c r="A747" s="25" t="s">
        <v>1543</v>
      </c>
      <c r="B747" s="8" t="s">
        <v>1544</v>
      </c>
      <c r="C747" s="25" t="s">
        <v>81</v>
      </c>
      <c r="D747" s="25" t="s">
        <v>88</v>
      </c>
      <c r="E747" s="9">
        <v>5300000</v>
      </c>
      <c r="F747" s="26">
        <v>0.63</v>
      </c>
      <c r="G747" s="25">
        <v>34</v>
      </c>
      <c r="H747" s="27">
        <v>13.8</v>
      </c>
      <c r="I747" s="24" t="str" cm="1">
        <f t="array" ref="I747">_xlfn.IFS(
   AND(F747&gt;=0,9, G747&gt;=85), "Excelente",
   AND(F747&gt;=0,8, G747&gt;=70), "Bueno",
   OR(F747&lt;0,6,  G747&lt;50),  "Alerta",
   TRUE,           "Revisar")</f>
        <v>Alerta</v>
      </c>
      <c r="J747" s="28">
        <f t="shared" si="11"/>
        <v>0</v>
      </c>
    </row>
    <row r="748" spans="1:10" ht="18" customHeight="1" x14ac:dyDescent="0.3">
      <c r="A748" s="18" t="s">
        <v>1545</v>
      </c>
      <c r="B748" s="5" t="s">
        <v>1546</v>
      </c>
      <c r="C748" s="18" t="s">
        <v>71</v>
      </c>
      <c r="D748" s="18" t="s">
        <v>78</v>
      </c>
      <c r="E748" s="6">
        <v>8700000</v>
      </c>
      <c r="F748" s="19">
        <v>0.7</v>
      </c>
      <c r="G748" s="18">
        <v>51</v>
      </c>
      <c r="H748" s="20">
        <v>15.2</v>
      </c>
      <c r="I748" s="24" t="str" cm="1">
        <f t="array" ref="I748">_xlfn.IFS(
   AND(F748&gt;=0,9, G748&gt;=85), "Excelente",
   AND(F748&gt;=0,8, G748&gt;=70), "Bueno",
   OR(F748&lt;0,6,  G748&lt;50),  "Alerta",
   TRUE,           "Revisar")</f>
        <v>Alerta</v>
      </c>
      <c r="J748" s="28">
        <f t="shared" si="11"/>
        <v>0</v>
      </c>
    </row>
    <row r="749" spans="1:10" ht="18" customHeight="1" x14ac:dyDescent="0.3">
      <c r="A749" s="25" t="s">
        <v>1547</v>
      </c>
      <c r="B749" s="8" t="s">
        <v>1548</v>
      </c>
      <c r="C749" s="25" t="s">
        <v>59</v>
      </c>
      <c r="D749" s="25" t="s">
        <v>114</v>
      </c>
      <c r="E749" s="9">
        <v>10900000</v>
      </c>
      <c r="F749" s="26">
        <v>0.97</v>
      </c>
      <c r="G749" s="25">
        <v>51</v>
      </c>
      <c r="H749" s="27">
        <v>11.6</v>
      </c>
      <c r="I749" s="24" t="str" cm="1">
        <f t="array" ref="I749">_xlfn.IFS(
   AND(F749&gt;=0,9, G749&gt;=85), "Excelente",
   AND(F749&gt;=0,8, G749&gt;=70), "Bueno",
   OR(F749&lt;0,6,  G749&lt;50),  "Alerta",
   TRUE,           "Revisar")</f>
        <v>Alerta</v>
      </c>
      <c r="J749" s="28">
        <f t="shared" si="11"/>
        <v>0</v>
      </c>
    </row>
    <row r="750" spans="1:10" ht="18" customHeight="1" x14ac:dyDescent="0.3">
      <c r="A750" s="18" t="s">
        <v>1549</v>
      </c>
      <c r="B750" s="5" t="s">
        <v>1550</v>
      </c>
      <c r="C750" s="18" t="s">
        <v>63</v>
      </c>
      <c r="D750" s="18" t="s">
        <v>105</v>
      </c>
      <c r="E750" s="6">
        <v>5500000</v>
      </c>
      <c r="F750" s="19">
        <v>0.78</v>
      </c>
      <c r="G750" s="18">
        <v>89</v>
      </c>
      <c r="H750" s="20">
        <v>5.6</v>
      </c>
      <c r="I750" s="24" t="str" cm="1">
        <f t="array" ref="I750">_xlfn.IFS(
   AND(F750&gt;=0,9, G750&gt;=85), "Excelente",
   AND(F750&gt;=0,8, G750&gt;=70), "Bueno",
   OR(F750&lt;0,6,  G750&lt;50),  "Alerta",
   TRUE,           "Revisar")</f>
        <v>Excelente</v>
      </c>
      <c r="J750" s="28">
        <f t="shared" si="11"/>
        <v>550000</v>
      </c>
    </row>
    <row r="751" spans="1:10" ht="18" customHeight="1" x14ac:dyDescent="0.3">
      <c r="A751" s="25" t="s">
        <v>1551</v>
      </c>
      <c r="B751" s="8" t="s">
        <v>1552</v>
      </c>
      <c r="C751" s="25" t="s">
        <v>81</v>
      </c>
      <c r="D751" s="25" t="s">
        <v>68</v>
      </c>
      <c r="E751" s="9">
        <v>10200000</v>
      </c>
      <c r="F751" s="26">
        <v>0.56999999999999995</v>
      </c>
      <c r="G751" s="25">
        <v>49</v>
      </c>
      <c r="H751" s="27">
        <v>18.3</v>
      </c>
      <c r="I751" s="24" t="str" cm="1">
        <f t="array" ref="I751">_xlfn.IFS(
   AND(F751&gt;=0,9, G751&gt;=85), "Excelente",
   AND(F751&gt;=0,8, G751&gt;=70), "Bueno",
   OR(F751&lt;0,6,  G751&lt;50),  "Alerta",
   TRUE,           "Revisar")</f>
        <v>Alerta</v>
      </c>
      <c r="J751" s="28">
        <f t="shared" si="11"/>
        <v>0</v>
      </c>
    </row>
    <row r="752" spans="1:10" ht="18" customHeight="1" x14ac:dyDescent="0.3">
      <c r="A752" s="18" t="s">
        <v>1553</v>
      </c>
      <c r="B752" s="5" t="s">
        <v>1554</v>
      </c>
      <c r="C752" s="18" t="s">
        <v>91</v>
      </c>
      <c r="D752" s="18" t="s">
        <v>64</v>
      </c>
      <c r="E752" s="6">
        <v>8800000</v>
      </c>
      <c r="F752" s="19">
        <v>0.85</v>
      </c>
      <c r="G752" s="18">
        <v>94</v>
      </c>
      <c r="H752" s="20">
        <v>0.7</v>
      </c>
      <c r="I752" s="24" t="str" cm="1">
        <f t="array" ref="I752">_xlfn.IFS(
   AND(F752&gt;=0,9, G752&gt;=85), "Excelente",
   AND(F752&gt;=0,8, G752&gt;=70), "Bueno",
   OR(F752&lt;0,6,  G752&lt;50),  "Alerta",
   TRUE,           "Revisar")</f>
        <v>Excelente</v>
      </c>
      <c r="J752" s="28">
        <f t="shared" si="11"/>
        <v>880000</v>
      </c>
    </row>
    <row r="753" spans="1:10" ht="18" customHeight="1" x14ac:dyDescent="0.3">
      <c r="A753" s="25" t="s">
        <v>1555</v>
      </c>
      <c r="B753" s="8" t="s">
        <v>1556</v>
      </c>
      <c r="C753" s="25" t="s">
        <v>77</v>
      </c>
      <c r="D753" s="25" t="s">
        <v>78</v>
      </c>
      <c r="E753" s="9">
        <v>8500000</v>
      </c>
      <c r="F753" s="26">
        <v>0.72</v>
      </c>
      <c r="G753" s="25">
        <v>40</v>
      </c>
      <c r="H753" s="27">
        <v>11.2</v>
      </c>
      <c r="I753" s="24" t="str" cm="1">
        <f t="array" ref="I753">_xlfn.IFS(
   AND(F753&gt;=0,9, G753&gt;=85), "Excelente",
   AND(F753&gt;=0,8, G753&gt;=70), "Bueno",
   OR(F753&lt;0,6,  G753&lt;50),  "Alerta",
   TRUE,           "Revisar")</f>
        <v>Alerta</v>
      </c>
      <c r="J753" s="28">
        <f t="shared" si="11"/>
        <v>0</v>
      </c>
    </row>
    <row r="754" spans="1:10" ht="18" customHeight="1" x14ac:dyDescent="0.3">
      <c r="A754" s="18" t="s">
        <v>1557</v>
      </c>
      <c r="B754" s="5" t="s">
        <v>1558</v>
      </c>
      <c r="C754" s="18" t="s">
        <v>71</v>
      </c>
      <c r="D754" s="18" t="s">
        <v>92</v>
      </c>
      <c r="E754" s="6">
        <v>6500000</v>
      </c>
      <c r="F754" s="19">
        <v>0.57999999999999996</v>
      </c>
      <c r="G754" s="18">
        <v>41</v>
      </c>
      <c r="H754" s="20">
        <v>0.3</v>
      </c>
      <c r="I754" s="24" t="str" cm="1">
        <f t="array" ref="I754">_xlfn.IFS(
   AND(F754&gt;=0,9, G754&gt;=85), "Excelente",
   AND(F754&gt;=0,8, G754&gt;=70), "Bueno",
   OR(F754&lt;0,6,  G754&lt;50),  "Alerta",
   TRUE,           "Revisar")</f>
        <v>Alerta</v>
      </c>
      <c r="J754" s="28">
        <f t="shared" si="11"/>
        <v>0</v>
      </c>
    </row>
    <row r="755" spans="1:10" ht="18" customHeight="1" x14ac:dyDescent="0.3">
      <c r="A755" s="25" t="s">
        <v>1559</v>
      </c>
      <c r="B755" s="8" t="s">
        <v>1560</v>
      </c>
      <c r="C755" s="25" t="s">
        <v>77</v>
      </c>
      <c r="D755" s="25" t="s">
        <v>105</v>
      </c>
      <c r="E755" s="9">
        <v>4500000</v>
      </c>
      <c r="F755" s="26">
        <v>0.93</v>
      </c>
      <c r="G755" s="25">
        <v>81</v>
      </c>
      <c r="H755" s="27">
        <v>3.7</v>
      </c>
      <c r="I755" s="24" t="str" cm="1">
        <f t="array" ref="I755">_xlfn.IFS(
   AND(F755&gt;=0,9, G755&gt;=85), "Excelente",
   AND(F755&gt;=0,8, G755&gt;=70), "Bueno",
   OR(F755&lt;0,6,  G755&lt;50),  "Alerta",
   TRUE,           "Revisar")</f>
        <v>Bueno</v>
      </c>
      <c r="J755" s="28">
        <f t="shared" si="11"/>
        <v>450000</v>
      </c>
    </row>
    <row r="756" spans="1:10" ht="18" customHeight="1" x14ac:dyDescent="0.3">
      <c r="A756" s="18" t="s">
        <v>1561</v>
      </c>
      <c r="B756" s="5" t="s">
        <v>1562</v>
      </c>
      <c r="C756" s="18" t="s">
        <v>77</v>
      </c>
      <c r="D756" s="18" t="s">
        <v>64</v>
      </c>
      <c r="E756" s="6">
        <v>10800000</v>
      </c>
      <c r="F756" s="19">
        <v>0.49</v>
      </c>
      <c r="G756" s="18">
        <v>72</v>
      </c>
      <c r="H756" s="20">
        <v>10.6</v>
      </c>
      <c r="I756" s="24" t="str" cm="1">
        <f t="array" ref="I756">_xlfn.IFS(
   AND(F756&gt;=0,9, G756&gt;=85), "Excelente",
   AND(F756&gt;=0,8, G756&gt;=70), "Bueno",
   OR(F756&lt;0,6,  G756&lt;50),  "Alerta",
   TRUE,           "Revisar")</f>
        <v>Bueno</v>
      </c>
      <c r="J756" s="28">
        <f t="shared" si="11"/>
        <v>1080000</v>
      </c>
    </row>
    <row r="757" spans="1:10" ht="18" customHeight="1" x14ac:dyDescent="0.3">
      <c r="A757" s="25" t="s">
        <v>1563</v>
      </c>
      <c r="B757" s="8" t="s">
        <v>1564</v>
      </c>
      <c r="C757" s="25" t="s">
        <v>67</v>
      </c>
      <c r="D757" s="25" t="s">
        <v>78</v>
      </c>
      <c r="E757" s="9">
        <v>10700000</v>
      </c>
      <c r="F757" s="26">
        <v>0.93</v>
      </c>
      <c r="G757" s="25">
        <v>37</v>
      </c>
      <c r="H757" s="27">
        <v>10.3</v>
      </c>
      <c r="I757" s="24" t="str" cm="1">
        <f t="array" ref="I757">_xlfn.IFS(
   AND(F757&gt;=0,9, G757&gt;=85), "Excelente",
   AND(F757&gt;=0,8, G757&gt;=70), "Bueno",
   OR(F757&lt;0,6,  G757&lt;50),  "Alerta",
   TRUE,           "Revisar")</f>
        <v>Alerta</v>
      </c>
      <c r="J757" s="28">
        <f t="shared" si="11"/>
        <v>0</v>
      </c>
    </row>
    <row r="758" spans="1:10" ht="18" customHeight="1" x14ac:dyDescent="0.3">
      <c r="A758" s="18" t="s">
        <v>1565</v>
      </c>
      <c r="B758" s="5" t="s">
        <v>1566</v>
      </c>
      <c r="C758" s="18" t="s">
        <v>91</v>
      </c>
      <c r="D758" s="18" t="s">
        <v>78</v>
      </c>
      <c r="E758" s="6">
        <v>7700000</v>
      </c>
      <c r="F758" s="19">
        <v>0.65</v>
      </c>
      <c r="G758" s="18">
        <v>35</v>
      </c>
      <c r="H758" s="20">
        <v>7.3</v>
      </c>
      <c r="I758" s="24" t="str" cm="1">
        <f t="array" ref="I758">_xlfn.IFS(
   AND(F758&gt;=0,9, G758&gt;=85), "Excelente",
   AND(F758&gt;=0,8, G758&gt;=70), "Bueno",
   OR(F758&lt;0,6,  G758&lt;50),  "Alerta",
   TRUE,           "Revisar")</f>
        <v>Alerta</v>
      </c>
      <c r="J758" s="28">
        <f t="shared" si="11"/>
        <v>0</v>
      </c>
    </row>
    <row r="759" spans="1:10" ht="18" customHeight="1" x14ac:dyDescent="0.3">
      <c r="A759" s="25" t="s">
        <v>1567</v>
      </c>
      <c r="B759" s="8" t="s">
        <v>1568</v>
      </c>
      <c r="C759" s="25" t="s">
        <v>67</v>
      </c>
      <c r="D759" s="25" t="s">
        <v>114</v>
      </c>
      <c r="E759" s="9">
        <v>7000000</v>
      </c>
      <c r="F759" s="26">
        <v>0.57999999999999996</v>
      </c>
      <c r="G759" s="25">
        <v>44</v>
      </c>
      <c r="H759" s="27">
        <v>13</v>
      </c>
      <c r="I759" s="24" t="str" cm="1">
        <f t="array" ref="I759">_xlfn.IFS(
   AND(F759&gt;=0,9, G759&gt;=85), "Excelente",
   AND(F759&gt;=0,8, G759&gt;=70), "Bueno",
   OR(F759&lt;0,6,  G759&lt;50),  "Alerta",
   TRUE,           "Revisar")</f>
        <v>Alerta</v>
      </c>
      <c r="J759" s="28">
        <f t="shared" si="11"/>
        <v>0</v>
      </c>
    </row>
    <row r="760" spans="1:10" ht="18" customHeight="1" x14ac:dyDescent="0.3">
      <c r="A760" s="18" t="s">
        <v>1569</v>
      </c>
      <c r="B760" s="5" t="s">
        <v>1570</v>
      </c>
      <c r="C760" s="18" t="s">
        <v>91</v>
      </c>
      <c r="D760" s="18" t="s">
        <v>78</v>
      </c>
      <c r="E760" s="6">
        <v>7500000</v>
      </c>
      <c r="F760" s="19">
        <v>0.64</v>
      </c>
      <c r="G760" s="18">
        <v>92</v>
      </c>
      <c r="H760" s="20">
        <v>10</v>
      </c>
      <c r="I760" s="24" t="str" cm="1">
        <f t="array" ref="I760">_xlfn.IFS(
   AND(F760&gt;=0,9, G760&gt;=85), "Excelente",
   AND(F760&gt;=0,8, G760&gt;=70), "Bueno",
   OR(F760&lt;0,6,  G760&lt;50),  "Alerta",
   TRUE,           "Revisar")</f>
        <v>Excelente</v>
      </c>
      <c r="J760" s="28">
        <f t="shared" si="11"/>
        <v>750000</v>
      </c>
    </row>
    <row r="761" spans="1:10" ht="18" customHeight="1" x14ac:dyDescent="0.3">
      <c r="A761" s="25" t="s">
        <v>1571</v>
      </c>
      <c r="B761" s="8" t="s">
        <v>1572</v>
      </c>
      <c r="C761" s="25" t="s">
        <v>59</v>
      </c>
      <c r="D761" s="25" t="s">
        <v>105</v>
      </c>
      <c r="E761" s="9">
        <v>10700000</v>
      </c>
      <c r="F761" s="26">
        <v>0.65</v>
      </c>
      <c r="G761" s="25">
        <v>38</v>
      </c>
      <c r="H761" s="27">
        <v>3.8</v>
      </c>
      <c r="I761" s="24" t="str" cm="1">
        <f t="array" ref="I761">_xlfn.IFS(
   AND(F761&gt;=0,9, G761&gt;=85), "Excelente",
   AND(F761&gt;=0,8, G761&gt;=70), "Bueno",
   OR(F761&lt;0,6,  G761&lt;50),  "Alerta",
   TRUE,           "Revisar")</f>
        <v>Alerta</v>
      </c>
      <c r="J761" s="28">
        <f t="shared" si="11"/>
        <v>0</v>
      </c>
    </row>
    <row r="762" spans="1:10" ht="18" customHeight="1" x14ac:dyDescent="0.3">
      <c r="A762" s="18" t="s">
        <v>1573</v>
      </c>
      <c r="B762" s="5" t="s">
        <v>1574</v>
      </c>
      <c r="C762" s="18" t="s">
        <v>74</v>
      </c>
      <c r="D762" s="18" t="s">
        <v>78</v>
      </c>
      <c r="E762" s="6">
        <v>4900000</v>
      </c>
      <c r="F762" s="19">
        <v>0.6</v>
      </c>
      <c r="G762" s="18">
        <v>48</v>
      </c>
      <c r="H762" s="20">
        <v>9.9</v>
      </c>
      <c r="I762" s="24" t="str" cm="1">
        <f t="array" ref="I762">_xlfn.IFS(
   AND(F762&gt;=0,9, G762&gt;=85), "Excelente",
   AND(F762&gt;=0,8, G762&gt;=70), "Bueno",
   OR(F762&lt;0,6,  G762&lt;50),  "Alerta",
   TRUE,           "Revisar")</f>
        <v>Alerta</v>
      </c>
      <c r="J762" s="28">
        <f t="shared" si="11"/>
        <v>0</v>
      </c>
    </row>
    <row r="763" spans="1:10" ht="18" customHeight="1" x14ac:dyDescent="0.3">
      <c r="A763" s="25" t="s">
        <v>1575</v>
      </c>
      <c r="B763" s="8" t="s">
        <v>1576</v>
      </c>
      <c r="C763" s="25" t="s">
        <v>91</v>
      </c>
      <c r="D763" s="25" t="s">
        <v>88</v>
      </c>
      <c r="E763" s="9">
        <v>8100000</v>
      </c>
      <c r="F763" s="26">
        <v>0.98</v>
      </c>
      <c r="G763" s="25">
        <v>99</v>
      </c>
      <c r="H763" s="27">
        <v>18.600000000000001</v>
      </c>
      <c r="I763" s="24" t="str" cm="1">
        <f t="array" ref="I763">_xlfn.IFS(
   AND(F763&gt;=0,9, G763&gt;=85), "Excelente",
   AND(F763&gt;=0,8, G763&gt;=70), "Bueno",
   OR(F763&lt;0,6,  G763&lt;50),  "Alerta",
   TRUE,           "Revisar")</f>
        <v>Excelente</v>
      </c>
      <c r="J763" s="28">
        <f t="shared" si="11"/>
        <v>810000</v>
      </c>
    </row>
    <row r="764" spans="1:10" ht="18" customHeight="1" x14ac:dyDescent="0.3">
      <c r="A764" s="18" t="s">
        <v>1577</v>
      </c>
      <c r="B764" s="5" t="s">
        <v>1578</v>
      </c>
      <c r="C764" s="18" t="s">
        <v>81</v>
      </c>
      <c r="D764" s="18" t="s">
        <v>68</v>
      </c>
      <c r="E764" s="6">
        <v>10200000</v>
      </c>
      <c r="F764" s="19">
        <v>0.64</v>
      </c>
      <c r="G764" s="18">
        <v>71</v>
      </c>
      <c r="H764" s="20">
        <v>9.6999999999999993</v>
      </c>
      <c r="I764" s="24" t="str" cm="1">
        <f t="array" ref="I764">_xlfn.IFS(
   AND(F764&gt;=0,9, G764&gt;=85), "Excelente",
   AND(F764&gt;=0,8, G764&gt;=70), "Bueno",
   OR(F764&lt;0,6,  G764&lt;50),  "Alerta",
   TRUE,           "Revisar")</f>
        <v>Bueno</v>
      </c>
      <c r="J764" s="28">
        <f t="shared" si="11"/>
        <v>1020000</v>
      </c>
    </row>
    <row r="765" spans="1:10" ht="18" customHeight="1" x14ac:dyDescent="0.3">
      <c r="A765" s="25" t="s">
        <v>1579</v>
      </c>
      <c r="B765" s="8" t="s">
        <v>1580</v>
      </c>
      <c r="C765" s="25" t="s">
        <v>77</v>
      </c>
      <c r="D765" s="25" t="s">
        <v>105</v>
      </c>
      <c r="E765" s="9">
        <v>6600000</v>
      </c>
      <c r="F765" s="26">
        <v>0.76</v>
      </c>
      <c r="G765" s="25">
        <v>69</v>
      </c>
      <c r="H765" s="27">
        <v>3.4</v>
      </c>
      <c r="I765" s="24" t="str" cm="1">
        <f t="array" ref="I765">_xlfn.IFS(
   AND(F765&gt;=0,9, G765&gt;=85), "Excelente",
   AND(F765&gt;=0,8, G765&gt;=70), "Bueno",
   OR(F765&lt;0,6,  G765&lt;50),  "Alerta",
   TRUE,           "Revisar")</f>
        <v>Alerta</v>
      </c>
      <c r="J765" s="28">
        <f t="shared" si="11"/>
        <v>0</v>
      </c>
    </row>
    <row r="766" spans="1:10" ht="18" customHeight="1" x14ac:dyDescent="0.3">
      <c r="A766" s="18" t="s">
        <v>1581</v>
      </c>
      <c r="B766" s="5" t="s">
        <v>1582</v>
      </c>
      <c r="C766" s="18" t="s">
        <v>91</v>
      </c>
      <c r="D766" s="18" t="s">
        <v>114</v>
      </c>
      <c r="E766" s="6">
        <v>7300000</v>
      </c>
      <c r="F766" s="19">
        <v>0.61</v>
      </c>
      <c r="G766" s="18">
        <v>51</v>
      </c>
      <c r="H766" s="20">
        <v>12.4</v>
      </c>
      <c r="I766" s="24" t="str" cm="1">
        <f t="array" ref="I766">_xlfn.IFS(
   AND(F766&gt;=0,9, G766&gt;=85), "Excelente",
   AND(F766&gt;=0,8, G766&gt;=70), "Bueno",
   OR(F766&lt;0,6,  G766&lt;50),  "Alerta",
   TRUE,           "Revisar")</f>
        <v>Alerta</v>
      </c>
      <c r="J766" s="28">
        <f t="shared" si="11"/>
        <v>0</v>
      </c>
    </row>
    <row r="767" spans="1:10" ht="18" customHeight="1" x14ac:dyDescent="0.3">
      <c r="A767" s="25" t="s">
        <v>1583</v>
      </c>
      <c r="B767" s="8" t="s">
        <v>1584</v>
      </c>
      <c r="C767" s="25" t="s">
        <v>59</v>
      </c>
      <c r="D767" s="25" t="s">
        <v>114</v>
      </c>
      <c r="E767" s="9">
        <v>5000000</v>
      </c>
      <c r="F767" s="26">
        <v>0.91</v>
      </c>
      <c r="G767" s="25">
        <v>49</v>
      </c>
      <c r="H767" s="27">
        <v>3.2</v>
      </c>
      <c r="I767" s="24" t="str" cm="1">
        <f t="array" ref="I767">_xlfn.IFS(
   AND(F767&gt;=0,9, G767&gt;=85), "Excelente",
   AND(F767&gt;=0,8, G767&gt;=70), "Bueno",
   OR(F767&lt;0,6,  G767&lt;50),  "Alerta",
   TRUE,           "Revisar")</f>
        <v>Alerta</v>
      </c>
      <c r="J767" s="28">
        <f t="shared" si="11"/>
        <v>0</v>
      </c>
    </row>
    <row r="768" spans="1:10" ht="18" customHeight="1" x14ac:dyDescent="0.3">
      <c r="A768" s="18" t="s">
        <v>1585</v>
      </c>
      <c r="B768" s="5" t="s">
        <v>1586</v>
      </c>
      <c r="C768" s="18" t="s">
        <v>71</v>
      </c>
      <c r="D768" s="18" t="s">
        <v>105</v>
      </c>
      <c r="E768" s="6">
        <v>6100000</v>
      </c>
      <c r="F768" s="19">
        <v>0.65</v>
      </c>
      <c r="G768" s="18">
        <v>56</v>
      </c>
      <c r="H768" s="20">
        <v>11.2</v>
      </c>
      <c r="I768" s="24" t="str" cm="1">
        <f t="array" ref="I768">_xlfn.IFS(
   AND(F768&gt;=0,9, G768&gt;=85), "Excelente",
   AND(F768&gt;=0,8, G768&gt;=70), "Bueno",
   OR(F768&lt;0,6,  G768&lt;50),  "Alerta",
   TRUE,           "Revisar")</f>
        <v>Alerta</v>
      </c>
      <c r="J768" s="28">
        <f t="shared" si="11"/>
        <v>0</v>
      </c>
    </row>
    <row r="769" spans="1:10" ht="18" customHeight="1" x14ac:dyDescent="0.3">
      <c r="A769" s="25" t="s">
        <v>1587</v>
      </c>
      <c r="B769" s="8" t="s">
        <v>1588</v>
      </c>
      <c r="C769" s="25" t="s">
        <v>91</v>
      </c>
      <c r="D769" s="25" t="s">
        <v>68</v>
      </c>
      <c r="E769" s="9">
        <v>9100000</v>
      </c>
      <c r="F769" s="26">
        <v>0.87</v>
      </c>
      <c r="G769" s="25">
        <v>88</v>
      </c>
      <c r="H769" s="27">
        <v>18.600000000000001</v>
      </c>
      <c r="I769" s="24" t="str" cm="1">
        <f t="array" ref="I769">_xlfn.IFS(
   AND(F769&gt;=0,9, G769&gt;=85), "Excelente",
   AND(F769&gt;=0,8, G769&gt;=70), "Bueno",
   OR(F769&lt;0,6,  G769&lt;50),  "Alerta",
   TRUE,           "Revisar")</f>
        <v>Excelente</v>
      </c>
      <c r="J769" s="28">
        <f t="shared" si="11"/>
        <v>910000</v>
      </c>
    </row>
    <row r="770" spans="1:10" ht="18" customHeight="1" x14ac:dyDescent="0.3">
      <c r="A770" s="18" t="s">
        <v>1589</v>
      </c>
      <c r="B770" s="5" t="s">
        <v>1590</v>
      </c>
      <c r="C770" s="18" t="s">
        <v>81</v>
      </c>
      <c r="D770" s="18" t="s">
        <v>88</v>
      </c>
      <c r="E770" s="6">
        <v>8800000</v>
      </c>
      <c r="F770" s="19">
        <v>0.94</v>
      </c>
      <c r="G770" s="18">
        <v>48</v>
      </c>
      <c r="H770" s="20">
        <v>16</v>
      </c>
      <c r="I770" s="24" t="str" cm="1">
        <f t="array" ref="I770">_xlfn.IFS(
   AND(F770&gt;=0,9, G770&gt;=85), "Excelente",
   AND(F770&gt;=0,8, G770&gt;=70), "Bueno",
   OR(F770&lt;0,6,  G770&lt;50),  "Alerta",
   TRUE,           "Revisar")</f>
        <v>Alerta</v>
      </c>
      <c r="J770" s="28">
        <f t="shared" si="11"/>
        <v>0</v>
      </c>
    </row>
    <row r="771" spans="1:10" ht="18" customHeight="1" x14ac:dyDescent="0.3">
      <c r="A771" s="25" t="s">
        <v>1591</v>
      </c>
      <c r="B771" s="8" t="s">
        <v>1592</v>
      </c>
      <c r="C771" s="25" t="s">
        <v>91</v>
      </c>
      <c r="D771" s="25" t="s">
        <v>114</v>
      </c>
      <c r="E771" s="9">
        <v>11400000</v>
      </c>
      <c r="F771" s="26">
        <v>0.75</v>
      </c>
      <c r="G771" s="25">
        <v>69</v>
      </c>
      <c r="H771" s="27">
        <v>0.5</v>
      </c>
      <c r="I771" s="24" t="str" cm="1">
        <f t="array" ref="I771">_xlfn.IFS(
   AND(F771&gt;=0,9, G771&gt;=85), "Excelente",
   AND(F771&gt;=0,8, G771&gt;=70), "Bueno",
   OR(F771&lt;0,6,  G771&lt;50),  "Alerta",
   TRUE,           "Revisar")</f>
        <v>Alerta</v>
      </c>
      <c r="J771" s="28">
        <f t="shared" si="11"/>
        <v>0</v>
      </c>
    </row>
    <row r="772" spans="1:10" ht="18" customHeight="1" x14ac:dyDescent="0.3">
      <c r="A772" s="18" t="s">
        <v>1593</v>
      </c>
      <c r="B772" s="5" t="s">
        <v>1594</v>
      </c>
      <c r="C772" s="18" t="s">
        <v>67</v>
      </c>
      <c r="D772" s="18" t="s">
        <v>105</v>
      </c>
      <c r="E772" s="6">
        <v>7300000</v>
      </c>
      <c r="F772" s="19">
        <v>0.5</v>
      </c>
      <c r="G772" s="18">
        <v>37</v>
      </c>
      <c r="H772" s="20">
        <v>12.2</v>
      </c>
      <c r="I772" s="24" t="str" cm="1">
        <f t="array" ref="I772">_xlfn.IFS(
   AND(F772&gt;=0,9, G772&gt;=85), "Excelente",
   AND(F772&gt;=0,8, G772&gt;=70), "Bueno",
   OR(F772&lt;0,6,  G772&lt;50),  "Alerta",
   TRUE,           "Revisar")</f>
        <v>Alerta</v>
      </c>
      <c r="J772" s="28">
        <f t="shared" si="11"/>
        <v>0</v>
      </c>
    </row>
    <row r="773" spans="1:10" ht="18" customHeight="1" x14ac:dyDescent="0.3">
      <c r="A773" s="25" t="s">
        <v>1595</v>
      </c>
      <c r="B773" s="8" t="s">
        <v>1596</v>
      </c>
      <c r="C773" s="25" t="s">
        <v>91</v>
      </c>
      <c r="D773" s="25" t="s">
        <v>92</v>
      </c>
      <c r="E773" s="9">
        <v>7800000</v>
      </c>
      <c r="F773" s="26">
        <v>0.53</v>
      </c>
      <c r="G773" s="25">
        <v>84</v>
      </c>
      <c r="H773" s="27">
        <v>7.4</v>
      </c>
      <c r="I773" s="24" t="str" cm="1">
        <f t="array" ref="I773">_xlfn.IFS(
   AND(F773&gt;=0,9, G773&gt;=85), "Excelente",
   AND(F773&gt;=0,8, G773&gt;=70), "Bueno",
   OR(F773&lt;0,6,  G773&lt;50),  "Alerta",
   TRUE,           "Revisar")</f>
        <v>Bueno</v>
      </c>
      <c r="J773" s="28">
        <f t="shared" si="11"/>
        <v>780000</v>
      </c>
    </row>
    <row r="774" spans="1:10" ht="18" customHeight="1" x14ac:dyDescent="0.3">
      <c r="A774" s="18" t="s">
        <v>1597</v>
      </c>
      <c r="B774" s="5" t="s">
        <v>1598</v>
      </c>
      <c r="C774" s="18" t="s">
        <v>59</v>
      </c>
      <c r="D774" s="18" t="s">
        <v>92</v>
      </c>
      <c r="E774" s="6">
        <v>7200000</v>
      </c>
      <c r="F774" s="19">
        <v>0.62</v>
      </c>
      <c r="G774" s="18">
        <v>87</v>
      </c>
      <c r="H774" s="20">
        <v>17.5</v>
      </c>
      <c r="I774" s="24" t="str" cm="1">
        <f t="array" ref="I774">_xlfn.IFS(
   AND(F774&gt;=0,9, G774&gt;=85), "Excelente",
   AND(F774&gt;=0,8, G774&gt;=70), "Bueno",
   OR(F774&lt;0,6,  G774&lt;50),  "Alerta",
   TRUE,           "Revisar")</f>
        <v>Excelente</v>
      </c>
      <c r="J774" s="28">
        <f t="shared" si="11"/>
        <v>720000</v>
      </c>
    </row>
    <row r="775" spans="1:10" ht="18" customHeight="1" x14ac:dyDescent="0.3">
      <c r="A775" s="25" t="s">
        <v>1599</v>
      </c>
      <c r="B775" s="8" t="s">
        <v>1600</v>
      </c>
      <c r="C775" s="25" t="s">
        <v>77</v>
      </c>
      <c r="D775" s="25" t="s">
        <v>88</v>
      </c>
      <c r="E775" s="9">
        <v>4800000</v>
      </c>
      <c r="F775" s="26">
        <v>0.89</v>
      </c>
      <c r="G775" s="25">
        <v>84</v>
      </c>
      <c r="H775" s="27">
        <v>14.6</v>
      </c>
      <c r="I775" s="24" t="str" cm="1">
        <f t="array" ref="I775">_xlfn.IFS(
   AND(F775&gt;=0,9, G775&gt;=85), "Excelente",
   AND(F775&gt;=0,8, G775&gt;=70), "Bueno",
   OR(F775&lt;0,6,  G775&lt;50),  "Alerta",
   TRUE,           "Revisar")</f>
        <v>Bueno</v>
      </c>
      <c r="J775" s="28">
        <f t="shared" si="11"/>
        <v>480000</v>
      </c>
    </row>
    <row r="776" spans="1:10" ht="18" customHeight="1" x14ac:dyDescent="0.3">
      <c r="A776" s="18" t="s">
        <v>1601</v>
      </c>
      <c r="B776" s="5" t="s">
        <v>1602</v>
      </c>
      <c r="C776" s="18" t="s">
        <v>74</v>
      </c>
      <c r="D776" s="18" t="s">
        <v>114</v>
      </c>
      <c r="E776" s="6">
        <v>5400000</v>
      </c>
      <c r="F776" s="19">
        <v>0.62</v>
      </c>
      <c r="G776" s="18">
        <v>97</v>
      </c>
      <c r="H776" s="20">
        <v>19.7</v>
      </c>
      <c r="I776" s="24" t="str" cm="1">
        <f t="array" ref="I776">_xlfn.IFS(
   AND(F776&gt;=0,9, G776&gt;=85), "Excelente",
   AND(F776&gt;=0,8, G776&gt;=70), "Bueno",
   OR(F776&lt;0,6,  G776&lt;50),  "Alerta",
   TRUE,           "Revisar")</f>
        <v>Excelente</v>
      </c>
      <c r="J776" s="28">
        <f t="shared" si="11"/>
        <v>540000</v>
      </c>
    </row>
    <row r="777" spans="1:10" ht="18" customHeight="1" x14ac:dyDescent="0.3">
      <c r="A777" s="25" t="s">
        <v>1603</v>
      </c>
      <c r="B777" s="8" t="s">
        <v>1604</v>
      </c>
      <c r="C777" s="25" t="s">
        <v>63</v>
      </c>
      <c r="D777" s="25" t="s">
        <v>78</v>
      </c>
      <c r="E777" s="9">
        <v>2800000</v>
      </c>
      <c r="F777" s="26">
        <v>0.68</v>
      </c>
      <c r="G777" s="25">
        <v>64</v>
      </c>
      <c r="H777" s="27">
        <v>8.3000000000000007</v>
      </c>
      <c r="I777" s="24" t="str" cm="1">
        <f t="array" ref="I777">_xlfn.IFS(
   AND(F777&gt;=0,9, G777&gt;=85), "Excelente",
   AND(F777&gt;=0,8, G777&gt;=70), "Bueno",
   OR(F777&lt;0,6,  G777&lt;50),  "Alerta",
   TRUE,           "Revisar")</f>
        <v>Alerta</v>
      </c>
      <c r="J777" s="28">
        <f t="shared" si="11"/>
        <v>0</v>
      </c>
    </row>
    <row r="778" spans="1:10" ht="18" customHeight="1" x14ac:dyDescent="0.3">
      <c r="A778" s="18" t="s">
        <v>1605</v>
      </c>
      <c r="B778" s="5" t="s">
        <v>1606</v>
      </c>
      <c r="C778" s="18" t="s">
        <v>91</v>
      </c>
      <c r="D778" s="18" t="s">
        <v>88</v>
      </c>
      <c r="E778" s="6">
        <v>10200000</v>
      </c>
      <c r="F778" s="19">
        <v>0.62</v>
      </c>
      <c r="G778" s="18">
        <v>89</v>
      </c>
      <c r="H778" s="20">
        <v>4.5</v>
      </c>
      <c r="I778" s="24" t="str" cm="1">
        <f t="array" ref="I778">_xlfn.IFS(
   AND(F778&gt;=0,9, G778&gt;=85), "Excelente",
   AND(F778&gt;=0,8, G778&gt;=70), "Bueno",
   OR(F778&lt;0,6,  G778&lt;50),  "Alerta",
   TRUE,           "Revisar")</f>
        <v>Excelente</v>
      </c>
      <c r="J778" s="28">
        <f t="shared" si="11"/>
        <v>1020000</v>
      </c>
    </row>
    <row r="779" spans="1:10" ht="18" customHeight="1" x14ac:dyDescent="0.3">
      <c r="A779" s="25" t="s">
        <v>1607</v>
      </c>
      <c r="B779" s="8" t="s">
        <v>1608</v>
      </c>
      <c r="C779" s="25" t="s">
        <v>59</v>
      </c>
      <c r="D779" s="25" t="s">
        <v>88</v>
      </c>
      <c r="E779" s="9">
        <v>10900000</v>
      </c>
      <c r="F779" s="26">
        <v>0.91</v>
      </c>
      <c r="G779" s="25">
        <v>90</v>
      </c>
      <c r="H779" s="27">
        <v>2.5</v>
      </c>
      <c r="I779" s="24" t="str" cm="1">
        <f t="array" ref="I779">_xlfn.IFS(
   AND(F779&gt;=0,9, G779&gt;=85), "Excelente",
   AND(F779&gt;=0,8, G779&gt;=70), "Bueno",
   OR(F779&lt;0,6,  G779&lt;50),  "Alerta",
   TRUE,           "Revisar")</f>
        <v>Excelente</v>
      </c>
      <c r="J779" s="28">
        <f t="shared" si="11"/>
        <v>1090000</v>
      </c>
    </row>
    <row r="780" spans="1:10" ht="18" customHeight="1" x14ac:dyDescent="0.3">
      <c r="A780" s="18" t="s">
        <v>1609</v>
      </c>
      <c r="B780" s="5" t="s">
        <v>1610</v>
      </c>
      <c r="C780" s="18" t="s">
        <v>74</v>
      </c>
      <c r="D780" s="18" t="s">
        <v>88</v>
      </c>
      <c r="E780" s="6">
        <v>9100000</v>
      </c>
      <c r="F780" s="19">
        <v>1</v>
      </c>
      <c r="G780" s="18">
        <v>38</v>
      </c>
      <c r="H780" s="20">
        <v>12</v>
      </c>
      <c r="I780" s="24" t="str" cm="1">
        <f t="array" ref="I780">_xlfn.IFS(
   AND(F780&gt;=0,9, G780&gt;=85), "Excelente",
   AND(F780&gt;=0,8, G780&gt;=70), "Bueno",
   OR(F780&lt;0,6,  G780&lt;50),  "Alerta",
   TRUE,           "Revisar")</f>
        <v>Alerta</v>
      </c>
      <c r="J780" s="28">
        <f t="shared" ref="J780:J843" si="12">IF(OR(I780="Excelente",I780="Bueno"),E780*0.1,0)</f>
        <v>0</v>
      </c>
    </row>
    <row r="781" spans="1:10" ht="18" customHeight="1" x14ac:dyDescent="0.3">
      <c r="A781" s="25" t="s">
        <v>1611</v>
      </c>
      <c r="B781" s="8" t="s">
        <v>1612</v>
      </c>
      <c r="C781" s="25" t="s">
        <v>59</v>
      </c>
      <c r="D781" s="25" t="s">
        <v>105</v>
      </c>
      <c r="E781" s="9">
        <v>11600000</v>
      </c>
      <c r="F781" s="26">
        <v>0.9</v>
      </c>
      <c r="G781" s="25">
        <v>77</v>
      </c>
      <c r="H781" s="27">
        <v>10.3</v>
      </c>
      <c r="I781" s="24" t="str" cm="1">
        <f t="array" ref="I781">_xlfn.IFS(
   AND(F781&gt;=0,9, G781&gt;=85), "Excelente",
   AND(F781&gt;=0,8, G781&gt;=70), "Bueno",
   OR(F781&lt;0,6,  G781&lt;50),  "Alerta",
   TRUE,           "Revisar")</f>
        <v>Bueno</v>
      </c>
      <c r="J781" s="28">
        <f t="shared" si="12"/>
        <v>1160000</v>
      </c>
    </row>
    <row r="782" spans="1:10" ht="18" customHeight="1" x14ac:dyDescent="0.3">
      <c r="A782" s="18" t="s">
        <v>1613</v>
      </c>
      <c r="B782" s="5" t="s">
        <v>1614</v>
      </c>
      <c r="C782" s="18" t="s">
        <v>71</v>
      </c>
      <c r="D782" s="18" t="s">
        <v>92</v>
      </c>
      <c r="E782" s="6">
        <v>8700000</v>
      </c>
      <c r="F782" s="19">
        <v>0.93</v>
      </c>
      <c r="G782" s="18">
        <v>47</v>
      </c>
      <c r="H782" s="20">
        <v>7.1</v>
      </c>
      <c r="I782" s="24" t="str" cm="1">
        <f t="array" ref="I782">_xlfn.IFS(
   AND(F782&gt;=0,9, G782&gt;=85), "Excelente",
   AND(F782&gt;=0,8, G782&gt;=70), "Bueno",
   OR(F782&lt;0,6,  G782&lt;50),  "Alerta",
   TRUE,           "Revisar")</f>
        <v>Alerta</v>
      </c>
      <c r="J782" s="28">
        <f t="shared" si="12"/>
        <v>0</v>
      </c>
    </row>
    <row r="783" spans="1:10" ht="18" customHeight="1" x14ac:dyDescent="0.3">
      <c r="A783" s="25" t="s">
        <v>1615</v>
      </c>
      <c r="B783" s="8" t="s">
        <v>1616</v>
      </c>
      <c r="C783" s="25" t="s">
        <v>67</v>
      </c>
      <c r="D783" s="25" t="s">
        <v>114</v>
      </c>
      <c r="E783" s="9">
        <v>4000000</v>
      </c>
      <c r="F783" s="26">
        <v>0.78</v>
      </c>
      <c r="G783" s="25">
        <v>51</v>
      </c>
      <c r="H783" s="27">
        <v>10.9</v>
      </c>
      <c r="I783" s="24" t="str" cm="1">
        <f t="array" ref="I783">_xlfn.IFS(
   AND(F783&gt;=0,9, G783&gt;=85), "Excelente",
   AND(F783&gt;=0,8, G783&gt;=70), "Bueno",
   OR(F783&lt;0,6,  G783&lt;50),  "Alerta",
   TRUE,           "Revisar")</f>
        <v>Alerta</v>
      </c>
      <c r="J783" s="28">
        <f t="shared" si="12"/>
        <v>0</v>
      </c>
    </row>
    <row r="784" spans="1:10" ht="18" customHeight="1" x14ac:dyDescent="0.3">
      <c r="A784" s="18" t="s">
        <v>1617</v>
      </c>
      <c r="B784" s="5" t="s">
        <v>1618</v>
      </c>
      <c r="C784" s="18" t="s">
        <v>59</v>
      </c>
      <c r="D784" s="18" t="s">
        <v>88</v>
      </c>
      <c r="E784" s="6">
        <v>11500000</v>
      </c>
      <c r="F784" s="19">
        <v>0.83</v>
      </c>
      <c r="G784" s="18">
        <v>76</v>
      </c>
      <c r="H784" s="20">
        <v>1.9</v>
      </c>
      <c r="I784" s="24" t="str" cm="1">
        <f t="array" ref="I784">_xlfn.IFS(
   AND(F784&gt;=0,9, G784&gt;=85), "Excelente",
   AND(F784&gt;=0,8, G784&gt;=70), "Bueno",
   OR(F784&lt;0,6,  G784&lt;50),  "Alerta",
   TRUE,           "Revisar")</f>
        <v>Bueno</v>
      </c>
      <c r="J784" s="28">
        <f t="shared" si="12"/>
        <v>1150000</v>
      </c>
    </row>
    <row r="785" spans="1:10" ht="18" customHeight="1" x14ac:dyDescent="0.3">
      <c r="A785" s="25" t="s">
        <v>1619</v>
      </c>
      <c r="B785" s="8" t="s">
        <v>1620</v>
      </c>
      <c r="C785" s="25" t="s">
        <v>71</v>
      </c>
      <c r="D785" s="25" t="s">
        <v>64</v>
      </c>
      <c r="E785" s="9">
        <v>4500000</v>
      </c>
      <c r="F785" s="26">
        <v>0.73</v>
      </c>
      <c r="G785" s="25">
        <v>77</v>
      </c>
      <c r="H785" s="27">
        <v>15.6</v>
      </c>
      <c r="I785" s="24" t="str" cm="1">
        <f t="array" ref="I785">_xlfn.IFS(
   AND(F785&gt;=0,9, G785&gt;=85), "Excelente",
   AND(F785&gt;=0,8, G785&gt;=70), "Bueno",
   OR(F785&lt;0,6,  G785&lt;50),  "Alerta",
   TRUE,           "Revisar")</f>
        <v>Bueno</v>
      </c>
      <c r="J785" s="28">
        <f t="shared" si="12"/>
        <v>450000</v>
      </c>
    </row>
    <row r="786" spans="1:10" ht="18" customHeight="1" x14ac:dyDescent="0.3">
      <c r="A786" s="18" t="s">
        <v>1621</v>
      </c>
      <c r="B786" s="5" t="s">
        <v>1622</v>
      </c>
      <c r="C786" s="18" t="s">
        <v>67</v>
      </c>
      <c r="D786" s="18" t="s">
        <v>60</v>
      </c>
      <c r="E786" s="6">
        <v>9900000</v>
      </c>
      <c r="F786" s="19">
        <v>0.79</v>
      </c>
      <c r="G786" s="18">
        <v>97</v>
      </c>
      <c r="H786" s="20">
        <v>16.899999999999999</v>
      </c>
      <c r="I786" s="24" t="str" cm="1">
        <f t="array" ref="I786">_xlfn.IFS(
   AND(F786&gt;=0,9, G786&gt;=85), "Excelente",
   AND(F786&gt;=0,8, G786&gt;=70), "Bueno",
   OR(F786&lt;0,6,  G786&lt;50),  "Alerta",
   TRUE,           "Revisar")</f>
        <v>Excelente</v>
      </c>
      <c r="J786" s="28">
        <f t="shared" si="12"/>
        <v>990000</v>
      </c>
    </row>
    <row r="787" spans="1:10" ht="18" customHeight="1" x14ac:dyDescent="0.3">
      <c r="A787" s="25" t="s">
        <v>1623</v>
      </c>
      <c r="B787" s="8" t="s">
        <v>1624</v>
      </c>
      <c r="C787" s="25" t="s">
        <v>91</v>
      </c>
      <c r="D787" s="25" t="s">
        <v>105</v>
      </c>
      <c r="E787" s="9">
        <v>7200000</v>
      </c>
      <c r="F787" s="26">
        <v>0.62</v>
      </c>
      <c r="G787" s="25">
        <v>76</v>
      </c>
      <c r="H787" s="27">
        <v>2.8</v>
      </c>
      <c r="I787" s="24" t="str" cm="1">
        <f t="array" ref="I787">_xlfn.IFS(
   AND(F787&gt;=0,9, G787&gt;=85), "Excelente",
   AND(F787&gt;=0,8, G787&gt;=70), "Bueno",
   OR(F787&lt;0,6,  G787&lt;50),  "Alerta",
   TRUE,           "Revisar")</f>
        <v>Bueno</v>
      </c>
      <c r="J787" s="28">
        <f t="shared" si="12"/>
        <v>720000</v>
      </c>
    </row>
    <row r="788" spans="1:10" ht="18" customHeight="1" x14ac:dyDescent="0.3">
      <c r="A788" s="18" t="s">
        <v>1625</v>
      </c>
      <c r="B788" s="5" t="s">
        <v>1626</v>
      </c>
      <c r="C788" s="18" t="s">
        <v>74</v>
      </c>
      <c r="D788" s="18" t="s">
        <v>60</v>
      </c>
      <c r="E788" s="6">
        <v>4400000</v>
      </c>
      <c r="F788" s="19">
        <v>0.92</v>
      </c>
      <c r="G788" s="18">
        <v>48</v>
      </c>
      <c r="H788" s="20">
        <v>13.8</v>
      </c>
      <c r="I788" s="24" t="str" cm="1">
        <f t="array" ref="I788">_xlfn.IFS(
   AND(F788&gt;=0,9, G788&gt;=85), "Excelente",
   AND(F788&gt;=0,8, G788&gt;=70), "Bueno",
   OR(F788&lt;0,6,  G788&lt;50),  "Alerta",
   TRUE,           "Revisar")</f>
        <v>Alerta</v>
      </c>
      <c r="J788" s="28">
        <f t="shared" si="12"/>
        <v>0</v>
      </c>
    </row>
    <row r="789" spans="1:10" ht="18" customHeight="1" x14ac:dyDescent="0.3">
      <c r="A789" s="25" t="s">
        <v>1627</v>
      </c>
      <c r="B789" s="8" t="s">
        <v>1628</v>
      </c>
      <c r="C789" s="25" t="s">
        <v>67</v>
      </c>
      <c r="D789" s="25" t="s">
        <v>114</v>
      </c>
      <c r="E789" s="9">
        <v>3800000</v>
      </c>
      <c r="F789" s="26">
        <v>0.68</v>
      </c>
      <c r="G789" s="25">
        <v>44</v>
      </c>
      <c r="H789" s="27">
        <v>1.6</v>
      </c>
      <c r="I789" s="24" t="str" cm="1">
        <f t="array" ref="I789">_xlfn.IFS(
   AND(F789&gt;=0,9, G789&gt;=85), "Excelente",
   AND(F789&gt;=0,8, G789&gt;=70), "Bueno",
   OR(F789&lt;0,6,  G789&lt;50),  "Alerta",
   TRUE,           "Revisar")</f>
        <v>Alerta</v>
      </c>
      <c r="J789" s="28">
        <f t="shared" si="12"/>
        <v>0</v>
      </c>
    </row>
    <row r="790" spans="1:10" ht="18" customHeight="1" x14ac:dyDescent="0.3">
      <c r="A790" s="18" t="s">
        <v>1629</v>
      </c>
      <c r="B790" s="5" t="s">
        <v>1630</v>
      </c>
      <c r="C790" s="18" t="s">
        <v>63</v>
      </c>
      <c r="D790" s="18" t="s">
        <v>64</v>
      </c>
      <c r="E790" s="6">
        <v>5300000</v>
      </c>
      <c r="F790" s="19">
        <v>0.51</v>
      </c>
      <c r="G790" s="18">
        <v>95</v>
      </c>
      <c r="H790" s="20">
        <v>11.9</v>
      </c>
      <c r="I790" s="24" t="str" cm="1">
        <f t="array" ref="I790">_xlfn.IFS(
   AND(F790&gt;=0,9, G790&gt;=85), "Excelente",
   AND(F790&gt;=0,8, G790&gt;=70), "Bueno",
   OR(F790&lt;0,6,  G790&lt;50),  "Alerta",
   TRUE,           "Revisar")</f>
        <v>Excelente</v>
      </c>
      <c r="J790" s="28">
        <f t="shared" si="12"/>
        <v>530000</v>
      </c>
    </row>
    <row r="791" spans="1:10" ht="18" customHeight="1" x14ac:dyDescent="0.3">
      <c r="A791" s="25" t="s">
        <v>1631</v>
      </c>
      <c r="B791" s="8" t="s">
        <v>1632</v>
      </c>
      <c r="C791" s="25" t="s">
        <v>91</v>
      </c>
      <c r="D791" s="25" t="s">
        <v>78</v>
      </c>
      <c r="E791" s="9">
        <v>4300000</v>
      </c>
      <c r="F791" s="26">
        <v>0.96</v>
      </c>
      <c r="G791" s="25">
        <v>56</v>
      </c>
      <c r="H791" s="27">
        <v>11.8</v>
      </c>
      <c r="I791" s="24" t="str" cm="1">
        <f t="array" ref="I791">_xlfn.IFS(
   AND(F791&gt;=0,9, G791&gt;=85), "Excelente",
   AND(F791&gt;=0,8, G791&gt;=70), "Bueno",
   OR(F791&lt;0,6,  G791&lt;50),  "Alerta",
   TRUE,           "Revisar")</f>
        <v>Alerta</v>
      </c>
      <c r="J791" s="28">
        <f t="shared" si="12"/>
        <v>0</v>
      </c>
    </row>
    <row r="792" spans="1:10" ht="18" customHeight="1" x14ac:dyDescent="0.3">
      <c r="A792" s="18" t="s">
        <v>1633</v>
      </c>
      <c r="B792" s="5" t="s">
        <v>1634</v>
      </c>
      <c r="C792" s="18" t="s">
        <v>74</v>
      </c>
      <c r="D792" s="18" t="s">
        <v>114</v>
      </c>
      <c r="E792" s="6">
        <v>6300000</v>
      </c>
      <c r="F792" s="19">
        <v>0.97</v>
      </c>
      <c r="G792" s="18">
        <v>74</v>
      </c>
      <c r="H792" s="20">
        <v>7</v>
      </c>
      <c r="I792" s="24" t="str" cm="1">
        <f t="array" ref="I792">_xlfn.IFS(
   AND(F792&gt;=0,9, G792&gt;=85), "Excelente",
   AND(F792&gt;=0,8, G792&gt;=70), "Bueno",
   OR(F792&lt;0,6,  G792&lt;50),  "Alerta",
   TRUE,           "Revisar")</f>
        <v>Bueno</v>
      </c>
      <c r="J792" s="28">
        <f t="shared" si="12"/>
        <v>630000</v>
      </c>
    </row>
    <row r="793" spans="1:10" ht="18" customHeight="1" x14ac:dyDescent="0.3">
      <c r="A793" s="25" t="s">
        <v>1635</v>
      </c>
      <c r="B793" s="8" t="s">
        <v>1636</v>
      </c>
      <c r="C793" s="25" t="s">
        <v>74</v>
      </c>
      <c r="D793" s="25" t="s">
        <v>60</v>
      </c>
      <c r="E793" s="9">
        <v>9200000</v>
      </c>
      <c r="F793" s="26">
        <v>0.92</v>
      </c>
      <c r="G793" s="25">
        <v>90</v>
      </c>
      <c r="H793" s="27">
        <v>7.3</v>
      </c>
      <c r="I793" s="24" t="str" cm="1">
        <f t="array" ref="I793">_xlfn.IFS(
   AND(F793&gt;=0,9, G793&gt;=85), "Excelente",
   AND(F793&gt;=0,8, G793&gt;=70), "Bueno",
   OR(F793&lt;0,6,  G793&lt;50),  "Alerta",
   TRUE,           "Revisar")</f>
        <v>Excelente</v>
      </c>
      <c r="J793" s="28">
        <f t="shared" si="12"/>
        <v>920000</v>
      </c>
    </row>
    <row r="794" spans="1:10" ht="18" customHeight="1" x14ac:dyDescent="0.3">
      <c r="A794" s="18" t="s">
        <v>1637</v>
      </c>
      <c r="B794" s="5" t="s">
        <v>1638</v>
      </c>
      <c r="C794" s="18" t="s">
        <v>77</v>
      </c>
      <c r="D794" s="18" t="s">
        <v>78</v>
      </c>
      <c r="E794" s="6">
        <v>5100000</v>
      </c>
      <c r="F794" s="19">
        <v>0.91</v>
      </c>
      <c r="G794" s="18">
        <v>78</v>
      </c>
      <c r="H794" s="20">
        <v>8.5</v>
      </c>
      <c r="I794" s="24" t="str" cm="1">
        <f t="array" ref="I794">_xlfn.IFS(
   AND(F794&gt;=0,9, G794&gt;=85), "Excelente",
   AND(F794&gt;=0,8, G794&gt;=70), "Bueno",
   OR(F794&lt;0,6,  G794&lt;50),  "Alerta",
   TRUE,           "Revisar")</f>
        <v>Bueno</v>
      </c>
      <c r="J794" s="28">
        <f t="shared" si="12"/>
        <v>510000</v>
      </c>
    </row>
    <row r="795" spans="1:10" ht="18" customHeight="1" x14ac:dyDescent="0.3">
      <c r="A795" s="25" t="s">
        <v>1639</v>
      </c>
      <c r="B795" s="8" t="s">
        <v>1640</v>
      </c>
      <c r="C795" s="25" t="s">
        <v>63</v>
      </c>
      <c r="D795" s="25" t="s">
        <v>78</v>
      </c>
      <c r="E795" s="9">
        <v>6800000</v>
      </c>
      <c r="F795" s="26">
        <v>0.52</v>
      </c>
      <c r="G795" s="25">
        <v>44</v>
      </c>
      <c r="H795" s="27">
        <v>10.4</v>
      </c>
      <c r="I795" s="24" t="str" cm="1">
        <f t="array" ref="I795">_xlfn.IFS(
   AND(F795&gt;=0,9, G795&gt;=85), "Excelente",
   AND(F795&gt;=0,8, G795&gt;=70), "Bueno",
   OR(F795&lt;0,6,  G795&lt;50),  "Alerta",
   TRUE,           "Revisar")</f>
        <v>Alerta</v>
      </c>
      <c r="J795" s="28">
        <f t="shared" si="12"/>
        <v>0</v>
      </c>
    </row>
    <row r="796" spans="1:10" ht="18" customHeight="1" x14ac:dyDescent="0.3">
      <c r="A796" s="18" t="s">
        <v>1641</v>
      </c>
      <c r="B796" s="5" t="s">
        <v>1642</v>
      </c>
      <c r="C796" s="18" t="s">
        <v>91</v>
      </c>
      <c r="D796" s="18" t="s">
        <v>78</v>
      </c>
      <c r="E796" s="6">
        <v>6900000</v>
      </c>
      <c r="F796" s="19">
        <v>0.72</v>
      </c>
      <c r="G796" s="18">
        <v>79</v>
      </c>
      <c r="H796" s="20">
        <v>5.7</v>
      </c>
      <c r="I796" s="24" t="str" cm="1">
        <f t="array" ref="I796">_xlfn.IFS(
   AND(F796&gt;=0,9, G796&gt;=85), "Excelente",
   AND(F796&gt;=0,8, G796&gt;=70), "Bueno",
   OR(F796&lt;0,6,  G796&lt;50),  "Alerta",
   TRUE,           "Revisar")</f>
        <v>Bueno</v>
      </c>
      <c r="J796" s="28">
        <f t="shared" si="12"/>
        <v>690000</v>
      </c>
    </row>
    <row r="797" spans="1:10" ht="18" customHeight="1" x14ac:dyDescent="0.3">
      <c r="A797" s="25" t="s">
        <v>1643</v>
      </c>
      <c r="B797" s="8" t="s">
        <v>1644</v>
      </c>
      <c r="C797" s="25" t="s">
        <v>77</v>
      </c>
      <c r="D797" s="25" t="s">
        <v>60</v>
      </c>
      <c r="E797" s="9">
        <v>9800000</v>
      </c>
      <c r="F797" s="26">
        <v>0.67</v>
      </c>
      <c r="G797" s="25">
        <v>84</v>
      </c>
      <c r="H797" s="27">
        <v>3.8</v>
      </c>
      <c r="I797" s="24" t="str" cm="1">
        <f t="array" ref="I797">_xlfn.IFS(
   AND(F797&gt;=0,9, G797&gt;=85), "Excelente",
   AND(F797&gt;=0,8, G797&gt;=70), "Bueno",
   OR(F797&lt;0,6,  G797&lt;50),  "Alerta",
   TRUE,           "Revisar")</f>
        <v>Bueno</v>
      </c>
      <c r="J797" s="28">
        <f t="shared" si="12"/>
        <v>980000</v>
      </c>
    </row>
    <row r="798" spans="1:10" ht="18" customHeight="1" x14ac:dyDescent="0.3">
      <c r="A798" s="18" t="s">
        <v>1645</v>
      </c>
      <c r="B798" s="5" t="s">
        <v>1646</v>
      </c>
      <c r="C798" s="18" t="s">
        <v>77</v>
      </c>
      <c r="D798" s="18" t="s">
        <v>92</v>
      </c>
      <c r="E798" s="6">
        <v>5000000</v>
      </c>
      <c r="F798" s="19">
        <v>0.46</v>
      </c>
      <c r="G798" s="18">
        <v>92</v>
      </c>
      <c r="H798" s="20">
        <v>13.4</v>
      </c>
      <c r="I798" s="24" t="str" cm="1">
        <f t="array" ref="I798">_xlfn.IFS(
   AND(F798&gt;=0,9, G798&gt;=85), "Excelente",
   AND(F798&gt;=0,8, G798&gt;=70), "Bueno",
   OR(F798&lt;0,6,  G798&lt;50),  "Alerta",
   TRUE,           "Revisar")</f>
        <v>Excelente</v>
      </c>
      <c r="J798" s="28">
        <f t="shared" si="12"/>
        <v>500000</v>
      </c>
    </row>
    <row r="799" spans="1:10" ht="18" customHeight="1" x14ac:dyDescent="0.3">
      <c r="A799" s="25" t="s">
        <v>1647</v>
      </c>
      <c r="B799" s="8" t="s">
        <v>1648</v>
      </c>
      <c r="C799" s="25" t="s">
        <v>74</v>
      </c>
      <c r="D799" s="25" t="s">
        <v>78</v>
      </c>
      <c r="E799" s="9">
        <v>4600000</v>
      </c>
      <c r="F799" s="26">
        <v>0.67</v>
      </c>
      <c r="G799" s="25">
        <v>43</v>
      </c>
      <c r="H799" s="27">
        <v>14.8</v>
      </c>
      <c r="I799" s="24" t="str" cm="1">
        <f t="array" ref="I799">_xlfn.IFS(
   AND(F799&gt;=0,9, G799&gt;=85), "Excelente",
   AND(F799&gt;=0,8, G799&gt;=70), "Bueno",
   OR(F799&lt;0,6,  G799&lt;50),  "Alerta",
   TRUE,           "Revisar")</f>
        <v>Alerta</v>
      </c>
      <c r="J799" s="28">
        <f t="shared" si="12"/>
        <v>0</v>
      </c>
    </row>
    <row r="800" spans="1:10" ht="18" customHeight="1" x14ac:dyDescent="0.3">
      <c r="A800" s="18" t="s">
        <v>1649</v>
      </c>
      <c r="B800" s="5" t="s">
        <v>1650</v>
      </c>
      <c r="C800" s="18" t="s">
        <v>81</v>
      </c>
      <c r="D800" s="18" t="s">
        <v>60</v>
      </c>
      <c r="E800" s="6">
        <v>10400000</v>
      </c>
      <c r="F800" s="19">
        <v>0.91</v>
      </c>
      <c r="G800" s="18">
        <v>81</v>
      </c>
      <c r="H800" s="20">
        <v>2.5</v>
      </c>
      <c r="I800" s="24" t="str" cm="1">
        <f t="array" ref="I800">_xlfn.IFS(
   AND(F800&gt;=0,9, G800&gt;=85), "Excelente",
   AND(F800&gt;=0,8, G800&gt;=70), "Bueno",
   OR(F800&lt;0,6,  G800&lt;50),  "Alerta",
   TRUE,           "Revisar")</f>
        <v>Bueno</v>
      </c>
      <c r="J800" s="28">
        <f t="shared" si="12"/>
        <v>1040000</v>
      </c>
    </row>
    <row r="801" spans="1:10" ht="18" customHeight="1" x14ac:dyDescent="0.3">
      <c r="A801" s="25" t="s">
        <v>1651</v>
      </c>
      <c r="B801" s="8" t="s">
        <v>1652</v>
      </c>
      <c r="C801" s="25" t="s">
        <v>59</v>
      </c>
      <c r="D801" s="25" t="s">
        <v>68</v>
      </c>
      <c r="E801" s="9">
        <v>7300000</v>
      </c>
      <c r="F801" s="26">
        <v>0.71</v>
      </c>
      <c r="G801" s="25">
        <v>81</v>
      </c>
      <c r="H801" s="27">
        <v>19.8</v>
      </c>
      <c r="I801" s="24" t="str" cm="1">
        <f t="array" ref="I801">_xlfn.IFS(
   AND(F801&gt;=0,9, G801&gt;=85), "Excelente",
   AND(F801&gt;=0,8, G801&gt;=70), "Bueno",
   OR(F801&lt;0,6,  G801&lt;50),  "Alerta",
   TRUE,           "Revisar")</f>
        <v>Bueno</v>
      </c>
      <c r="J801" s="28">
        <f t="shared" si="12"/>
        <v>730000</v>
      </c>
    </row>
    <row r="802" spans="1:10" ht="18" customHeight="1" x14ac:dyDescent="0.3">
      <c r="A802" s="18" t="s">
        <v>1653</v>
      </c>
      <c r="B802" s="5" t="s">
        <v>1654</v>
      </c>
      <c r="C802" s="18" t="s">
        <v>71</v>
      </c>
      <c r="D802" s="18" t="s">
        <v>64</v>
      </c>
      <c r="E802" s="6">
        <v>4000000</v>
      </c>
      <c r="F802" s="19">
        <v>0.86</v>
      </c>
      <c r="G802" s="18">
        <v>38</v>
      </c>
      <c r="H802" s="20">
        <v>10</v>
      </c>
      <c r="I802" s="24" t="str" cm="1">
        <f t="array" ref="I802">_xlfn.IFS(
   AND(F802&gt;=0,9, G802&gt;=85), "Excelente",
   AND(F802&gt;=0,8, G802&gt;=70), "Bueno",
   OR(F802&lt;0,6,  G802&lt;50),  "Alerta",
   TRUE,           "Revisar")</f>
        <v>Alerta</v>
      </c>
      <c r="J802" s="28">
        <f t="shared" si="12"/>
        <v>0</v>
      </c>
    </row>
    <row r="803" spans="1:10" ht="18" customHeight="1" x14ac:dyDescent="0.3">
      <c r="A803" s="25" t="s">
        <v>1655</v>
      </c>
      <c r="B803" s="8" t="s">
        <v>1656</v>
      </c>
      <c r="C803" s="25" t="s">
        <v>77</v>
      </c>
      <c r="D803" s="25" t="s">
        <v>60</v>
      </c>
      <c r="E803" s="9">
        <v>6500000</v>
      </c>
      <c r="F803" s="26">
        <v>0.81</v>
      </c>
      <c r="G803" s="25">
        <v>92</v>
      </c>
      <c r="H803" s="27">
        <v>10.1</v>
      </c>
      <c r="I803" s="24" t="str" cm="1">
        <f t="array" ref="I803">_xlfn.IFS(
   AND(F803&gt;=0,9, G803&gt;=85), "Excelente",
   AND(F803&gt;=0,8, G803&gt;=70), "Bueno",
   OR(F803&lt;0,6,  G803&lt;50),  "Alerta",
   TRUE,           "Revisar")</f>
        <v>Excelente</v>
      </c>
      <c r="J803" s="28">
        <f t="shared" si="12"/>
        <v>650000</v>
      </c>
    </row>
    <row r="804" spans="1:10" ht="18" customHeight="1" x14ac:dyDescent="0.3">
      <c r="A804" s="18" t="s">
        <v>1657</v>
      </c>
      <c r="B804" s="5" t="s">
        <v>1658</v>
      </c>
      <c r="C804" s="18" t="s">
        <v>91</v>
      </c>
      <c r="D804" s="18" t="s">
        <v>64</v>
      </c>
      <c r="E804" s="6">
        <v>8300000</v>
      </c>
      <c r="F804" s="19">
        <v>0.93</v>
      </c>
      <c r="G804" s="18">
        <v>45</v>
      </c>
      <c r="H804" s="20">
        <v>7.7</v>
      </c>
      <c r="I804" s="24" t="str" cm="1">
        <f t="array" ref="I804">_xlfn.IFS(
   AND(F804&gt;=0,9, G804&gt;=85), "Excelente",
   AND(F804&gt;=0,8, G804&gt;=70), "Bueno",
   OR(F804&lt;0,6,  G804&lt;50),  "Alerta",
   TRUE,           "Revisar")</f>
        <v>Alerta</v>
      </c>
      <c r="J804" s="28">
        <f t="shared" si="12"/>
        <v>0</v>
      </c>
    </row>
    <row r="805" spans="1:10" ht="18" customHeight="1" x14ac:dyDescent="0.3">
      <c r="A805" s="25" t="s">
        <v>1659</v>
      </c>
      <c r="B805" s="8" t="s">
        <v>1660</v>
      </c>
      <c r="C805" s="25" t="s">
        <v>91</v>
      </c>
      <c r="D805" s="25" t="s">
        <v>114</v>
      </c>
      <c r="E805" s="9">
        <v>9900000</v>
      </c>
      <c r="F805" s="26">
        <v>0.81</v>
      </c>
      <c r="G805" s="25">
        <v>68</v>
      </c>
      <c r="H805" s="27">
        <v>17.7</v>
      </c>
      <c r="I805" s="24" t="str" cm="1">
        <f t="array" ref="I805">_xlfn.IFS(
   AND(F805&gt;=0,9, G805&gt;=85), "Excelente",
   AND(F805&gt;=0,8, G805&gt;=70), "Bueno",
   OR(F805&lt;0,6,  G805&lt;50),  "Alerta",
   TRUE,           "Revisar")</f>
        <v>Alerta</v>
      </c>
      <c r="J805" s="28">
        <f t="shared" si="12"/>
        <v>0</v>
      </c>
    </row>
    <row r="806" spans="1:10" ht="18" customHeight="1" x14ac:dyDescent="0.3">
      <c r="A806" s="18" t="s">
        <v>1661</v>
      </c>
      <c r="B806" s="5" t="s">
        <v>1662</v>
      </c>
      <c r="C806" s="18" t="s">
        <v>77</v>
      </c>
      <c r="D806" s="18" t="s">
        <v>105</v>
      </c>
      <c r="E806" s="6">
        <v>9900000</v>
      </c>
      <c r="F806" s="19">
        <v>0.92</v>
      </c>
      <c r="G806" s="18">
        <v>94</v>
      </c>
      <c r="H806" s="20">
        <v>1.1000000000000001</v>
      </c>
      <c r="I806" s="24" t="str" cm="1">
        <f t="array" ref="I806">_xlfn.IFS(
   AND(F806&gt;=0,9, G806&gt;=85), "Excelente",
   AND(F806&gt;=0,8, G806&gt;=70), "Bueno",
   OR(F806&lt;0,6,  G806&lt;50),  "Alerta",
   TRUE,           "Revisar")</f>
        <v>Excelente</v>
      </c>
      <c r="J806" s="28">
        <f t="shared" si="12"/>
        <v>990000</v>
      </c>
    </row>
    <row r="807" spans="1:10" ht="18" customHeight="1" x14ac:dyDescent="0.3">
      <c r="A807" s="25" t="s">
        <v>1663</v>
      </c>
      <c r="B807" s="8" t="s">
        <v>1664</v>
      </c>
      <c r="C807" s="25" t="s">
        <v>63</v>
      </c>
      <c r="D807" s="25" t="s">
        <v>92</v>
      </c>
      <c r="E807" s="9">
        <v>6400000</v>
      </c>
      <c r="F807" s="26">
        <v>0.63</v>
      </c>
      <c r="G807" s="25">
        <v>33</v>
      </c>
      <c r="H807" s="27">
        <v>11.8</v>
      </c>
      <c r="I807" s="24" t="str" cm="1">
        <f t="array" ref="I807">_xlfn.IFS(
   AND(F807&gt;=0,9, G807&gt;=85), "Excelente",
   AND(F807&gt;=0,8, G807&gt;=70), "Bueno",
   OR(F807&lt;0,6,  G807&lt;50),  "Alerta",
   TRUE,           "Revisar")</f>
        <v>Alerta</v>
      </c>
      <c r="J807" s="28">
        <f t="shared" si="12"/>
        <v>0</v>
      </c>
    </row>
    <row r="808" spans="1:10" ht="18" customHeight="1" x14ac:dyDescent="0.3">
      <c r="A808" s="18" t="s">
        <v>1665</v>
      </c>
      <c r="B808" s="5" t="s">
        <v>1666</v>
      </c>
      <c r="C808" s="18" t="s">
        <v>81</v>
      </c>
      <c r="D808" s="18" t="s">
        <v>92</v>
      </c>
      <c r="E808" s="6">
        <v>8000000</v>
      </c>
      <c r="F808" s="19">
        <v>0.64</v>
      </c>
      <c r="G808" s="18">
        <v>61</v>
      </c>
      <c r="H808" s="20">
        <v>5</v>
      </c>
      <c r="I808" s="24" t="str" cm="1">
        <f t="array" ref="I808">_xlfn.IFS(
   AND(F808&gt;=0,9, G808&gt;=85), "Excelente",
   AND(F808&gt;=0,8, G808&gt;=70), "Bueno",
   OR(F808&lt;0,6,  G808&lt;50),  "Alerta",
   TRUE,           "Revisar")</f>
        <v>Alerta</v>
      </c>
      <c r="J808" s="28">
        <f t="shared" si="12"/>
        <v>0</v>
      </c>
    </row>
    <row r="809" spans="1:10" ht="18" customHeight="1" x14ac:dyDescent="0.3">
      <c r="A809" s="25" t="s">
        <v>1667</v>
      </c>
      <c r="B809" s="8" t="s">
        <v>1668</v>
      </c>
      <c r="C809" s="25" t="s">
        <v>74</v>
      </c>
      <c r="D809" s="25" t="s">
        <v>78</v>
      </c>
      <c r="E809" s="9">
        <v>6700000</v>
      </c>
      <c r="F809" s="26">
        <v>0.51</v>
      </c>
      <c r="G809" s="25">
        <v>51</v>
      </c>
      <c r="H809" s="27">
        <v>0.4</v>
      </c>
      <c r="I809" s="24" t="str" cm="1">
        <f t="array" ref="I809">_xlfn.IFS(
   AND(F809&gt;=0,9, G809&gt;=85), "Excelente",
   AND(F809&gt;=0,8, G809&gt;=70), "Bueno",
   OR(F809&lt;0,6,  G809&lt;50),  "Alerta",
   TRUE,           "Revisar")</f>
        <v>Alerta</v>
      </c>
      <c r="J809" s="28">
        <f t="shared" si="12"/>
        <v>0</v>
      </c>
    </row>
    <row r="810" spans="1:10" ht="18" customHeight="1" x14ac:dyDescent="0.3">
      <c r="A810" s="18" t="s">
        <v>1669</v>
      </c>
      <c r="B810" s="5" t="s">
        <v>1670</v>
      </c>
      <c r="C810" s="18" t="s">
        <v>77</v>
      </c>
      <c r="D810" s="18" t="s">
        <v>64</v>
      </c>
      <c r="E810" s="6">
        <v>6800000</v>
      </c>
      <c r="F810" s="19">
        <v>0.66</v>
      </c>
      <c r="G810" s="18">
        <v>79</v>
      </c>
      <c r="H810" s="20">
        <v>6.4</v>
      </c>
      <c r="I810" s="24" t="str" cm="1">
        <f t="array" ref="I810">_xlfn.IFS(
   AND(F810&gt;=0,9, G810&gt;=85), "Excelente",
   AND(F810&gt;=0,8, G810&gt;=70), "Bueno",
   OR(F810&lt;0,6,  G810&lt;50),  "Alerta",
   TRUE,           "Revisar")</f>
        <v>Bueno</v>
      </c>
      <c r="J810" s="28">
        <f t="shared" si="12"/>
        <v>680000</v>
      </c>
    </row>
    <row r="811" spans="1:10" ht="18" customHeight="1" x14ac:dyDescent="0.3">
      <c r="A811" s="25" t="s">
        <v>1671</v>
      </c>
      <c r="B811" s="8" t="s">
        <v>1672</v>
      </c>
      <c r="C811" s="25" t="s">
        <v>74</v>
      </c>
      <c r="D811" s="25" t="s">
        <v>78</v>
      </c>
      <c r="E811" s="9">
        <v>10300000</v>
      </c>
      <c r="F811" s="26">
        <v>0.64</v>
      </c>
      <c r="G811" s="25">
        <v>38</v>
      </c>
      <c r="H811" s="27">
        <v>11.3</v>
      </c>
      <c r="I811" s="24" t="str" cm="1">
        <f t="array" ref="I811">_xlfn.IFS(
   AND(F811&gt;=0,9, G811&gt;=85), "Excelente",
   AND(F811&gt;=0,8, G811&gt;=70), "Bueno",
   OR(F811&lt;0,6,  G811&lt;50),  "Alerta",
   TRUE,           "Revisar")</f>
        <v>Alerta</v>
      </c>
      <c r="J811" s="28">
        <f t="shared" si="12"/>
        <v>0</v>
      </c>
    </row>
    <row r="812" spans="1:10" ht="18" customHeight="1" x14ac:dyDescent="0.3">
      <c r="A812" s="18" t="s">
        <v>1673</v>
      </c>
      <c r="B812" s="5" t="s">
        <v>1674</v>
      </c>
      <c r="C812" s="18" t="s">
        <v>63</v>
      </c>
      <c r="D812" s="18" t="s">
        <v>60</v>
      </c>
      <c r="E812" s="6">
        <v>7200000</v>
      </c>
      <c r="F812" s="19">
        <v>0.89</v>
      </c>
      <c r="G812" s="18">
        <v>68</v>
      </c>
      <c r="H812" s="20">
        <v>10.1</v>
      </c>
      <c r="I812" s="24" t="str" cm="1">
        <f t="array" ref="I812">_xlfn.IFS(
   AND(F812&gt;=0,9, G812&gt;=85), "Excelente",
   AND(F812&gt;=0,8, G812&gt;=70), "Bueno",
   OR(F812&lt;0,6,  G812&lt;50),  "Alerta",
   TRUE,           "Revisar")</f>
        <v>Alerta</v>
      </c>
      <c r="J812" s="28">
        <f t="shared" si="12"/>
        <v>0</v>
      </c>
    </row>
    <row r="813" spans="1:10" ht="18" customHeight="1" x14ac:dyDescent="0.3">
      <c r="A813" s="25" t="s">
        <v>1675</v>
      </c>
      <c r="B813" s="8" t="s">
        <v>1676</v>
      </c>
      <c r="C813" s="25" t="s">
        <v>77</v>
      </c>
      <c r="D813" s="25" t="s">
        <v>114</v>
      </c>
      <c r="E813" s="9">
        <v>3000000</v>
      </c>
      <c r="F813" s="26">
        <v>0.8</v>
      </c>
      <c r="G813" s="25">
        <v>96</v>
      </c>
      <c r="H813" s="27">
        <v>17.3</v>
      </c>
      <c r="I813" s="24" t="str" cm="1">
        <f t="array" ref="I813">_xlfn.IFS(
   AND(F813&gt;=0,9, G813&gt;=85), "Excelente",
   AND(F813&gt;=0,8, G813&gt;=70), "Bueno",
   OR(F813&lt;0,6,  G813&lt;50),  "Alerta",
   TRUE,           "Revisar")</f>
        <v>Excelente</v>
      </c>
      <c r="J813" s="28">
        <f t="shared" si="12"/>
        <v>300000</v>
      </c>
    </row>
    <row r="814" spans="1:10" ht="18" customHeight="1" x14ac:dyDescent="0.3">
      <c r="A814" s="18" t="s">
        <v>1677</v>
      </c>
      <c r="B814" s="5" t="s">
        <v>1678</v>
      </c>
      <c r="C814" s="18" t="s">
        <v>67</v>
      </c>
      <c r="D814" s="18" t="s">
        <v>105</v>
      </c>
      <c r="E814" s="6">
        <v>6200000</v>
      </c>
      <c r="F814" s="19">
        <v>0.97</v>
      </c>
      <c r="G814" s="18">
        <v>98</v>
      </c>
      <c r="H814" s="20">
        <v>16.2</v>
      </c>
      <c r="I814" s="24" t="str" cm="1">
        <f t="array" ref="I814">_xlfn.IFS(
   AND(F814&gt;=0,9, G814&gt;=85), "Excelente",
   AND(F814&gt;=0,8, G814&gt;=70), "Bueno",
   OR(F814&lt;0,6,  G814&lt;50),  "Alerta",
   TRUE,           "Revisar")</f>
        <v>Excelente</v>
      </c>
      <c r="J814" s="28">
        <f t="shared" si="12"/>
        <v>620000</v>
      </c>
    </row>
    <row r="815" spans="1:10" ht="18" customHeight="1" x14ac:dyDescent="0.3">
      <c r="A815" s="25" t="s">
        <v>1679</v>
      </c>
      <c r="B815" s="8" t="s">
        <v>1680</v>
      </c>
      <c r="C815" s="25" t="s">
        <v>67</v>
      </c>
      <c r="D815" s="25" t="s">
        <v>114</v>
      </c>
      <c r="E815" s="9">
        <v>11500000</v>
      </c>
      <c r="F815" s="26">
        <v>0.87</v>
      </c>
      <c r="G815" s="25">
        <v>85</v>
      </c>
      <c r="H815" s="27">
        <v>8.1999999999999993</v>
      </c>
      <c r="I815" s="24" t="str" cm="1">
        <f t="array" ref="I815">_xlfn.IFS(
   AND(F815&gt;=0,9, G815&gt;=85), "Excelente",
   AND(F815&gt;=0,8, G815&gt;=70), "Bueno",
   OR(F815&lt;0,6,  G815&lt;50),  "Alerta",
   TRUE,           "Revisar")</f>
        <v>Excelente</v>
      </c>
      <c r="J815" s="28">
        <f t="shared" si="12"/>
        <v>1150000</v>
      </c>
    </row>
    <row r="816" spans="1:10" ht="18" customHeight="1" x14ac:dyDescent="0.3">
      <c r="A816" s="18" t="s">
        <v>1681</v>
      </c>
      <c r="B816" s="5" t="s">
        <v>1682</v>
      </c>
      <c r="C816" s="18" t="s">
        <v>63</v>
      </c>
      <c r="D816" s="18" t="s">
        <v>88</v>
      </c>
      <c r="E816" s="6">
        <v>6400000</v>
      </c>
      <c r="F816" s="19">
        <v>0.81</v>
      </c>
      <c r="G816" s="18">
        <v>62</v>
      </c>
      <c r="H816" s="20">
        <v>13.7</v>
      </c>
      <c r="I816" s="24" t="str" cm="1">
        <f t="array" ref="I816">_xlfn.IFS(
   AND(F816&gt;=0,9, G816&gt;=85), "Excelente",
   AND(F816&gt;=0,8, G816&gt;=70), "Bueno",
   OR(F816&lt;0,6,  G816&lt;50),  "Alerta",
   TRUE,           "Revisar")</f>
        <v>Alerta</v>
      </c>
      <c r="J816" s="28">
        <f t="shared" si="12"/>
        <v>0</v>
      </c>
    </row>
    <row r="817" spans="1:10" ht="18" customHeight="1" x14ac:dyDescent="0.3">
      <c r="A817" s="25" t="s">
        <v>1683</v>
      </c>
      <c r="B817" s="8" t="s">
        <v>1684</v>
      </c>
      <c r="C817" s="25" t="s">
        <v>91</v>
      </c>
      <c r="D817" s="25" t="s">
        <v>60</v>
      </c>
      <c r="E817" s="9">
        <v>6700000</v>
      </c>
      <c r="F817" s="26">
        <v>0.71</v>
      </c>
      <c r="G817" s="25">
        <v>85</v>
      </c>
      <c r="H817" s="27">
        <v>8.4</v>
      </c>
      <c r="I817" s="24" t="str" cm="1">
        <f t="array" ref="I817">_xlfn.IFS(
   AND(F817&gt;=0,9, G817&gt;=85), "Excelente",
   AND(F817&gt;=0,8, G817&gt;=70), "Bueno",
   OR(F817&lt;0,6,  G817&lt;50),  "Alerta",
   TRUE,           "Revisar")</f>
        <v>Excelente</v>
      </c>
      <c r="J817" s="28">
        <f t="shared" si="12"/>
        <v>670000</v>
      </c>
    </row>
    <row r="818" spans="1:10" ht="18" customHeight="1" x14ac:dyDescent="0.3">
      <c r="A818" s="18" t="s">
        <v>1685</v>
      </c>
      <c r="B818" s="5" t="s">
        <v>1686</v>
      </c>
      <c r="C818" s="18" t="s">
        <v>71</v>
      </c>
      <c r="D818" s="18" t="s">
        <v>64</v>
      </c>
      <c r="E818" s="6">
        <v>6100000</v>
      </c>
      <c r="F818" s="19">
        <v>0.88</v>
      </c>
      <c r="G818" s="18">
        <v>65</v>
      </c>
      <c r="H818" s="20">
        <v>13.2</v>
      </c>
      <c r="I818" s="24" t="str" cm="1">
        <f t="array" ref="I818">_xlfn.IFS(
   AND(F818&gt;=0,9, G818&gt;=85), "Excelente",
   AND(F818&gt;=0,8, G818&gt;=70), "Bueno",
   OR(F818&lt;0,6,  G818&lt;50),  "Alerta",
   TRUE,           "Revisar")</f>
        <v>Alerta</v>
      </c>
      <c r="J818" s="28">
        <f t="shared" si="12"/>
        <v>0</v>
      </c>
    </row>
    <row r="819" spans="1:10" ht="18" customHeight="1" x14ac:dyDescent="0.3">
      <c r="A819" s="25" t="s">
        <v>1687</v>
      </c>
      <c r="B819" s="8" t="s">
        <v>1688</v>
      </c>
      <c r="C819" s="25" t="s">
        <v>74</v>
      </c>
      <c r="D819" s="25" t="s">
        <v>68</v>
      </c>
      <c r="E819" s="9">
        <v>7400000</v>
      </c>
      <c r="F819" s="26">
        <v>0.82</v>
      </c>
      <c r="G819" s="25">
        <v>41</v>
      </c>
      <c r="H819" s="27">
        <v>7.9</v>
      </c>
      <c r="I819" s="24" t="str" cm="1">
        <f t="array" ref="I819">_xlfn.IFS(
   AND(F819&gt;=0,9, G819&gt;=85), "Excelente",
   AND(F819&gt;=0,8, G819&gt;=70), "Bueno",
   OR(F819&lt;0,6,  G819&lt;50),  "Alerta",
   TRUE,           "Revisar")</f>
        <v>Alerta</v>
      </c>
      <c r="J819" s="28">
        <f t="shared" si="12"/>
        <v>0</v>
      </c>
    </row>
    <row r="820" spans="1:10" ht="18" customHeight="1" x14ac:dyDescent="0.3">
      <c r="A820" s="18" t="s">
        <v>1689</v>
      </c>
      <c r="B820" s="5" t="s">
        <v>1690</v>
      </c>
      <c r="C820" s="18" t="s">
        <v>74</v>
      </c>
      <c r="D820" s="18" t="s">
        <v>88</v>
      </c>
      <c r="E820" s="6">
        <v>9100000</v>
      </c>
      <c r="F820" s="19">
        <v>0.94</v>
      </c>
      <c r="G820" s="18">
        <v>60</v>
      </c>
      <c r="H820" s="20">
        <v>12</v>
      </c>
      <c r="I820" s="24" t="str" cm="1">
        <f t="array" ref="I820">_xlfn.IFS(
   AND(F820&gt;=0,9, G820&gt;=85), "Excelente",
   AND(F820&gt;=0,8, G820&gt;=70), "Bueno",
   OR(F820&lt;0,6,  G820&lt;50),  "Alerta",
   TRUE,           "Revisar")</f>
        <v>Alerta</v>
      </c>
      <c r="J820" s="28">
        <f t="shared" si="12"/>
        <v>0</v>
      </c>
    </row>
    <row r="821" spans="1:10" ht="18" customHeight="1" x14ac:dyDescent="0.3">
      <c r="A821" s="25" t="s">
        <v>1691</v>
      </c>
      <c r="B821" s="8" t="s">
        <v>1692</v>
      </c>
      <c r="C821" s="25" t="s">
        <v>63</v>
      </c>
      <c r="D821" s="25" t="s">
        <v>60</v>
      </c>
      <c r="E821" s="9">
        <v>8200000</v>
      </c>
      <c r="F821" s="26">
        <v>0.56999999999999995</v>
      </c>
      <c r="G821" s="25">
        <v>43</v>
      </c>
      <c r="H821" s="27">
        <v>3.5</v>
      </c>
      <c r="I821" s="24" t="str" cm="1">
        <f t="array" ref="I821">_xlfn.IFS(
   AND(F821&gt;=0,9, G821&gt;=85), "Excelente",
   AND(F821&gt;=0,8, G821&gt;=70), "Bueno",
   OR(F821&lt;0,6,  G821&lt;50),  "Alerta",
   TRUE,           "Revisar")</f>
        <v>Alerta</v>
      </c>
      <c r="J821" s="28">
        <f t="shared" si="12"/>
        <v>0</v>
      </c>
    </row>
    <row r="822" spans="1:10" ht="18" customHeight="1" x14ac:dyDescent="0.3">
      <c r="A822" s="18" t="s">
        <v>1693</v>
      </c>
      <c r="B822" s="5" t="s">
        <v>1694</v>
      </c>
      <c r="C822" s="18" t="s">
        <v>63</v>
      </c>
      <c r="D822" s="18" t="s">
        <v>105</v>
      </c>
      <c r="E822" s="6">
        <v>11500000</v>
      </c>
      <c r="F822" s="19">
        <v>0.59</v>
      </c>
      <c r="G822" s="18">
        <v>65</v>
      </c>
      <c r="H822" s="20">
        <v>17.600000000000001</v>
      </c>
      <c r="I822" s="24" t="str" cm="1">
        <f t="array" ref="I822">_xlfn.IFS(
   AND(F822&gt;=0,9, G822&gt;=85), "Excelente",
   AND(F822&gt;=0,8, G822&gt;=70), "Bueno",
   OR(F822&lt;0,6,  G822&lt;50),  "Alerta",
   TRUE,           "Revisar")</f>
        <v>Alerta</v>
      </c>
      <c r="J822" s="28">
        <f t="shared" si="12"/>
        <v>0</v>
      </c>
    </row>
    <row r="823" spans="1:10" ht="18" customHeight="1" x14ac:dyDescent="0.3">
      <c r="A823" s="25" t="s">
        <v>1695</v>
      </c>
      <c r="B823" s="8" t="s">
        <v>1696</v>
      </c>
      <c r="C823" s="25" t="s">
        <v>67</v>
      </c>
      <c r="D823" s="25" t="s">
        <v>88</v>
      </c>
      <c r="E823" s="9">
        <v>9800000</v>
      </c>
      <c r="F823" s="26">
        <v>0.66</v>
      </c>
      <c r="G823" s="25">
        <v>76</v>
      </c>
      <c r="H823" s="27">
        <v>18.100000000000001</v>
      </c>
      <c r="I823" s="24" t="str" cm="1">
        <f t="array" ref="I823">_xlfn.IFS(
   AND(F823&gt;=0,9, G823&gt;=85), "Excelente",
   AND(F823&gt;=0,8, G823&gt;=70), "Bueno",
   OR(F823&lt;0,6,  G823&lt;50),  "Alerta",
   TRUE,           "Revisar")</f>
        <v>Bueno</v>
      </c>
      <c r="J823" s="28">
        <f t="shared" si="12"/>
        <v>980000</v>
      </c>
    </row>
    <row r="824" spans="1:10" ht="18" customHeight="1" x14ac:dyDescent="0.3">
      <c r="A824" s="18" t="s">
        <v>1697</v>
      </c>
      <c r="B824" s="5" t="s">
        <v>1698</v>
      </c>
      <c r="C824" s="18" t="s">
        <v>63</v>
      </c>
      <c r="D824" s="18" t="s">
        <v>88</v>
      </c>
      <c r="E824" s="6">
        <v>6600000</v>
      </c>
      <c r="F824" s="19">
        <v>0.5</v>
      </c>
      <c r="G824" s="18">
        <v>60</v>
      </c>
      <c r="H824" s="20">
        <v>5.9</v>
      </c>
      <c r="I824" s="24" t="str" cm="1">
        <f t="array" ref="I824">_xlfn.IFS(
   AND(F824&gt;=0,9, G824&gt;=85), "Excelente",
   AND(F824&gt;=0,8, G824&gt;=70), "Bueno",
   OR(F824&lt;0,6,  G824&lt;50),  "Alerta",
   TRUE,           "Revisar")</f>
        <v>Alerta</v>
      </c>
      <c r="J824" s="28">
        <f t="shared" si="12"/>
        <v>0</v>
      </c>
    </row>
    <row r="825" spans="1:10" ht="18" customHeight="1" x14ac:dyDescent="0.3">
      <c r="A825" s="25" t="s">
        <v>1699</v>
      </c>
      <c r="B825" s="8" t="s">
        <v>1700</v>
      </c>
      <c r="C825" s="25" t="s">
        <v>77</v>
      </c>
      <c r="D825" s="25" t="s">
        <v>92</v>
      </c>
      <c r="E825" s="9">
        <v>11000000</v>
      </c>
      <c r="F825" s="26">
        <v>0.67</v>
      </c>
      <c r="G825" s="25">
        <v>34</v>
      </c>
      <c r="H825" s="27">
        <v>5.5</v>
      </c>
      <c r="I825" s="24" t="str" cm="1">
        <f t="array" ref="I825">_xlfn.IFS(
   AND(F825&gt;=0,9, G825&gt;=85), "Excelente",
   AND(F825&gt;=0,8, G825&gt;=70), "Bueno",
   OR(F825&lt;0,6,  G825&lt;50),  "Alerta",
   TRUE,           "Revisar")</f>
        <v>Alerta</v>
      </c>
      <c r="J825" s="28">
        <f t="shared" si="12"/>
        <v>0</v>
      </c>
    </row>
    <row r="826" spans="1:10" ht="18" customHeight="1" x14ac:dyDescent="0.3">
      <c r="A826" s="18" t="s">
        <v>1701</v>
      </c>
      <c r="B826" s="5" t="s">
        <v>1702</v>
      </c>
      <c r="C826" s="18" t="s">
        <v>77</v>
      </c>
      <c r="D826" s="18" t="s">
        <v>105</v>
      </c>
      <c r="E826" s="6">
        <v>8000000</v>
      </c>
      <c r="F826" s="19">
        <v>0.96</v>
      </c>
      <c r="G826" s="18">
        <v>72</v>
      </c>
      <c r="H826" s="20">
        <v>14.3</v>
      </c>
      <c r="I826" s="24" t="str" cm="1">
        <f t="array" ref="I826">_xlfn.IFS(
   AND(F826&gt;=0,9, G826&gt;=85), "Excelente",
   AND(F826&gt;=0,8, G826&gt;=70), "Bueno",
   OR(F826&lt;0,6,  G826&lt;50),  "Alerta",
   TRUE,           "Revisar")</f>
        <v>Bueno</v>
      </c>
      <c r="J826" s="28">
        <f t="shared" si="12"/>
        <v>800000</v>
      </c>
    </row>
    <row r="827" spans="1:10" ht="18" customHeight="1" x14ac:dyDescent="0.3">
      <c r="A827" s="25" t="s">
        <v>1703</v>
      </c>
      <c r="B827" s="8" t="s">
        <v>1704</v>
      </c>
      <c r="C827" s="25" t="s">
        <v>71</v>
      </c>
      <c r="D827" s="25" t="s">
        <v>88</v>
      </c>
      <c r="E827" s="9">
        <v>9200000</v>
      </c>
      <c r="F827" s="26">
        <v>0.49</v>
      </c>
      <c r="G827" s="25">
        <v>83</v>
      </c>
      <c r="H827" s="27">
        <v>12</v>
      </c>
      <c r="I827" s="24" t="str" cm="1">
        <f t="array" ref="I827">_xlfn.IFS(
   AND(F827&gt;=0,9, G827&gt;=85), "Excelente",
   AND(F827&gt;=0,8, G827&gt;=70), "Bueno",
   OR(F827&lt;0,6,  G827&lt;50),  "Alerta",
   TRUE,           "Revisar")</f>
        <v>Bueno</v>
      </c>
      <c r="J827" s="28">
        <f t="shared" si="12"/>
        <v>920000</v>
      </c>
    </row>
    <row r="828" spans="1:10" ht="18" customHeight="1" x14ac:dyDescent="0.3">
      <c r="A828" s="18" t="s">
        <v>1705</v>
      </c>
      <c r="B828" s="5" t="s">
        <v>1706</v>
      </c>
      <c r="C828" s="18" t="s">
        <v>81</v>
      </c>
      <c r="D828" s="18" t="s">
        <v>105</v>
      </c>
      <c r="E828" s="6">
        <v>11600000</v>
      </c>
      <c r="F828" s="19">
        <v>0.47</v>
      </c>
      <c r="G828" s="18">
        <v>36</v>
      </c>
      <c r="H828" s="20">
        <v>12.8</v>
      </c>
      <c r="I828" s="24" t="str" cm="1">
        <f t="array" ref="I828">_xlfn.IFS(
   AND(F828&gt;=0,9, G828&gt;=85), "Excelente",
   AND(F828&gt;=0,8, G828&gt;=70), "Bueno",
   OR(F828&lt;0,6,  G828&lt;50),  "Alerta",
   TRUE,           "Revisar")</f>
        <v>Alerta</v>
      </c>
      <c r="J828" s="28">
        <f t="shared" si="12"/>
        <v>0</v>
      </c>
    </row>
    <row r="829" spans="1:10" ht="18" customHeight="1" x14ac:dyDescent="0.3">
      <c r="A829" s="25" t="s">
        <v>1707</v>
      </c>
      <c r="B829" s="8" t="s">
        <v>1708</v>
      </c>
      <c r="C829" s="25" t="s">
        <v>63</v>
      </c>
      <c r="D829" s="25" t="s">
        <v>92</v>
      </c>
      <c r="E829" s="9">
        <v>8500000</v>
      </c>
      <c r="F829" s="26">
        <v>0.71</v>
      </c>
      <c r="G829" s="25">
        <v>47</v>
      </c>
      <c r="H829" s="27">
        <v>5.2</v>
      </c>
      <c r="I829" s="24" t="str" cm="1">
        <f t="array" ref="I829">_xlfn.IFS(
   AND(F829&gt;=0,9, G829&gt;=85), "Excelente",
   AND(F829&gt;=0,8, G829&gt;=70), "Bueno",
   OR(F829&lt;0,6,  G829&lt;50),  "Alerta",
   TRUE,           "Revisar")</f>
        <v>Alerta</v>
      </c>
      <c r="J829" s="28">
        <f t="shared" si="12"/>
        <v>0</v>
      </c>
    </row>
    <row r="830" spans="1:10" ht="18" customHeight="1" x14ac:dyDescent="0.3">
      <c r="A830" s="18" t="s">
        <v>1709</v>
      </c>
      <c r="B830" s="5" t="s">
        <v>1710</v>
      </c>
      <c r="C830" s="18" t="s">
        <v>63</v>
      </c>
      <c r="D830" s="18" t="s">
        <v>60</v>
      </c>
      <c r="E830" s="6">
        <v>3000000</v>
      </c>
      <c r="F830" s="19">
        <v>0.97</v>
      </c>
      <c r="G830" s="18">
        <v>59</v>
      </c>
      <c r="H830" s="20">
        <v>18.100000000000001</v>
      </c>
      <c r="I830" s="24" t="str" cm="1">
        <f t="array" ref="I830">_xlfn.IFS(
   AND(F830&gt;=0,9, G830&gt;=85), "Excelente",
   AND(F830&gt;=0,8, G830&gt;=70), "Bueno",
   OR(F830&lt;0,6,  G830&lt;50),  "Alerta",
   TRUE,           "Revisar")</f>
        <v>Alerta</v>
      </c>
      <c r="J830" s="28">
        <f t="shared" si="12"/>
        <v>0</v>
      </c>
    </row>
    <row r="831" spans="1:10" ht="18" customHeight="1" x14ac:dyDescent="0.3">
      <c r="A831" s="25" t="s">
        <v>1711</v>
      </c>
      <c r="B831" s="8" t="s">
        <v>1712</v>
      </c>
      <c r="C831" s="25" t="s">
        <v>71</v>
      </c>
      <c r="D831" s="25" t="s">
        <v>64</v>
      </c>
      <c r="E831" s="9">
        <v>7900000</v>
      </c>
      <c r="F831" s="26">
        <v>0.79</v>
      </c>
      <c r="G831" s="25">
        <v>63</v>
      </c>
      <c r="H831" s="27">
        <v>3</v>
      </c>
      <c r="I831" s="24" t="str" cm="1">
        <f t="array" ref="I831">_xlfn.IFS(
   AND(F831&gt;=0,9, G831&gt;=85), "Excelente",
   AND(F831&gt;=0,8, G831&gt;=70), "Bueno",
   OR(F831&lt;0,6,  G831&lt;50),  "Alerta",
   TRUE,           "Revisar")</f>
        <v>Alerta</v>
      </c>
      <c r="J831" s="28">
        <f t="shared" si="12"/>
        <v>0</v>
      </c>
    </row>
    <row r="832" spans="1:10" ht="18" customHeight="1" x14ac:dyDescent="0.3">
      <c r="A832" s="18" t="s">
        <v>1713</v>
      </c>
      <c r="B832" s="5" t="s">
        <v>1714</v>
      </c>
      <c r="C832" s="18" t="s">
        <v>77</v>
      </c>
      <c r="D832" s="18" t="s">
        <v>78</v>
      </c>
      <c r="E832" s="6">
        <v>5600000</v>
      </c>
      <c r="F832" s="19">
        <v>0.84</v>
      </c>
      <c r="G832" s="18">
        <v>54</v>
      </c>
      <c r="H832" s="20">
        <v>18.899999999999999</v>
      </c>
      <c r="I832" s="24" t="str" cm="1">
        <f t="array" ref="I832">_xlfn.IFS(
   AND(F832&gt;=0,9, G832&gt;=85), "Excelente",
   AND(F832&gt;=0,8, G832&gt;=70), "Bueno",
   OR(F832&lt;0,6,  G832&lt;50),  "Alerta",
   TRUE,           "Revisar")</f>
        <v>Alerta</v>
      </c>
      <c r="J832" s="28">
        <f t="shared" si="12"/>
        <v>0</v>
      </c>
    </row>
    <row r="833" spans="1:10" ht="18" customHeight="1" x14ac:dyDescent="0.3">
      <c r="A833" s="25" t="s">
        <v>1715</v>
      </c>
      <c r="B833" s="8" t="s">
        <v>1716</v>
      </c>
      <c r="C833" s="25" t="s">
        <v>71</v>
      </c>
      <c r="D833" s="25" t="s">
        <v>68</v>
      </c>
      <c r="E833" s="9">
        <v>5400000</v>
      </c>
      <c r="F833" s="26">
        <v>0.78</v>
      </c>
      <c r="G833" s="25">
        <v>66</v>
      </c>
      <c r="H833" s="27">
        <v>14.5</v>
      </c>
      <c r="I833" s="24" t="str" cm="1">
        <f t="array" ref="I833">_xlfn.IFS(
   AND(F833&gt;=0,9, G833&gt;=85), "Excelente",
   AND(F833&gt;=0,8, G833&gt;=70), "Bueno",
   OR(F833&lt;0,6,  G833&lt;50),  "Alerta",
   TRUE,           "Revisar")</f>
        <v>Alerta</v>
      </c>
      <c r="J833" s="28">
        <f t="shared" si="12"/>
        <v>0</v>
      </c>
    </row>
    <row r="834" spans="1:10" ht="18" customHeight="1" x14ac:dyDescent="0.3">
      <c r="A834" s="18" t="s">
        <v>1717</v>
      </c>
      <c r="B834" s="5" t="s">
        <v>1718</v>
      </c>
      <c r="C834" s="18" t="s">
        <v>71</v>
      </c>
      <c r="D834" s="18" t="s">
        <v>64</v>
      </c>
      <c r="E834" s="6">
        <v>6500000</v>
      </c>
      <c r="F834" s="19">
        <v>0.99</v>
      </c>
      <c r="G834" s="18">
        <v>60</v>
      </c>
      <c r="H834" s="20">
        <v>12.4</v>
      </c>
      <c r="I834" s="24" t="str" cm="1">
        <f t="array" ref="I834">_xlfn.IFS(
   AND(F834&gt;=0,9, G834&gt;=85), "Excelente",
   AND(F834&gt;=0,8, G834&gt;=70), "Bueno",
   OR(F834&lt;0,6,  G834&lt;50),  "Alerta",
   TRUE,           "Revisar")</f>
        <v>Alerta</v>
      </c>
      <c r="J834" s="28">
        <f t="shared" si="12"/>
        <v>0</v>
      </c>
    </row>
    <row r="835" spans="1:10" ht="18" customHeight="1" x14ac:dyDescent="0.3">
      <c r="A835" s="25" t="s">
        <v>1719</v>
      </c>
      <c r="B835" s="8" t="s">
        <v>1720</v>
      </c>
      <c r="C835" s="25" t="s">
        <v>77</v>
      </c>
      <c r="D835" s="25" t="s">
        <v>78</v>
      </c>
      <c r="E835" s="9">
        <v>2900000</v>
      </c>
      <c r="F835" s="26">
        <v>0.71</v>
      </c>
      <c r="G835" s="25">
        <v>71</v>
      </c>
      <c r="H835" s="27">
        <v>19.5</v>
      </c>
      <c r="I835" s="24" t="str" cm="1">
        <f t="array" ref="I835">_xlfn.IFS(
   AND(F835&gt;=0,9, G835&gt;=85), "Excelente",
   AND(F835&gt;=0,8, G835&gt;=70), "Bueno",
   OR(F835&lt;0,6,  G835&lt;50),  "Alerta",
   TRUE,           "Revisar")</f>
        <v>Bueno</v>
      </c>
      <c r="J835" s="28">
        <f t="shared" si="12"/>
        <v>290000</v>
      </c>
    </row>
    <row r="836" spans="1:10" ht="18" customHeight="1" x14ac:dyDescent="0.3">
      <c r="A836" s="18" t="s">
        <v>1721</v>
      </c>
      <c r="B836" s="5" t="s">
        <v>1722</v>
      </c>
      <c r="C836" s="18" t="s">
        <v>63</v>
      </c>
      <c r="D836" s="18" t="s">
        <v>88</v>
      </c>
      <c r="E836" s="6">
        <v>3700000</v>
      </c>
      <c r="F836" s="19">
        <v>0.5</v>
      </c>
      <c r="G836" s="18">
        <v>37</v>
      </c>
      <c r="H836" s="20">
        <v>1</v>
      </c>
      <c r="I836" s="24" t="str" cm="1">
        <f t="array" ref="I836">_xlfn.IFS(
   AND(F836&gt;=0,9, G836&gt;=85), "Excelente",
   AND(F836&gt;=0,8, G836&gt;=70), "Bueno",
   OR(F836&lt;0,6,  G836&lt;50),  "Alerta",
   TRUE,           "Revisar")</f>
        <v>Alerta</v>
      </c>
      <c r="J836" s="28">
        <f t="shared" si="12"/>
        <v>0</v>
      </c>
    </row>
    <row r="837" spans="1:10" ht="18" customHeight="1" x14ac:dyDescent="0.3">
      <c r="A837" s="25" t="s">
        <v>1723</v>
      </c>
      <c r="B837" s="8" t="s">
        <v>1724</v>
      </c>
      <c r="C837" s="25" t="s">
        <v>74</v>
      </c>
      <c r="D837" s="25" t="s">
        <v>92</v>
      </c>
      <c r="E837" s="9">
        <v>3300000</v>
      </c>
      <c r="F837" s="26">
        <v>0.99</v>
      </c>
      <c r="G837" s="25">
        <v>93</v>
      </c>
      <c r="H837" s="27">
        <v>17.399999999999999</v>
      </c>
      <c r="I837" s="24" t="str" cm="1">
        <f t="array" ref="I837">_xlfn.IFS(
   AND(F837&gt;=0,9, G837&gt;=85), "Excelente",
   AND(F837&gt;=0,8, G837&gt;=70), "Bueno",
   OR(F837&lt;0,6,  G837&lt;50),  "Alerta",
   TRUE,           "Revisar")</f>
        <v>Excelente</v>
      </c>
      <c r="J837" s="28">
        <f t="shared" si="12"/>
        <v>330000</v>
      </c>
    </row>
    <row r="838" spans="1:10" ht="18" customHeight="1" x14ac:dyDescent="0.3">
      <c r="A838" s="18" t="s">
        <v>1725</v>
      </c>
      <c r="B838" s="5" t="s">
        <v>1726</v>
      </c>
      <c r="C838" s="18" t="s">
        <v>81</v>
      </c>
      <c r="D838" s="18" t="s">
        <v>68</v>
      </c>
      <c r="E838" s="6">
        <v>6400000</v>
      </c>
      <c r="F838" s="19">
        <v>0.95</v>
      </c>
      <c r="G838" s="18">
        <v>63</v>
      </c>
      <c r="H838" s="20">
        <v>12.3</v>
      </c>
      <c r="I838" s="24" t="str" cm="1">
        <f t="array" ref="I838">_xlfn.IFS(
   AND(F838&gt;=0,9, G838&gt;=85), "Excelente",
   AND(F838&gt;=0,8, G838&gt;=70), "Bueno",
   OR(F838&lt;0,6,  G838&lt;50),  "Alerta",
   TRUE,           "Revisar")</f>
        <v>Alerta</v>
      </c>
      <c r="J838" s="28">
        <f t="shared" si="12"/>
        <v>0</v>
      </c>
    </row>
    <row r="839" spans="1:10" ht="18" customHeight="1" x14ac:dyDescent="0.3">
      <c r="A839" s="25" t="s">
        <v>1727</v>
      </c>
      <c r="B839" s="8" t="s">
        <v>1728</v>
      </c>
      <c r="C839" s="25" t="s">
        <v>77</v>
      </c>
      <c r="D839" s="25" t="s">
        <v>114</v>
      </c>
      <c r="E839" s="9">
        <v>9900000</v>
      </c>
      <c r="F839" s="26">
        <v>0.92</v>
      </c>
      <c r="G839" s="25">
        <v>86</v>
      </c>
      <c r="H839" s="27">
        <v>1.1000000000000001</v>
      </c>
      <c r="I839" s="24" t="str" cm="1">
        <f t="array" ref="I839">_xlfn.IFS(
   AND(F839&gt;=0,9, G839&gt;=85), "Excelente",
   AND(F839&gt;=0,8, G839&gt;=70), "Bueno",
   OR(F839&lt;0,6,  G839&lt;50),  "Alerta",
   TRUE,           "Revisar")</f>
        <v>Excelente</v>
      </c>
      <c r="J839" s="28">
        <f t="shared" si="12"/>
        <v>990000</v>
      </c>
    </row>
    <row r="840" spans="1:10" ht="18" customHeight="1" x14ac:dyDescent="0.3">
      <c r="A840" s="18" t="s">
        <v>1729</v>
      </c>
      <c r="B840" s="5" t="s">
        <v>1730</v>
      </c>
      <c r="C840" s="18" t="s">
        <v>59</v>
      </c>
      <c r="D840" s="18" t="s">
        <v>114</v>
      </c>
      <c r="E840" s="6">
        <v>11800000</v>
      </c>
      <c r="F840" s="19">
        <v>0.71</v>
      </c>
      <c r="G840" s="18">
        <v>44</v>
      </c>
      <c r="H840" s="20">
        <v>19.899999999999999</v>
      </c>
      <c r="I840" s="24" t="str" cm="1">
        <f t="array" ref="I840">_xlfn.IFS(
   AND(F840&gt;=0,9, G840&gt;=85), "Excelente",
   AND(F840&gt;=0,8, G840&gt;=70), "Bueno",
   OR(F840&lt;0,6,  G840&lt;50),  "Alerta",
   TRUE,           "Revisar")</f>
        <v>Alerta</v>
      </c>
      <c r="J840" s="28">
        <f t="shared" si="12"/>
        <v>0</v>
      </c>
    </row>
    <row r="841" spans="1:10" ht="18" customHeight="1" x14ac:dyDescent="0.3">
      <c r="A841" s="25" t="s">
        <v>1731</v>
      </c>
      <c r="B841" s="8" t="s">
        <v>1732</v>
      </c>
      <c r="C841" s="25" t="s">
        <v>81</v>
      </c>
      <c r="D841" s="25" t="s">
        <v>78</v>
      </c>
      <c r="E841" s="9">
        <v>5400000</v>
      </c>
      <c r="F841" s="26">
        <v>0.93</v>
      </c>
      <c r="G841" s="25">
        <v>53</v>
      </c>
      <c r="H841" s="27">
        <v>16.7</v>
      </c>
      <c r="I841" s="24" t="str" cm="1">
        <f t="array" ref="I841">_xlfn.IFS(
   AND(F841&gt;=0,9, G841&gt;=85), "Excelente",
   AND(F841&gt;=0,8, G841&gt;=70), "Bueno",
   OR(F841&lt;0,6,  G841&lt;50),  "Alerta",
   TRUE,           "Revisar")</f>
        <v>Alerta</v>
      </c>
      <c r="J841" s="28">
        <f t="shared" si="12"/>
        <v>0</v>
      </c>
    </row>
    <row r="842" spans="1:10" ht="18" customHeight="1" x14ac:dyDescent="0.3">
      <c r="A842" s="18" t="s">
        <v>1733</v>
      </c>
      <c r="B842" s="5" t="s">
        <v>1734</v>
      </c>
      <c r="C842" s="18" t="s">
        <v>59</v>
      </c>
      <c r="D842" s="18" t="s">
        <v>60</v>
      </c>
      <c r="E842" s="6">
        <v>10200000</v>
      </c>
      <c r="F842" s="19">
        <v>1</v>
      </c>
      <c r="G842" s="18">
        <v>30</v>
      </c>
      <c r="H842" s="20">
        <v>10.5</v>
      </c>
      <c r="I842" s="24" t="str" cm="1">
        <f t="array" ref="I842">_xlfn.IFS(
   AND(F842&gt;=0,9, G842&gt;=85), "Excelente",
   AND(F842&gt;=0,8, G842&gt;=70), "Bueno",
   OR(F842&lt;0,6,  G842&lt;50),  "Alerta",
   TRUE,           "Revisar")</f>
        <v>Alerta</v>
      </c>
      <c r="J842" s="28">
        <f t="shared" si="12"/>
        <v>0</v>
      </c>
    </row>
    <row r="843" spans="1:10" ht="18" customHeight="1" x14ac:dyDescent="0.3">
      <c r="A843" s="25" t="s">
        <v>1735</v>
      </c>
      <c r="B843" s="8" t="s">
        <v>1736</v>
      </c>
      <c r="C843" s="25" t="s">
        <v>74</v>
      </c>
      <c r="D843" s="25" t="s">
        <v>60</v>
      </c>
      <c r="E843" s="9">
        <v>9100000</v>
      </c>
      <c r="F843" s="26">
        <v>0.82</v>
      </c>
      <c r="G843" s="25">
        <v>72</v>
      </c>
      <c r="H843" s="27">
        <v>0.5</v>
      </c>
      <c r="I843" s="24" t="str" cm="1">
        <f t="array" ref="I843">_xlfn.IFS(
   AND(F843&gt;=0,9, G843&gt;=85), "Excelente",
   AND(F843&gt;=0,8, G843&gt;=70), "Bueno",
   OR(F843&lt;0,6,  G843&lt;50),  "Alerta",
   TRUE,           "Revisar")</f>
        <v>Bueno</v>
      </c>
      <c r="J843" s="28">
        <f t="shared" si="12"/>
        <v>910000</v>
      </c>
    </row>
    <row r="844" spans="1:10" ht="18" customHeight="1" x14ac:dyDescent="0.3">
      <c r="A844" s="18" t="s">
        <v>1737</v>
      </c>
      <c r="B844" s="5" t="s">
        <v>1738</v>
      </c>
      <c r="C844" s="18" t="s">
        <v>91</v>
      </c>
      <c r="D844" s="18" t="s">
        <v>92</v>
      </c>
      <c r="E844" s="6">
        <v>3300000</v>
      </c>
      <c r="F844" s="19">
        <v>0.81</v>
      </c>
      <c r="G844" s="18">
        <v>87</v>
      </c>
      <c r="H844" s="20">
        <v>6.5</v>
      </c>
      <c r="I844" s="24" t="str" cm="1">
        <f t="array" ref="I844">_xlfn.IFS(
   AND(F844&gt;=0,9, G844&gt;=85), "Excelente",
   AND(F844&gt;=0,8, G844&gt;=70), "Bueno",
   OR(F844&lt;0,6,  G844&lt;50),  "Alerta",
   TRUE,           "Revisar")</f>
        <v>Excelente</v>
      </c>
      <c r="J844" s="28">
        <f t="shared" ref="J844:J907" si="13">IF(OR(I844="Excelente",I844="Bueno"),E844*0.1,0)</f>
        <v>330000</v>
      </c>
    </row>
    <row r="845" spans="1:10" ht="18" customHeight="1" x14ac:dyDescent="0.3">
      <c r="A845" s="25" t="s">
        <v>1739</v>
      </c>
      <c r="B845" s="8" t="s">
        <v>1740</v>
      </c>
      <c r="C845" s="25" t="s">
        <v>91</v>
      </c>
      <c r="D845" s="25" t="s">
        <v>78</v>
      </c>
      <c r="E845" s="9">
        <v>9800000</v>
      </c>
      <c r="F845" s="26">
        <v>0.97</v>
      </c>
      <c r="G845" s="25">
        <v>78</v>
      </c>
      <c r="H845" s="27">
        <v>1.9</v>
      </c>
      <c r="I845" s="24" t="str" cm="1">
        <f t="array" ref="I845">_xlfn.IFS(
   AND(F845&gt;=0,9, G845&gt;=85), "Excelente",
   AND(F845&gt;=0,8, G845&gt;=70), "Bueno",
   OR(F845&lt;0,6,  G845&lt;50),  "Alerta",
   TRUE,           "Revisar")</f>
        <v>Bueno</v>
      </c>
      <c r="J845" s="28">
        <f t="shared" si="13"/>
        <v>980000</v>
      </c>
    </row>
    <row r="846" spans="1:10" ht="18" customHeight="1" x14ac:dyDescent="0.3">
      <c r="A846" s="18" t="s">
        <v>1741</v>
      </c>
      <c r="B846" s="5" t="s">
        <v>1742</v>
      </c>
      <c r="C846" s="18" t="s">
        <v>63</v>
      </c>
      <c r="D846" s="18" t="s">
        <v>78</v>
      </c>
      <c r="E846" s="6">
        <v>3000000</v>
      </c>
      <c r="F846" s="19">
        <v>0.92</v>
      </c>
      <c r="G846" s="18">
        <v>50</v>
      </c>
      <c r="H846" s="20">
        <v>7.8</v>
      </c>
      <c r="I846" s="24" t="str" cm="1">
        <f t="array" ref="I846">_xlfn.IFS(
   AND(F846&gt;=0,9, G846&gt;=85), "Excelente",
   AND(F846&gt;=0,8, G846&gt;=70), "Bueno",
   OR(F846&lt;0,6,  G846&lt;50),  "Alerta",
   TRUE,           "Revisar")</f>
        <v>Alerta</v>
      </c>
      <c r="J846" s="28">
        <f t="shared" si="13"/>
        <v>0</v>
      </c>
    </row>
    <row r="847" spans="1:10" ht="18" customHeight="1" x14ac:dyDescent="0.3">
      <c r="A847" s="25" t="s">
        <v>1743</v>
      </c>
      <c r="B847" s="8" t="s">
        <v>1744</v>
      </c>
      <c r="C847" s="25" t="s">
        <v>67</v>
      </c>
      <c r="D847" s="25" t="s">
        <v>105</v>
      </c>
      <c r="E847" s="9">
        <v>8500000</v>
      </c>
      <c r="F847" s="26">
        <v>0.94</v>
      </c>
      <c r="G847" s="25">
        <v>90</v>
      </c>
      <c r="H847" s="27">
        <v>5.4</v>
      </c>
      <c r="I847" s="24" t="str" cm="1">
        <f t="array" ref="I847">_xlfn.IFS(
   AND(F847&gt;=0,9, G847&gt;=85), "Excelente",
   AND(F847&gt;=0,8, G847&gt;=70), "Bueno",
   OR(F847&lt;0,6,  G847&lt;50),  "Alerta",
   TRUE,           "Revisar")</f>
        <v>Excelente</v>
      </c>
      <c r="J847" s="28">
        <f t="shared" si="13"/>
        <v>850000</v>
      </c>
    </row>
    <row r="848" spans="1:10" ht="18" customHeight="1" x14ac:dyDescent="0.3">
      <c r="A848" s="18" t="s">
        <v>1745</v>
      </c>
      <c r="B848" s="5" t="s">
        <v>1746</v>
      </c>
      <c r="C848" s="18" t="s">
        <v>74</v>
      </c>
      <c r="D848" s="18" t="s">
        <v>68</v>
      </c>
      <c r="E848" s="6">
        <v>7500000</v>
      </c>
      <c r="F848" s="19">
        <v>0.79</v>
      </c>
      <c r="G848" s="18">
        <v>85</v>
      </c>
      <c r="H848" s="20">
        <v>12.6</v>
      </c>
      <c r="I848" s="24" t="str" cm="1">
        <f t="array" ref="I848">_xlfn.IFS(
   AND(F848&gt;=0,9, G848&gt;=85), "Excelente",
   AND(F848&gt;=0,8, G848&gt;=70), "Bueno",
   OR(F848&lt;0,6,  G848&lt;50),  "Alerta",
   TRUE,           "Revisar")</f>
        <v>Excelente</v>
      </c>
      <c r="J848" s="28">
        <f t="shared" si="13"/>
        <v>750000</v>
      </c>
    </row>
    <row r="849" spans="1:10" ht="18" customHeight="1" x14ac:dyDescent="0.3">
      <c r="A849" s="25" t="s">
        <v>1747</v>
      </c>
      <c r="B849" s="8" t="s">
        <v>1748</v>
      </c>
      <c r="C849" s="25" t="s">
        <v>81</v>
      </c>
      <c r="D849" s="25" t="s">
        <v>105</v>
      </c>
      <c r="E849" s="9">
        <v>11400000</v>
      </c>
      <c r="F849" s="26">
        <v>0.56999999999999995</v>
      </c>
      <c r="G849" s="25">
        <v>49</v>
      </c>
      <c r="H849" s="27">
        <v>18.600000000000001</v>
      </c>
      <c r="I849" s="24" t="str" cm="1">
        <f t="array" ref="I849">_xlfn.IFS(
   AND(F849&gt;=0,9, G849&gt;=85), "Excelente",
   AND(F849&gt;=0,8, G849&gt;=70), "Bueno",
   OR(F849&lt;0,6,  G849&lt;50),  "Alerta",
   TRUE,           "Revisar")</f>
        <v>Alerta</v>
      </c>
      <c r="J849" s="28">
        <f t="shared" si="13"/>
        <v>0</v>
      </c>
    </row>
    <row r="850" spans="1:10" ht="18" customHeight="1" x14ac:dyDescent="0.3">
      <c r="A850" s="18" t="s">
        <v>1749</v>
      </c>
      <c r="B850" s="5" t="s">
        <v>1750</v>
      </c>
      <c r="C850" s="18" t="s">
        <v>59</v>
      </c>
      <c r="D850" s="18" t="s">
        <v>105</v>
      </c>
      <c r="E850" s="6">
        <v>8300000</v>
      </c>
      <c r="F850" s="19">
        <v>0.49</v>
      </c>
      <c r="G850" s="18">
        <v>91</v>
      </c>
      <c r="H850" s="20">
        <v>6</v>
      </c>
      <c r="I850" s="24" t="str" cm="1">
        <f t="array" ref="I850">_xlfn.IFS(
   AND(F850&gt;=0,9, G850&gt;=85), "Excelente",
   AND(F850&gt;=0,8, G850&gt;=70), "Bueno",
   OR(F850&lt;0,6,  G850&lt;50),  "Alerta",
   TRUE,           "Revisar")</f>
        <v>Excelente</v>
      </c>
      <c r="J850" s="28">
        <f t="shared" si="13"/>
        <v>830000</v>
      </c>
    </row>
    <row r="851" spans="1:10" ht="18" customHeight="1" x14ac:dyDescent="0.3">
      <c r="A851" s="25" t="s">
        <v>1751</v>
      </c>
      <c r="B851" s="8" t="s">
        <v>1752</v>
      </c>
      <c r="C851" s="25" t="s">
        <v>91</v>
      </c>
      <c r="D851" s="25" t="s">
        <v>78</v>
      </c>
      <c r="E851" s="9">
        <v>3300000</v>
      </c>
      <c r="F851" s="26">
        <v>0.73</v>
      </c>
      <c r="G851" s="25">
        <v>95</v>
      </c>
      <c r="H851" s="27">
        <v>8.5</v>
      </c>
      <c r="I851" s="24" t="str" cm="1">
        <f t="array" ref="I851">_xlfn.IFS(
   AND(F851&gt;=0,9, G851&gt;=85), "Excelente",
   AND(F851&gt;=0,8, G851&gt;=70), "Bueno",
   OR(F851&lt;0,6,  G851&lt;50),  "Alerta",
   TRUE,           "Revisar")</f>
        <v>Excelente</v>
      </c>
      <c r="J851" s="28">
        <f t="shared" si="13"/>
        <v>330000</v>
      </c>
    </row>
    <row r="852" spans="1:10" ht="18" customHeight="1" x14ac:dyDescent="0.3">
      <c r="A852" s="18" t="s">
        <v>1753</v>
      </c>
      <c r="B852" s="5" t="s">
        <v>1754</v>
      </c>
      <c r="C852" s="18" t="s">
        <v>74</v>
      </c>
      <c r="D852" s="18" t="s">
        <v>64</v>
      </c>
      <c r="E852" s="6">
        <v>4200000</v>
      </c>
      <c r="F852" s="19">
        <v>0.86</v>
      </c>
      <c r="G852" s="18">
        <v>89</v>
      </c>
      <c r="H852" s="20">
        <v>3.6</v>
      </c>
      <c r="I852" s="24" t="str" cm="1">
        <f t="array" ref="I852">_xlfn.IFS(
   AND(F852&gt;=0,9, G852&gt;=85), "Excelente",
   AND(F852&gt;=0,8, G852&gt;=70), "Bueno",
   OR(F852&lt;0,6,  G852&lt;50),  "Alerta",
   TRUE,           "Revisar")</f>
        <v>Excelente</v>
      </c>
      <c r="J852" s="28">
        <f t="shared" si="13"/>
        <v>420000</v>
      </c>
    </row>
    <row r="853" spans="1:10" ht="18" customHeight="1" x14ac:dyDescent="0.3">
      <c r="A853" s="25" t="s">
        <v>1755</v>
      </c>
      <c r="B853" s="8" t="s">
        <v>1756</v>
      </c>
      <c r="C853" s="25" t="s">
        <v>74</v>
      </c>
      <c r="D853" s="25" t="s">
        <v>68</v>
      </c>
      <c r="E853" s="9">
        <v>11800000</v>
      </c>
      <c r="F853" s="26">
        <v>0.61</v>
      </c>
      <c r="G853" s="25">
        <v>88</v>
      </c>
      <c r="H853" s="27">
        <v>15.1</v>
      </c>
      <c r="I853" s="24" t="str" cm="1">
        <f t="array" ref="I853">_xlfn.IFS(
   AND(F853&gt;=0,9, G853&gt;=85), "Excelente",
   AND(F853&gt;=0,8, G853&gt;=70), "Bueno",
   OR(F853&lt;0,6,  G853&lt;50),  "Alerta",
   TRUE,           "Revisar")</f>
        <v>Excelente</v>
      </c>
      <c r="J853" s="28">
        <f t="shared" si="13"/>
        <v>1180000</v>
      </c>
    </row>
    <row r="854" spans="1:10" ht="18" customHeight="1" x14ac:dyDescent="0.3">
      <c r="A854" s="18" t="s">
        <v>1757</v>
      </c>
      <c r="B854" s="5" t="s">
        <v>1758</v>
      </c>
      <c r="C854" s="18" t="s">
        <v>71</v>
      </c>
      <c r="D854" s="18" t="s">
        <v>60</v>
      </c>
      <c r="E854" s="6">
        <v>5100000</v>
      </c>
      <c r="F854" s="19">
        <v>0.49</v>
      </c>
      <c r="G854" s="18">
        <v>63</v>
      </c>
      <c r="H854" s="20">
        <v>17.399999999999999</v>
      </c>
      <c r="I854" s="24" t="str" cm="1">
        <f t="array" ref="I854">_xlfn.IFS(
   AND(F854&gt;=0,9, G854&gt;=85), "Excelente",
   AND(F854&gt;=0,8, G854&gt;=70), "Bueno",
   OR(F854&lt;0,6,  G854&lt;50),  "Alerta",
   TRUE,           "Revisar")</f>
        <v>Alerta</v>
      </c>
      <c r="J854" s="28">
        <f t="shared" si="13"/>
        <v>0</v>
      </c>
    </row>
    <row r="855" spans="1:10" ht="18" customHeight="1" x14ac:dyDescent="0.3">
      <c r="A855" s="25" t="s">
        <v>1759</v>
      </c>
      <c r="B855" s="8" t="s">
        <v>1760</v>
      </c>
      <c r="C855" s="25" t="s">
        <v>77</v>
      </c>
      <c r="D855" s="25" t="s">
        <v>105</v>
      </c>
      <c r="E855" s="9">
        <v>11600000</v>
      </c>
      <c r="F855" s="26">
        <v>0.67</v>
      </c>
      <c r="G855" s="25">
        <v>92</v>
      </c>
      <c r="H855" s="27">
        <v>6.1</v>
      </c>
      <c r="I855" s="24" t="str" cm="1">
        <f t="array" ref="I855">_xlfn.IFS(
   AND(F855&gt;=0,9, G855&gt;=85), "Excelente",
   AND(F855&gt;=0,8, G855&gt;=70), "Bueno",
   OR(F855&lt;0,6,  G855&lt;50),  "Alerta",
   TRUE,           "Revisar")</f>
        <v>Excelente</v>
      </c>
      <c r="J855" s="28">
        <f t="shared" si="13"/>
        <v>1160000</v>
      </c>
    </row>
    <row r="856" spans="1:10" ht="18" customHeight="1" x14ac:dyDescent="0.3">
      <c r="A856" s="18" t="s">
        <v>1761</v>
      </c>
      <c r="B856" s="5" t="s">
        <v>1762</v>
      </c>
      <c r="C856" s="18" t="s">
        <v>71</v>
      </c>
      <c r="D856" s="18" t="s">
        <v>114</v>
      </c>
      <c r="E856" s="6">
        <v>2900000</v>
      </c>
      <c r="F856" s="19">
        <v>0.55000000000000004</v>
      </c>
      <c r="G856" s="18">
        <v>32</v>
      </c>
      <c r="H856" s="20">
        <v>13.9</v>
      </c>
      <c r="I856" s="24" t="str" cm="1">
        <f t="array" ref="I856">_xlfn.IFS(
   AND(F856&gt;=0,9, G856&gt;=85), "Excelente",
   AND(F856&gt;=0,8, G856&gt;=70), "Bueno",
   OR(F856&lt;0,6,  G856&lt;50),  "Alerta",
   TRUE,           "Revisar")</f>
        <v>Alerta</v>
      </c>
      <c r="J856" s="28">
        <f t="shared" si="13"/>
        <v>0</v>
      </c>
    </row>
    <row r="857" spans="1:10" ht="18" customHeight="1" x14ac:dyDescent="0.3">
      <c r="A857" s="25" t="s">
        <v>1763</v>
      </c>
      <c r="B857" s="8" t="s">
        <v>1764</v>
      </c>
      <c r="C857" s="25" t="s">
        <v>67</v>
      </c>
      <c r="D857" s="25" t="s">
        <v>78</v>
      </c>
      <c r="E857" s="9">
        <v>6600000</v>
      </c>
      <c r="F857" s="26">
        <v>0.87</v>
      </c>
      <c r="G857" s="25">
        <v>48</v>
      </c>
      <c r="H857" s="27">
        <v>9.5</v>
      </c>
      <c r="I857" s="24" t="str" cm="1">
        <f t="array" ref="I857">_xlfn.IFS(
   AND(F857&gt;=0,9, G857&gt;=85), "Excelente",
   AND(F857&gt;=0,8, G857&gt;=70), "Bueno",
   OR(F857&lt;0,6,  G857&lt;50),  "Alerta",
   TRUE,           "Revisar")</f>
        <v>Alerta</v>
      </c>
      <c r="J857" s="28">
        <f t="shared" si="13"/>
        <v>0</v>
      </c>
    </row>
    <row r="858" spans="1:10" ht="18" customHeight="1" x14ac:dyDescent="0.3">
      <c r="A858" s="18" t="s">
        <v>1765</v>
      </c>
      <c r="B858" s="5" t="s">
        <v>1766</v>
      </c>
      <c r="C858" s="18" t="s">
        <v>77</v>
      </c>
      <c r="D858" s="18" t="s">
        <v>105</v>
      </c>
      <c r="E858" s="6">
        <v>8800000</v>
      </c>
      <c r="F858" s="19">
        <v>0.46</v>
      </c>
      <c r="G858" s="18">
        <v>87</v>
      </c>
      <c r="H858" s="20">
        <v>11.7</v>
      </c>
      <c r="I858" s="24" t="str" cm="1">
        <f t="array" ref="I858">_xlfn.IFS(
   AND(F858&gt;=0,9, G858&gt;=85), "Excelente",
   AND(F858&gt;=0,8, G858&gt;=70), "Bueno",
   OR(F858&lt;0,6,  G858&lt;50),  "Alerta",
   TRUE,           "Revisar")</f>
        <v>Excelente</v>
      </c>
      <c r="J858" s="28">
        <f t="shared" si="13"/>
        <v>880000</v>
      </c>
    </row>
    <row r="859" spans="1:10" ht="18" customHeight="1" x14ac:dyDescent="0.3">
      <c r="A859" s="25" t="s">
        <v>1767</v>
      </c>
      <c r="B859" s="8" t="s">
        <v>1768</v>
      </c>
      <c r="C859" s="25" t="s">
        <v>63</v>
      </c>
      <c r="D859" s="25" t="s">
        <v>68</v>
      </c>
      <c r="E859" s="9">
        <v>9100000</v>
      </c>
      <c r="F859" s="26">
        <v>0.86</v>
      </c>
      <c r="G859" s="25">
        <v>100</v>
      </c>
      <c r="H859" s="27">
        <v>20</v>
      </c>
      <c r="I859" s="24" t="str" cm="1">
        <f t="array" ref="I859">_xlfn.IFS(
   AND(F859&gt;=0,9, G859&gt;=85), "Excelente",
   AND(F859&gt;=0,8, G859&gt;=70), "Bueno",
   OR(F859&lt;0,6,  G859&lt;50),  "Alerta",
   TRUE,           "Revisar")</f>
        <v>Excelente</v>
      </c>
      <c r="J859" s="28">
        <f t="shared" si="13"/>
        <v>910000</v>
      </c>
    </row>
    <row r="860" spans="1:10" ht="18" customHeight="1" x14ac:dyDescent="0.3">
      <c r="A860" s="18" t="s">
        <v>1769</v>
      </c>
      <c r="B860" s="5" t="s">
        <v>1770</v>
      </c>
      <c r="C860" s="18" t="s">
        <v>74</v>
      </c>
      <c r="D860" s="18" t="s">
        <v>88</v>
      </c>
      <c r="E860" s="6">
        <v>11000000</v>
      </c>
      <c r="F860" s="19">
        <v>0.68</v>
      </c>
      <c r="G860" s="18">
        <v>90</v>
      </c>
      <c r="H860" s="20">
        <v>2.2999999999999998</v>
      </c>
      <c r="I860" s="24" t="str" cm="1">
        <f t="array" ref="I860">_xlfn.IFS(
   AND(F860&gt;=0,9, G860&gt;=85), "Excelente",
   AND(F860&gt;=0,8, G860&gt;=70), "Bueno",
   OR(F860&lt;0,6,  G860&lt;50),  "Alerta",
   TRUE,           "Revisar")</f>
        <v>Excelente</v>
      </c>
      <c r="J860" s="28">
        <f t="shared" si="13"/>
        <v>1100000</v>
      </c>
    </row>
    <row r="861" spans="1:10" ht="18" customHeight="1" x14ac:dyDescent="0.3">
      <c r="A861" s="25" t="s">
        <v>1771</v>
      </c>
      <c r="B861" s="8" t="s">
        <v>1772</v>
      </c>
      <c r="C861" s="25" t="s">
        <v>81</v>
      </c>
      <c r="D861" s="25" t="s">
        <v>105</v>
      </c>
      <c r="E861" s="9">
        <v>11700000</v>
      </c>
      <c r="F861" s="26">
        <v>0.69</v>
      </c>
      <c r="G861" s="25">
        <v>50</v>
      </c>
      <c r="H861" s="27">
        <v>5.8</v>
      </c>
      <c r="I861" s="24" t="str" cm="1">
        <f t="array" ref="I861">_xlfn.IFS(
   AND(F861&gt;=0,9, G861&gt;=85), "Excelente",
   AND(F861&gt;=0,8, G861&gt;=70), "Bueno",
   OR(F861&lt;0,6,  G861&lt;50),  "Alerta",
   TRUE,           "Revisar")</f>
        <v>Alerta</v>
      </c>
      <c r="J861" s="28">
        <f t="shared" si="13"/>
        <v>0</v>
      </c>
    </row>
    <row r="862" spans="1:10" ht="18" customHeight="1" x14ac:dyDescent="0.3">
      <c r="A862" s="18" t="s">
        <v>1773</v>
      </c>
      <c r="B862" s="5" t="s">
        <v>1774</v>
      </c>
      <c r="C862" s="18" t="s">
        <v>67</v>
      </c>
      <c r="D862" s="18" t="s">
        <v>92</v>
      </c>
      <c r="E862" s="6">
        <v>10500000</v>
      </c>
      <c r="F862" s="19">
        <v>0.92</v>
      </c>
      <c r="G862" s="18">
        <v>89</v>
      </c>
      <c r="H862" s="20">
        <v>2.6</v>
      </c>
      <c r="I862" s="24" t="str" cm="1">
        <f t="array" ref="I862">_xlfn.IFS(
   AND(F862&gt;=0,9, G862&gt;=85), "Excelente",
   AND(F862&gt;=0,8, G862&gt;=70), "Bueno",
   OR(F862&lt;0,6,  G862&lt;50),  "Alerta",
   TRUE,           "Revisar")</f>
        <v>Excelente</v>
      </c>
      <c r="J862" s="28">
        <f t="shared" si="13"/>
        <v>1050000</v>
      </c>
    </row>
    <row r="863" spans="1:10" ht="18" customHeight="1" x14ac:dyDescent="0.3">
      <c r="A863" s="25" t="s">
        <v>1775</v>
      </c>
      <c r="B863" s="8" t="s">
        <v>1776</v>
      </c>
      <c r="C863" s="25" t="s">
        <v>63</v>
      </c>
      <c r="D863" s="25" t="s">
        <v>68</v>
      </c>
      <c r="E863" s="9">
        <v>11400000</v>
      </c>
      <c r="F863" s="26">
        <v>0.81</v>
      </c>
      <c r="G863" s="25">
        <v>76</v>
      </c>
      <c r="H863" s="27">
        <v>15.9</v>
      </c>
      <c r="I863" s="24" t="str" cm="1">
        <f t="array" ref="I863">_xlfn.IFS(
   AND(F863&gt;=0,9, G863&gt;=85), "Excelente",
   AND(F863&gt;=0,8, G863&gt;=70), "Bueno",
   OR(F863&lt;0,6,  G863&lt;50),  "Alerta",
   TRUE,           "Revisar")</f>
        <v>Bueno</v>
      </c>
      <c r="J863" s="28">
        <f t="shared" si="13"/>
        <v>1140000</v>
      </c>
    </row>
    <row r="864" spans="1:10" ht="18" customHeight="1" x14ac:dyDescent="0.3">
      <c r="A864" s="18" t="s">
        <v>1777</v>
      </c>
      <c r="B864" s="5" t="s">
        <v>1778</v>
      </c>
      <c r="C864" s="18" t="s">
        <v>67</v>
      </c>
      <c r="D864" s="18" t="s">
        <v>88</v>
      </c>
      <c r="E864" s="6">
        <v>11600000</v>
      </c>
      <c r="F864" s="19">
        <v>0.86</v>
      </c>
      <c r="G864" s="18">
        <v>91</v>
      </c>
      <c r="H864" s="20">
        <v>2.6</v>
      </c>
      <c r="I864" s="24" t="str" cm="1">
        <f t="array" ref="I864">_xlfn.IFS(
   AND(F864&gt;=0,9, G864&gt;=85), "Excelente",
   AND(F864&gt;=0,8, G864&gt;=70), "Bueno",
   OR(F864&lt;0,6,  G864&lt;50),  "Alerta",
   TRUE,           "Revisar")</f>
        <v>Excelente</v>
      </c>
      <c r="J864" s="28">
        <f t="shared" si="13"/>
        <v>1160000</v>
      </c>
    </row>
    <row r="865" spans="1:10" ht="18" customHeight="1" x14ac:dyDescent="0.3">
      <c r="A865" s="25" t="s">
        <v>1779</v>
      </c>
      <c r="B865" s="8" t="s">
        <v>1780</v>
      </c>
      <c r="C865" s="25" t="s">
        <v>91</v>
      </c>
      <c r="D865" s="25" t="s">
        <v>64</v>
      </c>
      <c r="E865" s="9">
        <v>7300000</v>
      </c>
      <c r="F865" s="26">
        <v>0.93</v>
      </c>
      <c r="G865" s="25">
        <v>75</v>
      </c>
      <c r="H865" s="27">
        <v>13.5</v>
      </c>
      <c r="I865" s="24" t="str" cm="1">
        <f t="array" ref="I865">_xlfn.IFS(
   AND(F865&gt;=0,9, G865&gt;=85), "Excelente",
   AND(F865&gt;=0,8, G865&gt;=70), "Bueno",
   OR(F865&lt;0,6,  G865&lt;50),  "Alerta",
   TRUE,           "Revisar")</f>
        <v>Bueno</v>
      </c>
      <c r="J865" s="28">
        <f t="shared" si="13"/>
        <v>730000</v>
      </c>
    </row>
    <row r="866" spans="1:10" ht="18" customHeight="1" x14ac:dyDescent="0.3">
      <c r="A866" s="18" t="s">
        <v>1781</v>
      </c>
      <c r="B866" s="5" t="s">
        <v>1782</v>
      </c>
      <c r="C866" s="18" t="s">
        <v>74</v>
      </c>
      <c r="D866" s="18" t="s">
        <v>92</v>
      </c>
      <c r="E866" s="6">
        <v>8300000</v>
      </c>
      <c r="F866" s="19">
        <v>0.51</v>
      </c>
      <c r="G866" s="18">
        <v>59</v>
      </c>
      <c r="H866" s="20">
        <v>2.4</v>
      </c>
      <c r="I866" s="24" t="str" cm="1">
        <f t="array" ref="I866">_xlfn.IFS(
   AND(F866&gt;=0,9, G866&gt;=85), "Excelente",
   AND(F866&gt;=0,8, G866&gt;=70), "Bueno",
   OR(F866&lt;0,6,  G866&lt;50),  "Alerta",
   TRUE,           "Revisar")</f>
        <v>Alerta</v>
      </c>
      <c r="J866" s="28">
        <f t="shared" si="13"/>
        <v>0</v>
      </c>
    </row>
    <row r="867" spans="1:10" ht="18" customHeight="1" x14ac:dyDescent="0.3">
      <c r="A867" s="25" t="s">
        <v>1783</v>
      </c>
      <c r="B867" s="8" t="s">
        <v>1784</v>
      </c>
      <c r="C867" s="25" t="s">
        <v>91</v>
      </c>
      <c r="D867" s="25" t="s">
        <v>88</v>
      </c>
      <c r="E867" s="9">
        <v>4700000</v>
      </c>
      <c r="F867" s="26">
        <v>0.92</v>
      </c>
      <c r="G867" s="25">
        <v>95</v>
      </c>
      <c r="H867" s="27">
        <v>12.1</v>
      </c>
      <c r="I867" s="24" t="str" cm="1">
        <f t="array" ref="I867">_xlfn.IFS(
   AND(F867&gt;=0,9, G867&gt;=85), "Excelente",
   AND(F867&gt;=0,8, G867&gt;=70), "Bueno",
   OR(F867&lt;0,6,  G867&lt;50),  "Alerta",
   TRUE,           "Revisar")</f>
        <v>Excelente</v>
      </c>
      <c r="J867" s="28">
        <f t="shared" si="13"/>
        <v>470000</v>
      </c>
    </row>
    <row r="868" spans="1:10" ht="18" customHeight="1" x14ac:dyDescent="0.3">
      <c r="A868" s="18" t="s">
        <v>1785</v>
      </c>
      <c r="B868" s="5" t="s">
        <v>1786</v>
      </c>
      <c r="C868" s="18" t="s">
        <v>91</v>
      </c>
      <c r="D868" s="18" t="s">
        <v>105</v>
      </c>
      <c r="E868" s="6">
        <v>8600000</v>
      </c>
      <c r="F868" s="19">
        <v>0.98</v>
      </c>
      <c r="G868" s="18">
        <v>44</v>
      </c>
      <c r="H868" s="20">
        <v>19.5</v>
      </c>
      <c r="I868" s="24" t="str" cm="1">
        <f t="array" ref="I868">_xlfn.IFS(
   AND(F868&gt;=0,9, G868&gt;=85), "Excelente",
   AND(F868&gt;=0,8, G868&gt;=70), "Bueno",
   OR(F868&lt;0,6,  G868&lt;50),  "Alerta",
   TRUE,           "Revisar")</f>
        <v>Alerta</v>
      </c>
      <c r="J868" s="28">
        <f t="shared" si="13"/>
        <v>0</v>
      </c>
    </row>
    <row r="869" spans="1:10" ht="18" customHeight="1" x14ac:dyDescent="0.3">
      <c r="A869" s="25" t="s">
        <v>1787</v>
      </c>
      <c r="B869" s="8" t="s">
        <v>1788</v>
      </c>
      <c r="C869" s="25" t="s">
        <v>77</v>
      </c>
      <c r="D869" s="25" t="s">
        <v>78</v>
      </c>
      <c r="E869" s="9">
        <v>4700000</v>
      </c>
      <c r="F869" s="26">
        <v>0.81</v>
      </c>
      <c r="G869" s="25">
        <v>72</v>
      </c>
      <c r="H869" s="27">
        <v>16.399999999999999</v>
      </c>
      <c r="I869" s="24" t="str" cm="1">
        <f t="array" ref="I869">_xlfn.IFS(
   AND(F869&gt;=0,9, G869&gt;=85), "Excelente",
   AND(F869&gt;=0,8, G869&gt;=70), "Bueno",
   OR(F869&lt;0,6,  G869&lt;50),  "Alerta",
   TRUE,           "Revisar")</f>
        <v>Bueno</v>
      </c>
      <c r="J869" s="28">
        <f t="shared" si="13"/>
        <v>470000</v>
      </c>
    </row>
    <row r="870" spans="1:10" ht="18" customHeight="1" x14ac:dyDescent="0.3">
      <c r="A870" s="18" t="s">
        <v>1789</v>
      </c>
      <c r="B870" s="5" t="s">
        <v>1790</v>
      </c>
      <c r="C870" s="18" t="s">
        <v>91</v>
      </c>
      <c r="D870" s="18" t="s">
        <v>60</v>
      </c>
      <c r="E870" s="6">
        <v>8800000</v>
      </c>
      <c r="F870" s="19">
        <v>0.64</v>
      </c>
      <c r="G870" s="18">
        <v>94</v>
      </c>
      <c r="H870" s="20">
        <v>3.4</v>
      </c>
      <c r="I870" s="24" t="str" cm="1">
        <f t="array" ref="I870">_xlfn.IFS(
   AND(F870&gt;=0,9, G870&gt;=85), "Excelente",
   AND(F870&gt;=0,8, G870&gt;=70), "Bueno",
   OR(F870&lt;0,6,  G870&lt;50),  "Alerta",
   TRUE,           "Revisar")</f>
        <v>Excelente</v>
      </c>
      <c r="J870" s="28">
        <f t="shared" si="13"/>
        <v>880000</v>
      </c>
    </row>
    <row r="871" spans="1:10" ht="18" customHeight="1" x14ac:dyDescent="0.3">
      <c r="A871" s="25" t="s">
        <v>1791</v>
      </c>
      <c r="B871" s="8" t="s">
        <v>1792</v>
      </c>
      <c r="C871" s="25" t="s">
        <v>63</v>
      </c>
      <c r="D871" s="25" t="s">
        <v>105</v>
      </c>
      <c r="E871" s="9">
        <v>9400000</v>
      </c>
      <c r="F871" s="26">
        <v>0.89</v>
      </c>
      <c r="G871" s="25">
        <v>76</v>
      </c>
      <c r="H871" s="27">
        <v>18.899999999999999</v>
      </c>
      <c r="I871" s="24" t="str" cm="1">
        <f t="array" ref="I871">_xlfn.IFS(
   AND(F871&gt;=0,9, G871&gt;=85), "Excelente",
   AND(F871&gt;=0,8, G871&gt;=70), "Bueno",
   OR(F871&lt;0,6,  G871&lt;50),  "Alerta",
   TRUE,           "Revisar")</f>
        <v>Bueno</v>
      </c>
      <c r="J871" s="28">
        <f t="shared" si="13"/>
        <v>940000</v>
      </c>
    </row>
    <row r="872" spans="1:10" ht="18" customHeight="1" x14ac:dyDescent="0.3">
      <c r="A872" s="18" t="s">
        <v>1793</v>
      </c>
      <c r="B872" s="5" t="s">
        <v>1794</v>
      </c>
      <c r="C872" s="18" t="s">
        <v>91</v>
      </c>
      <c r="D872" s="18" t="s">
        <v>78</v>
      </c>
      <c r="E872" s="6">
        <v>3800000</v>
      </c>
      <c r="F872" s="19">
        <v>0.64</v>
      </c>
      <c r="G872" s="18">
        <v>81</v>
      </c>
      <c r="H872" s="20">
        <v>19.600000000000001</v>
      </c>
      <c r="I872" s="24" t="str" cm="1">
        <f t="array" ref="I872">_xlfn.IFS(
   AND(F872&gt;=0,9, G872&gt;=85), "Excelente",
   AND(F872&gt;=0,8, G872&gt;=70), "Bueno",
   OR(F872&lt;0,6,  G872&lt;50),  "Alerta",
   TRUE,           "Revisar")</f>
        <v>Bueno</v>
      </c>
      <c r="J872" s="28">
        <f t="shared" si="13"/>
        <v>380000</v>
      </c>
    </row>
    <row r="873" spans="1:10" ht="18" customHeight="1" x14ac:dyDescent="0.3">
      <c r="A873" s="25" t="s">
        <v>1795</v>
      </c>
      <c r="B873" s="8" t="s">
        <v>1796</v>
      </c>
      <c r="C873" s="25" t="s">
        <v>91</v>
      </c>
      <c r="D873" s="25" t="s">
        <v>68</v>
      </c>
      <c r="E873" s="9">
        <v>3200000</v>
      </c>
      <c r="F873" s="26">
        <v>0.81</v>
      </c>
      <c r="G873" s="25">
        <v>49</v>
      </c>
      <c r="H873" s="27">
        <v>18.100000000000001</v>
      </c>
      <c r="I873" s="24" t="str" cm="1">
        <f t="array" ref="I873">_xlfn.IFS(
   AND(F873&gt;=0,9, G873&gt;=85), "Excelente",
   AND(F873&gt;=0,8, G873&gt;=70), "Bueno",
   OR(F873&lt;0,6,  G873&lt;50),  "Alerta",
   TRUE,           "Revisar")</f>
        <v>Alerta</v>
      </c>
      <c r="J873" s="28">
        <f t="shared" si="13"/>
        <v>0</v>
      </c>
    </row>
    <row r="874" spans="1:10" ht="18" customHeight="1" x14ac:dyDescent="0.3">
      <c r="A874" s="18" t="s">
        <v>1797</v>
      </c>
      <c r="B874" s="5" t="s">
        <v>1798</v>
      </c>
      <c r="C874" s="18" t="s">
        <v>81</v>
      </c>
      <c r="D874" s="18" t="s">
        <v>92</v>
      </c>
      <c r="E874" s="6">
        <v>2900000</v>
      </c>
      <c r="F874" s="19">
        <v>0.9</v>
      </c>
      <c r="G874" s="18">
        <v>97</v>
      </c>
      <c r="H874" s="20">
        <v>12.2</v>
      </c>
      <c r="I874" s="24" t="str" cm="1">
        <f t="array" ref="I874">_xlfn.IFS(
   AND(F874&gt;=0,9, G874&gt;=85), "Excelente",
   AND(F874&gt;=0,8, G874&gt;=70), "Bueno",
   OR(F874&lt;0,6,  G874&lt;50),  "Alerta",
   TRUE,           "Revisar")</f>
        <v>Excelente</v>
      </c>
      <c r="J874" s="28">
        <f t="shared" si="13"/>
        <v>290000</v>
      </c>
    </row>
    <row r="875" spans="1:10" ht="18" customHeight="1" x14ac:dyDescent="0.3">
      <c r="A875" s="25" t="s">
        <v>1799</v>
      </c>
      <c r="B875" s="8" t="s">
        <v>1800</v>
      </c>
      <c r="C875" s="25" t="s">
        <v>59</v>
      </c>
      <c r="D875" s="25" t="s">
        <v>92</v>
      </c>
      <c r="E875" s="9">
        <v>10900000</v>
      </c>
      <c r="F875" s="26">
        <v>0.54</v>
      </c>
      <c r="G875" s="25">
        <v>33</v>
      </c>
      <c r="H875" s="27">
        <v>17.8</v>
      </c>
      <c r="I875" s="24" t="str" cm="1">
        <f t="array" ref="I875">_xlfn.IFS(
   AND(F875&gt;=0,9, G875&gt;=85), "Excelente",
   AND(F875&gt;=0,8, G875&gt;=70), "Bueno",
   OR(F875&lt;0,6,  G875&lt;50),  "Alerta",
   TRUE,           "Revisar")</f>
        <v>Alerta</v>
      </c>
      <c r="J875" s="28">
        <f t="shared" si="13"/>
        <v>0</v>
      </c>
    </row>
    <row r="876" spans="1:10" ht="18" customHeight="1" x14ac:dyDescent="0.3">
      <c r="A876" s="18" t="s">
        <v>1801</v>
      </c>
      <c r="B876" s="5" t="s">
        <v>1802</v>
      </c>
      <c r="C876" s="18" t="s">
        <v>59</v>
      </c>
      <c r="D876" s="18" t="s">
        <v>60</v>
      </c>
      <c r="E876" s="6">
        <v>6600000</v>
      </c>
      <c r="F876" s="19">
        <v>0.85</v>
      </c>
      <c r="G876" s="18">
        <v>94</v>
      </c>
      <c r="H876" s="20">
        <v>2.2000000000000002</v>
      </c>
      <c r="I876" s="24" t="str" cm="1">
        <f t="array" ref="I876">_xlfn.IFS(
   AND(F876&gt;=0,9, G876&gt;=85), "Excelente",
   AND(F876&gt;=0,8, G876&gt;=70), "Bueno",
   OR(F876&lt;0,6,  G876&lt;50),  "Alerta",
   TRUE,           "Revisar")</f>
        <v>Excelente</v>
      </c>
      <c r="J876" s="28">
        <f t="shared" si="13"/>
        <v>660000</v>
      </c>
    </row>
    <row r="877" spans="1:10" ht="18" customHeight="1" x14ac:dyDescent="0.3">
      <c r="A877" s="25" t="s">
        <v>1803</v>
      </c>
      <c r="B877" s="8" t="s">
        <v>1804</v>
      </c>
      <c r="C877" s="25" t="s">
        <v>81</v>
      </c>
      <c r="D877" s="25" t="s">
        <v>78</v>
      </c>
      <c r="E877" s="9">
        <v>3400000</v>
      </c>
      <c r="F877" s="26">
        <v>0.87</v>
      </c>
      <c r="G877" s="25">
        <v>45</v>
      </c>
      <c r="H877" s="27">
        <v>9</v>
      </c>
      <c r="I877" s="24" t="str" cm="1">
        <f t="array" ref="I877">_xlfn.IFS(
   AND(F877&gt;=0,9, G877&gt;=85), "Excelente",
   AND(F877&gt;=0,8, G877&gt;=70), "Bueno",
   OR(F877&lt;0,6,  G877&lt;50),  "Alerta",
   TRUE,           "Revisar")</f>
        <v>Alerta</v>
      </c>
      <c r="J877" s="28">
        <f t="shared" si="13"/>
        <v>0</v>
      </c>
    </row>
    <row r="878" spans="1:10" ht="18" customHeight="1" x14ac:dyDescent="0.3">
      <c r="A878" s="18" t="s">
        <v>1805</v>
      </c>
      <c r="B878" s="5" t="s">
        <v>1806</v>
      </c>
      <c r="C878" s="18" t="s">
        <v>81</v>
      </c>
      <c r="D878" s="18" t="s">
        <v>60</v>
      </c>
      <c r="E878" s="6">
        <v>10200000</v>
      </c>
      <c r="F878" s="19">
        <v>0.76</v>
      </c>
      <c r="G878" s="18">
        <v>98</v>
      </c>
      <c r="H878" s="20">
        <v>16.899999999999999</v>
      </c>
      <c r="I878" s="24" t="str" cm="1">
        <f t="array" ref="I878">_xlfn.IFS(
   AND(F878&gt;=0,9, G878&gt;=85), "Excelente",
   AND(F878&gt;=0,8, G878&gt;=70), "Bueno",
   OR(F878&lt;0,6,  G878&lt;50),  "Alerta",
   TRUE,           "Revisar")</f>
        <v>Excelente</v>
      </c>
      <c r="J878" s="28">
        <f t="shared" si="13"/>
        <v>1020000</v>
      </c>
    </row>
    <row r="879" spans="1:10" ht="18" customHeight="1" x14ac:dyDescent="0.3">
      <c r="A879" s="25" t="s">
        <v>1807</v>
      </c>
      <c r="B879" s="8" t="s">
        <v>1808</v>
      </c>
      <c r="C879" s="25" t="s">
        <v>59</v>
      </c>
      <c r="D879" s="25" t="s">
        <v>88</v>
      </c>
      <c r="E879" s="9">
        <v>11300000</v>
      </c>
      <c r="F879" s="26">
        <v>0.88</v>
      </c>
      <c r="G879" s="25">
        <v>47</v>
      </c>
      <c r="H879" s="27">
        <v>14.3</v>
      </c>
      <c r="I879" s="24" t="str" cm="1">
        <f t="array" ref="I879">_xlfn.IFS(
   AND(F879&gt;=0,9, G879&gt;=85), "Excelente",
   AND(F879&gt;=0,8, G879&gt;=70), "Bueno",
   OR(F879&lt;0,6,  G879&lt;50),  "Alerta",
   TRUE,           "Revisar")</f>
        <v>Alerta</v>
      </c>
      <c r="J879" s="28">
        <f t="shared" si="13"/>
        <v>0</v>
      </c>
    </row>
    <row r="880" spans="1:10" ht="18" customHeight="1" x14ac:dyDescent="0.3">
      <c r="A880" s="18" t="s">
        <v>1809</v>
      </c>
      <c r="B880" s="5" t="s">
        <v>1810</v>
      </c>
      <c r="C880" s="18" t="s">
        <v>67</v>
      </c>
      <c r="D880" s="18" t="s">
        <v>78</v>
      </c>
      <c r="E880" s="6">
        <v>6900000</v>
      </c>
      <c r="F880" s="19">
        <v>0.73</v>
      </c>
      <c r="G880" s="18">
        <v>54</v>
      </c>
      <c r="H880" s="20">
        <v>16.5</v>
      </c>
      <c r="I880" s="24" t="str" cm="1">
        <f t="array" ref="I880">_xlfn.IFS(
   AND(F880&gt;=0,9, G880&gt;=85), "Excelente",
   AND(F880&gt;=0,8, G880&gt;=70), "Bueno",
   OR(F880&lt;0,6,  G880&lt;50),  "Alerta",
   TRUE,           "Revisar")</f>
        <v>Alerta</v>
      </c>
      <c r="J880" s="28">
        <f t="shared" si="13"/>
        <v>0</v>
      </c>
    </row>
    <row r="881" spans="1:10" ht="18" customHeight="1" x14ac:dyDescent="0.3">
      <c r="A881" s="25" t="s">
        <v>1811</v>
      </c>
      <c r="B881" s="8" t="s">
        <v>1812</v>
      </c>
      <c r="C881" s="25" t="s">
        <v>63</v>
      </c>
      <c r="D881" s="25" t="s">
        <v>68</v>
      </c>
      <c r="E881" s="9">
        <v>3800000</v>
      </c>
      <c r="F881" s="26">
        <v>0.5</v>
      </c>
      <c r="G881" s="25">
        <v>84</v>
      </c>
      <c r="H881" s="27">
        <v>17.8</v>
      </c>
      <c r="I881" s="24" t="str" cm="1">
        <f t="array" ref="I881">_xlfn.IFS(
   AND(F881&gt;=0,9, G881&gt;=85), "Excelente",
   AND(F881&gt;=0,8, G881&gt;=70), "Bueno",
   OR(F881&lt;0,6,  G881&lt;50),  "Alerta",
   TRUE,           "Revisar")</f>
        <v>Bueno</v>
      </c>
      <c r="J881" s="28">
        <f t="shared" si="13"/>
        <v>380000</v>
      </c>
    </row>
    <row r="882" spans="1:10" ht="18" customHeight="1" x14ac:dyDescent="0.3">
      <c r="A882" s="18" t="s">
        <v>1813</v>
      </c>
      <c r="B882" s="5" t="s">
        <v>1814</v>
      </c>
      <c r="C882" s="18" t="s">
        <v>77</v>
      </c>
      <c r="D882" s="18" t="s">
        <v>78</v>
      </c>
      <c r="E882" s="6">
        <v>7500000</v>
      </c>
      <c r="F882" s="19">
        <v>0.82</v>
      </c>
      <c r="G882" s="18">
        <v>81</v>
      </c>
      <c r="H882" s="20">
        <v>11.8</v>
      </c>
      <c r="I882" s="24" t="str" cm="1">
        <f t="array" ref="I882">_xlfn.IFS(
   AND(F882&gt;=0,9, G882&gt;=85), "Excelente",
   AND(F882&gt;=0,8, G882&gt;=70), "Bueno",
   OR(F882&lt;0,6,  G882&lt;50),  "Alerta",
   TRUE,           "Revisar")</f>
        <v>Bueno</v>
      </c>
      <c r="J882" s="28">
        <f t="shared" si="13"/>
        <v>750000</v>
      </c>
    </row>
    <row r="883" spans="1:10" ht="18" customHeight="1" x14ac:dyDescent="0.3">
      <c r="A883" s="25" t="s">
        <v>1815</v>
      </c>
      <c r="B883" s="8" t="s">
        <v>1816</v>
      </c>
      <c r="C883" s="25" t="s">
        <v>77</v>
      </c>
      <c r="D883" s="25" t="s">
        <v>68</v>
      </c>
      <c r="E883" s="9">
        <v>4800000</v>
      </c>
      <c r="F883" s="26">
        <v>0.53</v>
      </c>
      <c r="G883" s="25">
        <v>46</v>
      </c>
      <c r="H883" s="27">
        <v>9.6999999999999993</v>
      </c>
      <c r="I883" s="24" t="str" cm="1">
        <f t="array" ref="I883">_xlfn.IFS(
   AND(F883&gt;=0,9, G883&gt;=85), "Excelente",
   AND(F883&gt;=0,8, G883&gt;=70), "Bueno",
   OR(F883&lt;0,6,  G883&lt;50),  "Alerta",
   TRUE,           "Revisar")</f>
        <v>Alerta</v>
      </c>
      <c r="J883" s="28">
        <f t="shared" si="13"/>
        <v>0</v>
      </c>
    </row>
    <row r="884" spans="1:10" ht="18" customHeight="1" x14ac:dyDescent="0.3">
      <c r="A884" s="18" t="s">
        <v>1817</v>
      </c>
      <c r="B884" s="5" t="s">
        <v>1818</v>
      </c>
      <c r="C884" s="18" t="s">
        <v>74</v>
      </c>
      <c r="D884" s="18" t="s">
        <v>60</v>
      </c>
      <c r="E884" s="6">
        <v>8600000</v>
      </c>
      <c r="F884" s="19">
        <v>0.71</v>
      </c>
      <c r="G884" s="18">
        <v>50</v>
      </c>
      <c r="H884" s="20">
        <v>18.899999999999999</v>
      </c>
      <c r="I884" s="24" t="str" cm="1">
        <f t="array" ref="I884">_xlfn.IFS(
   AND(F884&gt;=0,9, G884&gt;=85), "Excelente",
   AND(F884&gt;=0,8, G884&gt;=70), "Bueno",
   OR(F884&lt;0,6,  G884&lt;50),  "Alerta",
   TRUE,           "Revisar")</f>
        <v>Alerta</v>
      </c>
      <c r="J884" s="28">
        <f t="shared" si="13"/>
        <v>0</v>
      </c>
    </row>
    <row r="885" spans="1:10" ht="18" customHeight="1" x14ac:dyDescent="0.3">
      <c r="A885" s="25" t="s">
        <v>1819</v>
      </c>
      <c r="B885" s="8" t="s">
        <v>1820</v>
      </c>
      <c r="C885" s="25" t="s">
        <v>74</v>
      </c>
      <c r="D885" s="25" t="s">
        <v>68</v>
      </c>
      <c r="E885" s="9">
        <v>4200000</v>
      </c>
      <c r="F885" s="26">
        <v>0.52</v>
      </c>
      <c r="G885" s="25">
        <v>67</v>
      </c>
      <c r="H885" s="27">
        <v>0.8</v>
      </c>
      <c r="I885" s="24" t="str" cm="1">
        <f t="array" ref="I885">_xlfn.IFS(
   AND(F885&gt;=0,9, G885&gt;=85), "Excelente",
   AND(F885&gt;=0,8, G885&gt;=70), "Bueno",
   OR(F885&lt;0,6,  G885&lt;50),  "Alerta",
   TRUE,           "Revisar")</f>
        <v>Alerta</v>
      </c>
      <c r="J885" s="28">
        <f t="shared" si="13"/>
        <v>0</v>
      </c>
    </row>
    <row r="886" spans="1:10" ht="18" customHeight="1" x14ac:dyDescent="0.3">
      <c r="A886" s="18" t="s">
        <v>1821</v>
      </c>
      <c r="B886" s="5" t="s">
        <v>1822</v>
      </c>
      <c r="C886" s="18" t="s">
        <v>71</v>
      </c>
      <c r="D886" s="18" t="s">
        <v>114</v>
      </c>
      <c r="E886" s="6">
        <v>10300000</v>
      </c>
      <c r="F886" s="19">
        <v>0.68</v>
      </c>
      <c r="G886" s="18">
        <v>69</v>
      </c>
      <c r="H886" s="20">
        <v>17.8</v>
      </c>
      <c r="I886" s="24" t="str" cm="1">
        <f t="array" ref="I886">_xlfn.IFS(
   AND(F886&gt;=0,9, G886&gt;=85), "Excelente",
   AND(F886&gt;=0,8, G886&gt;=70), "Bueno",
   OR(F886&lt;0,6,  G886&lt;50),  "Alerta",
   TRUE,           "Revisar")</f>
        <v>Alerta</v>
      </c>
      <c r="J886" s="28">
        <f t="shared" si="13"/>
        <v>0</v>
      </c>
    </row>
    <row r="887" spans="1:10" ht="18" customHeight="1" x14ac:dyDescent="0.3">
      <c r="A887" s="25" t="s">
        <v>1823</v>
      </c>
      <c r="B887" s="8" t="s">
        <v>1824</v>
      </c>
      <c r="C887" s="25" t="s">
        <v>77</v>
      </c>
      <c r="D887" s="25" t="s">
        <v>64</v>
      </c>
      <c r="E887" s="9">
        <v>4300000</v>
      </c>
      <c r="F887" s="26">
        <v>0.75</v>
      </c>
      <c r="G887" s="25">
        <v>38</v>
      </c>
      <c r="H887" s="27">
        <v>17.399999999999999</v>
      </c>
      <c r="I887" s="24" t="str" cm="1">
        <f t="array" ref="I887">_xlfn.IFS(
   AND(F887&gt;=0,9, G887&gt;=85), "Excelente",
   AND(F887&gt;=0,8, G887&gt;=70), "Bueno",
   OR(F887&lt;0,6,  G887&lt;50),  "Alerta",
   TRUE,           "Revisar")</f>
        <v>Alerta</v>
      </c>
      <c r="J887" s="28">
        <f t="shared" si="13"/>
        <v>0</v>
      </c>
    </row>
    <row r="888" spans="1:10" ht="18" customHeight="1" x14ac:dyDescent="0.3">
      <c r="A888" s="18" t="s">
        <v>1825</v>
      </c>
      <c r="B888" s="5" t="s">
        <v>1826</v>
      </c>
      <c r="C888" s="18" t="s">
        <v>63</v>
      </c>
      <c r="D888" s="18" t="s">
        <v>105</v>
      </c>
      <c r="E888" s="6">
        <v>12000000</v>
      </c>
      <c r="F888" s="19">
        <v>0.91</v>
      </c>
      <c r="G888" s="18">
        <v>46</v>
      </c>
      <c r="H888" s="20">
        <v>15.2</v>
      </c>
      <c r="I888" s="24" t="str" cm="1">
        <f t="array" ref="I888">_xlfn.IFS(
   AND(F888&gt;=0,9, G888&gt;=85), "Excelente",
   AND(F888&gt;=0,8, G888&gt;=70), "Bueno",
   OR(F888&lt;0,6,  G888&lt;50),  "Alerta",
   TRUE,           "Revisar")</f>
        <v>Alerta</v>
      </c>
      <c r="J888" s="28">
        <f t="shared" si="13"/>
        <v>0</v>
      </c>
    </row>
    <row r="889" spans="1:10" ht="18" customHeight="1" x14ac:dyDescent="0.3">
      <c r="A889" s="25" t="s">
        <v>1827</v>
      </c>
      <c r="B889" s="8" t="s">
        <v>1828</v>
      </c>
      <c r="C889" s="25" t="s">
        <v>77</v>
      </c>
      <c r="D889" s="25" t="s">
        <v>105</v>
      </c>
      <c r="E889" s="9">
        <v>4700000</v>
      </c>
      <c r="F889" s="26">
        <v>0.93</v>
      </c>
      <c r="G889" s="25">
        <v>71</v>
      </c>
      <c r="H889" s="27">
        <v>1.8</v>
      </c>
      <c r="I889" s="24" t="str" cm="1">
        <f t="array" ref="I889">_xlfn.IFS(
   AND(F889&gt;=0,9, G889&gt;=85), "Excelente",
   AND(F889&gt;=0,8, G889&gt;=70), "Bueno",
   OR(F889&lt;0,6,  G889&lt;50),  "Alerta",
   TRUE,           "Revisar")</f>
        <v>Bueno</v>
      </c>
      <c r="J889" s="28">
        <f t="shared" si="13"/>
        <v>470000</v>
      </c>
    </row>
    <row r="890" spans="1:10" ht="18" customHeight="1" x14ac:dyDescent="0.3">
      <c r="A890" s="18" t="s">
        <v>1829</v>
      </c>
      <c r="B890" s="5" t="s">
        <v>1830</v>
      </c>
      <c r="C890" s="18" t="s">
        <v>91</v>
      </c>
      <c r="D890" s="18" t="s">
        <v>105</v>
      </c>
      <c r="E890" s="6">
        <v>6300000</v>
      </c>
      <c r="F890" s="19">
        <v>0.81</v>
      </c>
      <c r="G890" s="18">
        <v>51</v>
      </c>
      <c r="H890" s="20">
        <v>14.1</v>
      </c>
      <c r="I890" s="24" t="str" cm="1">
        <f t="array" ref="I890">_xlfn.IFS(
   AND(F890&gt;=0,9, G890&gt;=85), "Excelente",
   AND(F890&gt;=0,8, G890&gt;=70), "Bueno",
   OR(F890&lt;0,6,  G890&lt;50),  "Alerta",
   TRUE,           "Revisar")</f>
        <v>Alerta</v>
      </c>
      <c r="J890" s="28">
        <f t="shared" si="13"/>
        <v>0</v>
      </c>
    </row>
    <row r="891" spans="1:10" ht="18" customHeight="1" x14ac:dyDescent="0.3">
      <c r="A891" s="25" t="s">
        <v>1831</v>
      </c>
      <c r="B891" s="8" t="s">
        <v>1832</v>
      </c>
      <c r="C891" s="25" t="s">
        <v>91</v>
      </c>
      <c r="D891" s="25" t="s">
        <v>60</v>
      </c>
      <c r="E891" s="9">
        <v>8800000</v>
      </c>
      <c r="F891" s="26">
        <v>0.73</v>
      </c>
      <c r="G891" s="25">
        <v>32</v>
      </c>
      <c r="H891" s="27">
        <v>2.4</v>
      </c>
      <c r="I891" s="24" t="str" cm="1">
        <f t="array" ref="I891">_xlfn.IFS(
   AND(F891&gt;=0,9, G891&gt;=85), "Excelente",
   AND(F891&gt;=0,8, G891&gt;=70), "Bueno",
   OR(F891&lt;0,6,  G891&lt;50),  "Alerta",
   TRUE,           "Revisar")</f>
        <v>Alerta</v>
      </c>
      <c r="J891" s="28">
        <f t="shared" si="13"/>
        <v>0</v>
      </c>
    </row>
    <row r="892" spans="1:10" ht="18" customHeight="1" x14ac:dyDescent="0.3">
      <c r="A892" s="18" t="s">
        <v>1833</v>
      </c>
      <c r="B892" s="5" t="s">
        <v>1834</v>
      </c>
      <c r="C892" s="18" t="s">
        <v>67</v>
      </c>
      <c r="D892" s="18" t="s">
        <v>60</v>
      </c>
      <c r="E892" s="6">
        <v>11800000</v>
      </c>
      <c r="F892" s="19">
        <v>0.91</v>
      </c>
      <c r="G892" s="18">
        <v>86</v>
      </c>
      <c r="H892" s="20">
        <v>1.7</v>
      </c>
      <c r="I892" s="24" t="str" cm="1">
        <f t="array" ref="I892">_xlfn.IFS(
   AND(F892&gt;=0,9, G892&gt;=85), "Excelente",
   AND(F892&gt;=0,8, G892&gt;=70), "Bueno",
   OR(F892&lt;0,6,  G892&lt;50),  "Alerta",
   TRUE,           "Revisar")</f>
        <v>Excelente</v>
      </c>
      <c r="J892" s="28">
        <f t="shared" si="13"/>
        <v>1180000</v>
      </c>
    </row>
    <row r="893" spans="1:10" ht="18" customHeight="1" x14ac:dyDescent="0.3">
      <c r="A893" s="25" t="s">
        <v>1835</v>
      </c>
      <c r="B893" s="8" t="s">
        <v>1836</v>
      </c>
      <c r="C893" s="25" t="s">
        <v>81</v>
      </c>
      <c r="D893" s="25" t="s">
        <v>68</v>
      </c>
      <c r="E893" s="9">
        <v>6000000</v>
      </c>
      <c r="F893" s="26">
        <v>0.5</v>
      </c>
      <c r="G893" s="25">
        <v>42</v>
      </c>
      <c r="H893" s="27">
        <v>10.8</v>
      </c>
      <c r="I893" s="24" t="str" cm="1">
        <f t="array" ref="I893">_xlfn.IFS(
   AND(F893&gt;=0,9, G893&gt;=85), "Excelente",
   AND(F893&gt;=0,8, G893&gt;=70), "Bueno",
   OR(F893&lt;0,6,  G893&lt;50),  "Alerta",
   TRUE,           "Revisar")</f>
        <v>Alerta</v>
      </c>
      <c r="J893" s="28">
        <f t="shared" si="13"/>
        <v>0</v>
      </c>
    </row>
    <row r="894" spans="1:10" ht="18" customHeight="1" x14ac:dyDescent="0.3">
      <c r="A894" s="18" t="s">
        <v>1837</v>
      </c>
      <c r="B894" s="5" t="s">
        <v>1838</v>
      </c>
      <c r="C894" s="18" t="s">
        <v>71</v>
      </c>
      <c r="D894" s="18" t="s">
        <v>88</v>
      </c>
      <c r="E894" s="6">
        <v>3900000</v>
      </c>
      <c r="F894" s="19">
        <v>0.53</v>
      </c>
      <c r="G894" s="18">
        <v>82</v>
      </c>
      <c r="H894" s="20">
        <v>13.6</v>
      </c>
      <c r="I894" s="24" t="str" cm="1">
        <f t="array" ref="I894">_xlfn.IFS(
   AND(F894&gt;=0,9, G894&gt;=85), "Excelente",
   AND(F894&gt;=0,8, G894&gt;=70), "Bueno",
   OR(F894&lt;0,6,  G894&lt;50),  "Alerta",
   TRUE,           "Revisar")</f>
        <v>Bueno</v>
      </c>
      <c r="J894" s="28">
        <f t="shared" si="13"/>
        <v>390000</v>
      </c>
    </row>
    <row r="895" spans="1:10" ht="18" customHeight="1" x14ac:dyDescent="0.3">
      <c r="A895" s="25" t="s">
        <v>1839</v>
      </c>
      <c r="B895" s="8" t="s">
        <v>1840</v>
      </c>
      <c r="C895" s="25" t="s">
        <v>81</v>
      </c>
      <c r="D895" s="25" t="s">
        <v>114</v>
      </c>
      <c r="E895" s="9">
        <v>3100000</v>
      </c>
      <c r="F895" s="26">
        <v>0.84</v>
      </c>
      <c r="G895" s="25">
        <v>68</v>
      </c>
      <c r="H895" s="27">
        <v>7.8</v>
      </c>
      <c r="I895" s="24" t="str" cm="1">
        <f t="array" ref="I895">_xlfn.IFS(
   AND(F895&gt;=0,9, G895&gt;=85), "Excelente",
   AND(F895&gt;=0,8, G895&gt;=70), "Bueno",
   OR(F895&lt;0,6,  G895&lt;50),  "Alerta",
   TRUE,           "Revisar")</f>
        <v>Alerta</v>
      </c>
      <c r="J895" s="28">
        <f t="shared" si="13"/>
        <v>0</v>
      </c>
    </row>
    <row r="896" spans="1:10" ht="18" customHeight="1" x14ac:dyDescent="0.3">
      <c r="A896" s="18" t="s">
        <v>1841</v>
      </c>
      <c r="B896" s="5" t="s">
        <v>1842</v>
      </c>
      <c r="C896" s="18" t="s">
        <v>81</v>
      </c>
      <c r="D896" s="18" t="s">
        <v>88</v>
      </c>
      <c r="E896" s="6">
        <v>7600000</v>
      </c>
      <c r="F896" s="19">
        <v>0.97</v>
      </c>
      <c r="G896" s="18">
        <v>45</v>
      </c>
      <c r="H896" s="20">
        <v>1</v>
      </c>
      <c r="I896" s="24" t="str" cm="1">
        <f t="array" ref="I896">_xlfn.IFS(
   AND(F896&gt;=0,9, G896&gt;=85), "Excelente",
   AND(F896&gt;=0,8, G896&gt;=70), "Bueno",
   OR(F896&lt;0,6,  G896&lt;50),  "Alerta",
   TRUE,           "Revisar")</f>
        <v>Alerta</v>
      </c>
      <c r="J896" s="28">
        <f t="shared" si="13"/>
        <v>0</v>
      </c>
    </row>
    <row r="897" spans="1:10" ht="18" customHeight="1" x14ac:dyDescent="0.3">
      <c r="A897" s="25" t="s">
        <v>1843</v>
      </c>
      <c r="B897" s="8" t="s">
        <v>1844</v>
      </c>
      <c r="C897" s="25" t="s">
        <v>67</v>
      </c>
      <c r="D897" s="25" t="s">
        <v>105</v>
      </c>
      <c r="E897" s="9">
        <v>9300000</v>
      </c>
      <c r="F897" s="26">
        <v>0.86</v>
      </c>
      <c r="G897" s="25">
        <v>79</v>
      </c>
      <c r="H897" s="27">
        <v>19</v>
      </c>
      <c r="I897" s="24" t="str" cm="1">
        <f t="array" ref="I897">_xlfn.IFS(
   AND(F897&gt;=0,9, G897&gt;=85), "Excelente",
   AND(F897&gt;=0,8, G897&gt;=70), "Bueno",
   OR(F897&lt;0,6,  G897&lt;50),  "Alerta",
   TRUE,           "Revisar")</f>
        <v>Bueno</v>
      </c>
      <c r="J897" s="28">
        <f t="shared" si="13"/>
        <v>930000</v>
      </c>
    </row>
    <row r="898" spans="1:10" ht="18" customHeight="1" x14ac:dyDescent="0.3">
      <c r="A898" s="18" t="s">
        <v>1845</v>
      </c>
      <c r="B898" s="5" t="s">
        <v>1846</v>
      </c>
      <c r="C898" s="18" t="s">
        <v>63</v>
      </c>
      <c r="D898" s="18" t="s">
        <v>78</v>
      </c>
      <c r="E898" s="6">
        <v>8900000</v>
      </c>
      <c r="F898" s="19">
        <v>0.47</v>
      </c>
      <c r="G898" s="18">
        <v>59</v>
      </c>
      <c r="H898" s="20">
        <v>18.3</v>
      </c>
      <c r="I898" s="24" t="str" cm="1">
        <f t="array" ref="I898">_xlfn.IFS(
   AND(F898&gt;=0,9, G898&gt;=85), "Excelente",
   AND(F898&gt;=0,8, G898&gt;=70), "Bueno",
   OR(F898&lt;0,6,  G898&lt;50),  "Alerta",
   TRUE,           "Revisar")</f>
        <v>Alerta</v>
      </c>
      <c r="J898" s="28">
        <f t="shared" si="13"/>
        <v>0</v>
      </c>
    </row>
    <row r="899" spans="1:10" ht="18" customHeight="1" x14ac:dyDescent="0.3">
      <c r="A899" s="25" t="s">
        <v>1847</v>
      </c>
      <c r="B899" s="8" t="s">
        <v>1848</v>
      </c>
      <c r="C899" s="25" t="s">
        <v>74</v>
      </c>
      <c r="D899" s="25" t="s">
        <v>60</v>
      </c>
      <c r="E899" s="9">
        <v>9900000</v>
      </c>
      <c r="F899" s="26">
        <v>0.81</v>
      </c>
      <c r="G899" s="25">
        <v>46</v>
      </c>
      <c r="H899" s="27">
        <v>6.1</v>
      </c>
      <c r="I899" s="24" t="str" cm="1">
        <f t="array" ref="I899">_xlfn.IFS(
   AND(F899&gt;=0,9, G899&gt;=85), "Excelente",
   AND(F899&gt;=0,8, G899&gt;=70), "Bueno",
   OR(F899&lt;0,6,  G899&lt;50),  "Alerta",
   TRUE,           "Revisar")</f>
        <v>Alerta</v>
      </c>
      <c r="J899" s="28">
        <f t="shared" si="13"/>
        <v>0</v>
      </c>
    </row>
    <row r="900" spans="1:10" ht="18" customHeight="1" x14ac:dyDescent="0.3">
      <c r="A900" s="18" t="s">
        <v>1849</v>
      </c>
      <c r="B900" s="5" t="s">
        <v>1850</v>
      </c>
      <c r="C900" s="18" t="s">
        <v>63</v>
      </c>
      <c r="D900" s="18" t="s">
        <v>92</v>
      </c>
      <c r="E900" s="6">
        <v>10800000</v>
      </c>
      <c r="F900" s="19">
        <v>0.56999999999999995</v>
      </c>
      <c r="G900" s="18">
        <v>95</v>
      </c>
      <c r="H900" s="20">
        <v>5.6</v>
      </c>
      <c r="I900" s="24" t="str" cm="1">
        <f t="array" ref="I900">_xlfn.IFS(
   AND(F900&gt;=0,9, G900&gt;=85), "Excelente",
   AND(F900&gt;=0,8, G900&gt;=70), "Bueno",
   OR(F900&lt;0,6,  G900&lt;50),  "Alerta",
   TRUE,           "Revisar")</f>
        <v>Excelente</v>
      </c>
      <c r="J900" s="28">
        <f t="shared" si="13"/>
        <v>1080000</v>
      </c>
    </row>
    <row r="901" spans="1:10" ht="18" customHeight="1" x14ac:dyDescent="0.3">
      <c r="A901" s="25" t="s">
        <v>1851</v>
      </c>
      <c r="B901" s="8" t="s">
        <v>1852</v>
      </c>
      <c r="C901" s="25" t="s">
        <v>71</v>
      </c>
      <c r="D901" s="25" t="s">
        <v>88</v>
      </c>
      <c r="E901" s="9">
        <v>8300000</v>
      </c>
      <c r="F901" s="26">
        <v>0.56999999999999995</v>
      </c>
      <c r="G901" s="25">
        <v>94</v>
      </c>
      <c r="H901" s="27">
        <v>19.100000000000001</v>
      </c>
      <c r="I901" s="24" t="str" cm="1">
        <f t="array" ref="I901">_xlfn.IFS(
   AND(F901&gt;=0,9, G901&gt;=85), "Excelente",
   AND(F901&gt;=0,8, G901&gt;=70), "Bueno",
   OR(F901&lt;0,6,  G901&lt;50),  "Alerta",
   TRUE,           "Revisar")</f>
        <v>Excelente</v>
      </c>
      <c r="J901" s="28">
        <f t="shared" si="13"/>
        <v>830000</v>
      </c>
    </row>
    <row r="902" spans="1:10" ht="18" customHeight="1" x14ac:dyDescent="0.3">
      <c r="A902" s="18" t="s">
        <v>1853</v>
      </c>
      <c r="B902" s="5" t="s">
        <v>1854</v>
      </c>
      <c r="C902" s="18" t="s">
        <v>81</v>
      </c>
      <c r="D902" s="18" t="s">
        <v>88</v>
      </c>
      <c r="E902" s="6">
        <v>11800000</v>
      </c>
      <c r="F902" s="19">
        <v>0.7</v>
      </c>
      <c r="G902" s="18">
        <v>61</v>
      </c>
      <c r="H902" s="20">
        <v>13.2</v>
      </c>
      <c r="I902" s="24" t="str" cm="1">
        <f t="array" ref="I902">_xlfn.IFS(
   AND(F902&gt;=0,9, G902&gt;=85), "Excelente",
   AND(F902&gt;=0,8, G902&gt;=70), "Bueno",
   OR(F902&lt;0,6,  G902&lt;50),  "Alerta",
   TRUE,           "Revisar")</f>
        <v>Alerta</v>
      </c>
      <c r="J902" s="28">
        <f t="shared" si="13"/>
        <v>0</v>
      </c>
    </row>
    <row r="903" spans="1:10" ht="18" customHeight="1" x14ac:dyDescent="0.3">
      <c r="A903" s="25" t="s">
        <v>1855</v>
      </c>
      <c r="B903" s="8" t="s">
        <v>1856</v>
      </c>
      <c r="C903" s="25" t="s">
        <v>71</v>
      </c>
      <c r="D903" s="25" t="s">
        <v>64</v>
      </c>
      <c r="E903" s="9">
        <v>10500000</v>
      </c>
      <c r="F903" s="26">
        <v>0.71</v>
      </c>
      <c r="G903" s="25">
        <v>31</v>
      </c>
      <c r="H903" s="27">
        <v>13.5</v>
      </c>
      <c r="I903" s="24" t="str" cm="1">
        <f t="array" ref="I903">_xlfn.IFS(
   AND(F903&gt;=0,9, G903&gt;=85), "Excelente",
   AND(F903&gt;=0,8, G903&gt;=70), "Bueno",
   OR(F903&lt;0,6,  G903&lt;50),  "Alerta",
   TRUE,           "Revisar")</f>
        <v>Alerta</v>
      </c>
      <c r="J903" s="28">
        <f t="shared" si="13"/>
        <v>0</v>
      </c>
    </row>
    <row r="904" spans="1:10" ht="18" customHeight="1" x14ac:dyDescent="0.3">
      <c r="A904" s="18" t="s">
        <v>1857</v>
      </c>
      <c r="B904" s="5" t="s">
        <v>1858</v>
      </c>
      <c r="C904" s="18" t="s">
        <v>77</v>
      </c>
      <c r="D904" s="18" t="s">
        <v>68</v>
      </c>
      <c r="E904" s="6">
        <v>9600000</v>
      </c>
      <c r="F904" s="19">
        <v>0.49</v>
      </c>
      <c r="G904" s="18">
        <v>39</v>
      </c>
      <c r="H904" s="20">
        <v>10.8</v>
      </c>
      <c r="I904" s="24" t="str" cm="1">
        <f t="array" ref="I904">_xlfn.IFS(
   AND(F904&gt;=0,9, G904&gt;=85), "Excelente",
   AND(F904&gt;=0,8, G904&gt;=70), "Bueno",
   OR(F904&lt;0,6,  G904&lt;50),  "Alerta",
   TRUE,           "Revisar")</f>
        <v>Alerta</v>
      </c>
      <c r="J904" s="28">
        <f t="shared" si="13"/>
        <v>0</v>
      </c>
    </row>
    <row r="905" spans="1:10" ht="18" customHeight="1" x14ac:dyDescent="0.3">
      <c r="A905" s="25" t="s">
        <v>1859</v>
      </c>
      <c r="B905" s="8" t="s">
        <v>1860</v>
      </c>
      <c r="C905" s="25" t="s">
        <v>63</v>
      </c>
      <c r="D905" s="25" t="s">
        <v>92</v>
      </c>
      <c r="E905" s="9">
        <v>7700000</v>
      </c>
      <c r="F905" s="26">
        <v>0.55000000000000004</v>
      </c>
      <c r="G905" s="25">
        <v>31</v>
      </c>
      <c r="H905" s="27">
        <v>2.5</v>
      </c>
      <c r="I905" s="24" t="str" cm="1">
        <f t="array" ref="I905">_xlfn.IFS(
   AND(F905&gt;=0,9, G905&gt;=85), "Excelente",
   AND(F905&gt;=0,8, G905&gt;=70), "Bueno",
   OR(F905&lt;0,6,  G905&lt;50),  "Alerta",
   TRUE,           "Revisar")</f>
        <v>Alerta</v>
      </c>
      <c r="J905" s="28">
        <f t="shared" si="13"/>
        <v>0</v>
      </c>
    </row>
    <row r="906" spans="1:10" ht="18" customHeight="1" x14ac:dyDescent="0.3">
      <c r="A906" s="18" t="s">
        <v>1861</v>
      </c>
      <c r="B906" s="5" t="s">
        <v>1862</v>
      </c>
      <c r="C906" s="18" t="s">
        <v>91</v>
      </c>
      <c r="D906" s="18" t="s">
        <v>88</v>
      </c>
      <c r="E906" s="6">
        <v>11500000</v>
      </c>
      <c r="F906" s="19">
        <v>0.96</v>
      </c>
      <c r="G906" s="18">
        <v>75</v>
      </c>
      <c r="H906" s="20">
        <v>3.8</v>
      </c>
      <c r="I906" s="24" t="str" cm="1">
        <f t="array" ref="I906">_xlfn.IFS(
   AND(F906&gt;=0,9, G906&gt;=85), "Excelente",
   AND(F906&gt;=0,8, G906&gt;=70), "Bueno",
   OR(F906&lt;0,6,  G906&lt;50),  "Alerta",
   TRUE,           "Revisar")</f>
        <v>Bueno</v>
      </c>
      <c r="J906" s="28">
        <f t="shared" si="13"/>
        <v>1150000</v>
      </c>
    </row>
    <row r="907" spans="1:10" ht="18" customHeight="1" x14ac:dyDescent="0.3">
      <c r="A907" s="25" t="s">
        <v>1863</v>
      </c>
      <c r="B907" s="8" t="s">
        <v>1864</v>
      </c>
      <c r="C907" s="25" t="s">
        <v>67</v>
      </c>
      <c r="D907" s="25" t="s">
        <v>64</v>
      </c>
      <c r="E907" s="9">
        <v>5300000</v>
      </c>
      <c r="F907" s="26">
        <v>0.99</v>
      </c>
      <c r="G907" s="25">
        <v>80</v>
      </c>
      <c r="H907" s="27">
        <v>2.2000000000000002</v>
      </c>
      <c r="I907" s="24" t="str" cm="1">
        <f t="array" ref="I907">_xlfn.IFS(
   AND(F907&gt;=0,9, G907&gt;=85), "Excelente",
   AND(F907&gt;=0,8, G907&gt;=70), "Bueno",
   OR(F907&lt;0,6,  G907&lt;50),  "Alerta",
   TRUE,           "Revisar")</f>
        <v>Bueno</v>
      </c>
      <c r="J907" s="28">
        <f t="shared" si="13"/>
        <v>530000</v>
      </c>
    </row>
    <row r="908" spans="1:10" ht="18" customHeight="1" x14ac:dyDescent="0.3">
      <c r="A908" s="18" t="s">
        <v>1865</v>
      </c>
      <c r="B908" s="5" t="s">
        <v>1866</v>
      </c>
      <c r="C908" s="18" t="s">
        <v>77</v>
      </c>
      <c r="D908" s="18" t="s">
        <v>114</v>
      </c>
      <c r="E908" s="6">
        <v>9800000</v>
      </c>
      <c r="F908" s="19">
        <v>0.56000000000000005</v>
      </c>
      <c r="G908" s="18">
        <v>52</v>
      </c>
      <c r="H908" s="20">
        <v>1.3</v>
      </c>
      <c r="I908" s="24" t="str" cm="1">
        <f t="array" ref="I908">_xlfn.IFS(
   AND(F908&gt;=0,9, G908&gt;=85), "Excelente",
   AND(F908&gt;=0,8, G908&gt;=70), "Bueno",
   OR(F908&lt;0,6,  G908&lt;50),  "Alerta",
   TRUE,           "Revisar")</f>
        <v>Alerta</v>
      </c>
      <c r="J908" s="28">
        <f t="shared" ref="J908:J971" si="14">IF(OR(I908="Excelente",I908="Bueno"),E908*0.1,0)</f>
        <v>0</v>
      </c>
    </row>
    <row r="909" spans="1:10" ht="18" customHeight="1" x14ac:dyDescent="0.3">
      <c r="A909" s="25" t="s">
        <v>1867</v>
      </c>
      <c r="B909" s="8" t="s">
        <v>1868</v>
      </c>
      <c r="C909" s="25" t="s">
        <v>59</v>
      </c>
      <c r="D909" s="25" t="s">
        <v>60</v>
      </c>
      <c r="E909" s="9">
        <v>9400000</v>
      </c>
      <c r="F909" s="26">
        <v>0.85</v>
      </c>
      <c r="G909" s="25">
        <v>65</v>
      </c>
      <c r="H909" s="27">
        <v>3.8</v>
      </c>
      <c r="I909" s="24" t="str" cm="1">
        <f t="array" ref="I909">_xlfn.IFS(
   AND(F909&gt;=0,9, G909&gt;=85), "Excelente",
   AND(F909&gt;=0,8, G909&gt;=70), "Bueno",
   OR(F909&lt;0,6,  G909&lt;50),  "Alerta",
   TRUE,           "Revisar")</f>
        <v>Alerta</v>
      </c>
      <c r="J909" s="28">
        <f t="shared" si="14"/>
        <v>0</v>
      </c>
    </row>
    <row r="910" spans="1:10" ht="18" customHeight="1" x14ac:dyDescent="0.3">
      <c r="A910" s="18" t="s">
        <v>1869</v>
      </c>
      <c r="B910" s="5" t="s">
        <v>1870</v>
      </c>
      <c r="C910" s="18" t="s">
        <v>77</v>
      </c>
      <c r="D910" s="18" t="s">
        <v>64</v>
      </c>
      <c r="E910" s="6">
        <v>8200000</v>
      </c>
      <c r="F910" s="19">
        <v>0.8</v>
      </c>
      <c r="G910" s="18">
        <v>36</v>
      </c>
      <c r="H910" s="20">
        <v>17.100000000000001</v>
      </c>
      <c r="I910" s="24" t="str" cm="1">
        <f t="array" ref="I910">_xlfn.IFS(
   AND(F910&gt;=0,9, G910&gt;=85), "Excelente",
   AND(F910&gt;=0,8, G910&gt;=70), "Bueno",
   OR(F910&lt;0,6,  G910&lt;50),  "Alerta",
   TRUE,           "Revisar")</f>
        <v>Alerta</v>
      </c>
      <c r="J910" s="28">
        <f t="shared" si="14"/>
        <v>0</v>
      </c>
    </row>
    <row r="911" spans="1:10" ht="18" customHeight="1" x14ac:dyDescent="0.3">
      <c r="A911" s="25" t="s">
        <v>1871</v>
      </c>
      <c r="B911" s="8" t="s">
        <v>1872</v>
      </c>
      <c r="C911" s="25" t="s">
        <v>63</v>
      </c>
      <c r="D911" s="25" t="s">
        <v>105</v>
      </c>
      <c r="E911" s="9">
        <v>6800000</v>
      </c>
      <c r="F911" s="26">
        <v>0.45</v>
      </c>
      <c r="G911" s="25">
        <v>54</v>
      </c>
      <c r="H911" s="27">
        <v>6.7</v>
      </c>
      <c r="I911" s="24" t="str" cm="1">
        <f t="array" ref="I911">_xlfn.IFS(
   AND(F911&gt;=0,9, G911&gt;=85), "Excelente",
   AND(F911&gt;=0,8, G911&gt;=70), "Bueno",
   OR(F911&lt;0,6,  G911&lt;50),  "Alerta",
   TRUE,           "Revisar")</f>
        <v>Alerta</v>
      </c>
      <c r="J911" s="28">
        <f t="shared" si="14"/>
        <v>0</v>
      </c>
    </row>
    <row r="912" spans="1:10" ht="18" customHeight="1" x14ac:dyDescent="0.3">
      <c r="A912" s="18" t="s">
        <v>1873</v>
      </c>
      <c r="B912" s="5" t="s">
        <v>1874</v>
      </c>
      <c r="C912" s="18" t="s">
        <v>67</v>
      </c>
      <c r="D912" s="18" t="s">
        <v>68</v>
      </c>
      <c r="E912" s="6">
        <v>3700000</v>
      </c>
      <c r="F912" s="19">
        <v>0.95</v>
      </c>
      <c r="G912" s="18">
        <v>55</v>
      </c>
      <c r="H912" s="20">
        <v>3.3</v>
      </c>
      <c r="I912" s="24" t="str" cm="1">
        <f t="array" ref="I912">_xlfn.IFS(
   AND(F912&gt;=0,9, G912&gt;=85), "Excelente",
   AND(F912&gt;=0,8, G912&gt;=70), "Bueno",
   OR(F912&lt;0,6,  G912&lt;50),  "Alerta",
   TRUE,           "Revisar")</f>
        <v>Alerta</v>
      </c>
      <c r="J912" s="28">
        <f t="shared" si="14"/>
        <v>0</v>
      </c>
    </row>
    <row r="913" spans="1:10" ht="18" customHeight="1" x14ac:dyDescent="0.3">
      <c r="A913" s="25" t="s">
        <v>1875</v>
      </c>
      <c r="B913" s="8" t="s">
        <v>1876</v>
      </c>
      <c r="C913" s="25" t="s">
        <v>77</v>
      </c>
      <c r="D913" s="25" t="s">
        <v>68</v>
      </c>
      <c r="E913" s="9">
        <v>3100000</v>
      </c>
      <c r="F913" s="26">
        <v>0.78</v>
      </c>
      <c r="G913" s="25">
        <v>72</v>
      </c>
      <c r="H913" s="27">
        <v>16.8</v>
      </c>
      <c r="I913" s="24" t="str" cm="1">
        <f t="array" ref="I913">_xlfn.IFS(
   AND(F913&gt;=0,9, G913&gt;=85), "Excelente",
   AND(F913&gt;=0,8, G913&gt;=70), "Bueno",
   OR(F913&lt;0,6,  G913&lt;50),  "Alerta",
   TRUE,           "Revisar")</f>
        <v>Bueno</v>
      </c>
      <c r="J913" s="28">
        <f t="shared" si="14"/>
        <v>310000</v>
      </c>
    </row>
    <row r="914" spans="1:10" ht="18" customHeight="1" x14ac:dyDescent="0.3">
      <c r="A914" s="18" t="s">
        <v>1877</v>
      </c>
      <c r="B914" s="5" t="s">
        <v>1878</v>
      </c>
      <c r="C914" s="18" t="s">
        <v>91</v>
      </c>
      <c r="D914" s="18" t="s">
        <v>92</v>
      </c>
      <c r="E914" s="6">
        <v>9400000</v>
      </c>
      <c r="F914" s="19">
        <v>0.89</v>
      </c>
      <c r="G914" s="18">
        <v>39</v>
      </c>
      <c r="H914" s="20">
        <v>15.5</v>
      </c>
      <c r="I914" s="24" t="str" cm="1">
        <f t="array" ref="I914">_xlfn.IFS(
   AND(F914&gt;=0,9, G914&gt;=85), "Excelente",
   AND(F914&gt;=0,8, G914&gt;=70), "Bueno",
   OR(F914&lt;0,6,  G914&lt;50),  "Alerta",
   TRUE,           "Revisar")</f>
        <v>Alerta</v>
      </c>
      <c r="J914" s="28">
        <f t="shared" si="14"/>
        <v>0</v>
      </c>
    </row>
    <row r="915" spans="1:10" ht="18" customHeight="1" x14ac:dyDescent="0.3">
      <c r="A915" s="25" t="s">
        <v>1879</v>
      </c>
      <c r="B915" s="8" t="s">
        <v>1880</v>
      </c>
      <c r="C915" s="25" t="s">
        <v>74</v>
      </c>
      <c r="D915" s="25" t="s">
        <v>105</v>
      </c>
      <c r="E915" s="9">
        <v>10200000</v>
      </c>
      <c r="F915" s="26">
        <v>0.52</v>
      </c>
      <c r="G915" s="25">
        <v>37</v>
      </c>
      <c r="H915" s="27">
        <v>18.3</v>
      </c>
      <c r="I915" s="24" t="str" cm="1">
        <f t="array" ref="I915">_xlfn.IFS(
   AND(F915&gt;=0,9, G915&gt;=85), "Excelente",
   AND(F915&gt;=0,8, G915&gt;=70), "Bueno",
   OR(F915&lt;0,6,  G915&lt;50),  "Alerta",
   TRUE,           "Revisar")</f>
        <v>Alerta</v>
      </c>
      <c r="J915" s="28">
        <f t="shared" si="14"/>
        <v>0</v>
      </c>
    </row>
    <row r="916" spans="1:10" ht="18" customHeight="1" x14ac:dyDescent="0.3">
      <c r="A916" s="18" t="s">
        <v>1881</v>
      </c>
      <c r="B916" s="5" t="s">
        <v>1882</v>
      </c>
      <c r="C916" s="18" t="s">
        <v>77</v>
      </c>
      <c r="D916" s="18" t="s">
        <v>64</v>
      </c>
      <c r="E916" s="6">
        <v>6600000</v>
      </c>
      <c r="F916" s="19">
        <v>0.79</v>
      </c>
      <c r="G916" s="18">
        <v>85</v>
      </c>
      <c r="H916" s="20">
        <v>1.3</v>
      </c>
      <c r="I916" s="24" t="str" cm="1">
        <f t="array" ref="I916">_xlfn.IFS(
   AND(F916&gt;=0,9, G916&gt;=85), "Excelente",
   AND(F916&gt;=0,8, G916&gt;=70), "Bueno",
   OR(F916&lt;0,6,  G916&lt;50),  "Alerta",
   TRUE,           "Revisar")</f>
        <v>Excelente</v>
      </c>
      <c r="J916" s="28">
        <f t="shared" si="14"/>
        <v>660000</v>
      </c>
    </row>
    <row r="917" spans="1:10" ht="18" customHeight="1" x14ac:dyDescent="0.3">
      <c r="A917" s="25" t="s">
        <v>1883</v>
      </c>
      <c r="B917" s="8" t="s">
        <v>1884</v>
      </c>
      <c r="C917" s="25" t="s">
        <v>74</v>
      </c>
      <c r="D917" s="25" t="s">
        <v>68</v>
      </c>
      <c r="E917" s="9">
        <v>5700000</v>
      </c>
      <c r="F917" s="26">
        <v>0.93</v>
      </c>
      <c r="G917" s="25">
        <v>31</v>
      </c>
      <c r="H917" s="27">
        <v>9.1</v>
      </c>
      <c r="I917" s="24" t="str" cm="1">
        <f t="array" ref="I917">_xlfn.IFS(
   AND(F917&gt;=0,9, G917&gt;=85), "Excelente",
   AND(F917&gt;=0,8, G917&gt;=70), "Bueno",
   OR(F917&lt;0,6,  G917&lt;50),  "Alerta",
   TRUE,           "Revisar")</f>
        <v>Alerta</v>
      </c>
      <c r="J917" s="28">
        <f t="shared" si="14"/>
        <v>0</v>
      </c>
    </row>
    <row r="918" spans="1:10" ht="18" customHeight="1" x14ac:dyDescent="0.3">
      <c r="A918" s="18" t="s">
        <v>1885</v>
      </c>
      <c r="B918" s="5" t="s">
        <v>1886</v>
      </c>
      <c r="C918" s="18" t="s">
        <v>81</v>
      </c>
      <c r="D918" s="18" t="s">
        <v>60</v>
      </c>
      <c r="E918" s="6">
        <v>4100000</v>
      </c>
      <c r="F918" s="19">
        <v>0.51</v>
      </c>
      <c r="G918" s="18">
        <v>38</v>
      </c>
      <c r="H918" s="20">
        <v>11.9</v>
      </c>
      <c r="I918" s="24" t="str" cm="1">
        <f t="array" ref="I918">_xlfn.IFS(
   AND(F918&gt;=0,9, G918&gt;=85), "Excelente",
   AND(F918&gt;=0,8, G918&gt;=70), "Bueno",
   OR(F918&lt;0,6,  G918&lt;50),  "Alerta",
   TRUE,           "Revisar")</f>
        <v>Alerta</v>
      </c>
      <c r="J918" s="28">
        <f t="shared" si="14"/>
        <v>0</v>
      </c>
    </row>
    <row r="919" spans="1:10" ht="18" customHeight="1" x14ac:dyDescent="0.3">
      <c r="A919" s="25" t="s">
        <v>1887</v>
      </c>
      <c r="B919" s="8" t="s">
        <v>1888</v>
      </c>
      <c r="C919" s="25" t="s">
        <v>91</v>
      </c>
      <c r="D919" s="25" t="s">
        <v>64</v>
      </c>
      <c r="E919" s="9">
        <v>4400000</v>
      </c>
      <c r="F919" s="26">
        <v>0.62</v>
      </c>
      <c r="G919" s="25">
        <v>85</v>
      </c>
      <c r="H919" s="27">
        <v>10.3</v>
      </c>
      <c r="I919" s="24" t="str" cm="1">
        <f t="array" ref="I919">_xlfn.IFS(
   AND(F919&gt;=0,9, G919&gt;=85), "Excelente",
   AND(F919&gt;=0,8, G919&gt;=70), "Bueno",
   OR(F919&lt;0,6,  G919&lt;50),  "Alerta",
   TRUE,           "Revisar")</f>
        <v>Excelente</v>
      </c>
      <c r="J919" s="28">
        <f t="shared" si="14"/>
        <v>440000</v>
      </c>
    </row>
    <row r="920" spans="1:10" ht="18" customHeight="1" x14ac:dyDescent="0.3">
      <c r="A920" s="18" t="s">
        <v>1889</v>
      </c>
      <c r="B920" s="5" t="s">
        <v>1890</v>
      </c>
      <c r="C920" s="18" t="s">
        <v>71</v>
      </c>
      <c r="D920" s="18" t="s">
        <v>114</v>
      </c>
      <c r="E920" s="6">
        <v>8800000</v>
      </c>
      <c r="F920" s="19">
        <v>0.62</v>
      </c>
      <c r="G920" s="18">
        <v>73</v>
      </c>
      <c r="H920" s="20">
        <v>5.8</v>
      </c>
      <c r="I920" s="24" t="str" cm="1">
        <f t="array" ref="I920">_xlfn.IFS(
   AND(F920&gt;=0,9, G920&gt;=85), "Excelente",
   AND(F920&gt;=0,8, G920&gt;=70), "Bueno",
   OR(F920&lt;0,6,  G920&lt;50),  "Alerta",
   TRUE,           "Revisar")</f>
        <v>Bueno</v>
      </c>
      <c r="J920" s="28">
        <f t="shared" si="14"/>
        <v>880000</v>
      </c>
    </row>
    <row r="921" spans="1:10" ht="18" customHeight="1" x14ac:dyDescent="0.3">
      <c r="A921" s="25" t="s">
        <v>1891</v>
      </c>
      <c r="B921" s="8" t="s">
        <v>1892</v>
      </c>
      <c r="C921" s="25" t="s">
        <v>74</v>
      </c>
      <c r="D921" s="25" t="s">
        <v>92</v>
      </c>
      <c r="E921" s="9">
        <v>5200000</v>
      </c>
      <c r="F921" s="26">
        <v>0.82</v>
      </c>
      <c r="G921" s="25">
        <v>89</v>
      </c>
      <c r="H921" s="27">
        <v>12</v>
      </c>
      <c r="I921" s="24" t="str" cm="1">
        <f t="array" ref="I921">_xlfn.IFS(
   AND(F921&gt;=0,9, G921&gt;=85), "Excelente",
   AND(F921&gt;=0,8, G921&gt;=70), "Bueno",
   OR(F921&lt;0,6,  G921&lt;50),  "Alerta",
   TRUE,           "Revisar")</f>
        <v>Excelente</v>
      </c>
      <c r="J921" s="28">
        <f t="shared" si="14"/>
        <v>520000</v>
      </c>
    </row>
    <row r="922" spans="1:10" ht="18" customHeight="1" x14ac:dyDescent="0.3">
      <c r="A922" s="18" t="s">
        <v>1893</v>
      </c>
      <c r="B922" s="5" t="s">
        <v>1894</v>
      </c>
      <c r="C922" s="18" t="s">
        <v>81</v>
      </c>
      <c r="D922" s="18" t="s">
        <v>88</v>
      </c>
      <c r="E922" s="6">
        <v>8100000</v>
      </c>
      <c r="F922" s="19">
        <v>0.63</v>
      </c>
      <c r="G922" s="18">
        <v>43</v>
      </c>
      <c r="H922" s="20">
        <v>9.1</v>
      </c>
      <c r="I922" s="24" t="str" cm="1">
        <f t="array" ref="I922">_xlfn.IFS(
   AND(F922&gt;=0,9, G922&gt;=85), "Excelente",
   AND(F922&gt;=0,8, G922&gt;=70), "Bueno",
   OR(F922&lt;0,6,  G922&lt;50),  "Alerta",
   TRUE,           "Revisar")</f>
        <v>Alerta</v>
      </c>
      <c r="J922" s="28">
        <f t="shared" si="14"/>
        <v>0</v>
      </c>
    </row>
    <row r="923" spans="1:10" ht="18" customHeight="1" x14ac:dyDescent="0.3">
      <c r="A923" s="25" t="s">
        <v>1895</v>
      </c>
      <c r="B923" s="8" t="s">
        <v>1896</v>
      </c>
      <c r="C923" s="25" t="s">
        <v>67</v>
      </c>
      <c r="D923" s="25" t="s">
        <v>105</v>
      </c>
      <c r="E923" s="9">
        <v>10700000</v>
      </c>
      <c r="F923" s="26">
        <v>0.56999999999999995</v>
      </c>
      <c r="G923" s="25">
        <v>91</v>
      </c>
      <c r="H923" s="27">
        <v>14.7</v>
      </c>
      <c r="I923" s="24" t="str" cm="1">
        <f t="array" ref="I923">_xlfn.IFS(
   AND(F923&gt;=0,9, G923&gt;=85), "Excelente",
   AND(F923&gt;=0,8, G923&gt;=70), "Bueno",
   OR(F923&lt;0,6,  G923&lt;50),  "Alerta",
   TRUE,           "Revisar")</f>
        <v>Excelente</v>
      </c>
      <c r="J923" s="28">
        <f t="shared" si="14"/>
        <v>1070000</v>
      </c>
    </row>
    <row r="924" spans="1:10" ht="18" customHeight="1" x14ac:dyDescent="0.3">
      <c r="A924" s="18" t="s">
        <v>1897</v>
      </c>
      <c r="B924" s="5" t="s">
        <v>1898</v>
      </c>
      <c r="C924" s="18" t="s">
        <v>81</v>
      </c>
      <c r="D924" s="18" t="s">
        <v>64</v>
      </c>
      <c r="E924" s="6">
        <v>9900000</v>
      </c>
      <c r="F924" s="19">
        <v>0.51</v>
      </c>
      <c r="G924" s="18">
        <v>67</v>
      </c>
      <c r="H924" s="20">
        <v>8.8000000000000007</v>
      </c>
      <c r="I924" s="24" t="str" cm="1">
        <f t="array" ref="I924">_xlfn.IFS(
   AND(F924&gt;=0,9, G924&gt;=85), "Excelente",
   AND(F924&gt;=0,8, G924&gt;=70), "Bueno",
   OR(F924&lt;0,6,  G924&lt;50),  "Alerta",
   TRUE,           "Revisar")</f>
        <v>Alerta</v>
      </c>
      <c r="J924" s="28">
        <f t="shared" si="14"/>
        <v>0</v>
      </c>
    </row>
    <row r="925" spans="1:10" ht="18" customHeight="1" x14ac:dyDescent="0.3">
      <c r="A925" s="25" t="s">
        <v>1899</v>
      </c>
      <c r="B925" s="8" t="s">
        <v>1900</v>
      </c>
      <c r="C925" s="25" t="s">
        <v>81</v>
      </c>
      <c r="D925" s="25" t="s">
        <v>64</v>
      </c>
      <c r="E925" s="9">
        <v>3100000</v>
      </c>
      <c r="F925" s="26">
        <v>0.56000000000000005</v>
      </c>
      <c r="G925" s="25">
        <v>66</v>
      </c>
      <c r="H925" s="27">
        <v>3.5</v>
      </c>
      <c r="I925" s="24" t="str" cm="1">
        <f t="array" ref="I925">_xlfn.IFS(
   AND(F925&gt;=0,9, G925&gt;=85), "Excelente",
   AND(F925&gt;=0,8, G925&gt;=70), "Bueno",
   OR(F925&lt;0,6,  G925&lt;50),  "Alerta",
   TRUE,           "Revisar")</f>
        <v>Alerta</v>
      </c>
      <c r="J925" s="28">
        <f t="shared" si="14"/>
        <v>0</v>
      </c>
    </row>
    <row r="926" spans="1:10" ht="18" customHeight="1" x14ac:dyDescent="0.3">
      <c r="A926" s="18" t="s">
        <v>1901</v>
      </c>
      <c r="B926" s="5" t="s">
        <v>1902</v>
      </c>
      <c r="C926" s="18" t="s">
        <v>77</v>
      </c>
      <c r="D926" s="18" t="s">
        <v>60</v>
      </c>
      <c r="E926" s="6">
        <v>7500000</v>
      </c>
      <c r="F926" s="19">
        <v>0.9</v>
      </c>
      <c r="G926" s="18">
        <v>51</v>
      </c>
      <c r="H926" s="20">
        <v>18.8</v>
      </c>
      <c r="I926" s="24" t="str" cm="1">
        <f t="array" ref="I926">_xlfn.IFS(
   AND(F926&gt;=0,9, G926&gt;=85), "Excelente",
   AND(F926&gt;=0,8, G926&gt;=70), "Bueno",
   OR(F926&lt;0,6,  G926&lt;50),  "Alerta",
   TRUE,           "Revisar")</f>
        <v>Alerta</v>
      </c>
      <c r="J926" s="28">
        <f t="shared" si="14"/>
        <v>0</v>
      </c>
    </row>
    <row r="927" spans="1:10" ht="18" customHeight="1" x14ac:dyDescent="0.3">
      <c r="A927" s="25" t="s">
        <v>1903</v>
      </c>
      <c r="B927" s="8" t="s">
        <v>1904</v>
      </c>
      <c r="C927" s="25" t="s">
        <v>71</v>
      </c>
      <c r="D927" s="25" t="s">
        <v>60</v>
      </c>
      <c r="E927" s="9">
        <v>5200000</v>
      </c>
      <c r="F927" s="26">
        <v>0.74</v>
      </c>
      <c r="G927" s="25">
        <v>77</v>
      </c>
      <c r="H927" s="27">
        <v>6.4</v>
      </c>
      <c r="I927" s="24" t="str" cm="1">
        <f t="array" ref="I927">_xlfn.IFS(
   AND(F927&gt;=0,9, G927&gt;=85), "Excelente",
   AND(F927&gt;=0,8, G927&gt;=70), "Bueno",
   OR(F927&lt;0,6,  G927&lt;50),  "Alerta",
   TRUE,           "Revisar")</f>
        <v>Bueno</v>
      </c>
      <c r="J927" s="28">
        <f t="shared" si="14"/>
        <v>520000</v>
      </c>
    </row>
    <row r="928" spans="1:10" ht="18" customHeight="1" x14ac:dyDescent="0.3">
      <c r="A928" s="18" t="s">
        <v>1905</v>
      </c>
      <c r="B928" s="5" t="s">
        <v>1906</v>
      </c>
      <c r="C928" s="18" t="s">
        <v>67</v>
      </c>
      <c r="D928" s="18" t="s">
        <v>64</v>
      </c>
      <c r="E928" s="6">
        <v>10600000</v>
      </c>
      <c r="F928" s="19">
        <v>0.77</v>
      </c>
      <c r="G928" s="18">
        <v>98</v>
      </c>
      <c r="H928" s="20">
        <v>5.9</v>
      </c>
      <c r="I928" s="24" t="str" cm="1">
        <f t="array" ref="I928">_xlfn.IFS(
   AND(F928&gt;=0,9, G928&gt;=85), "Excelente",
   AND(F928&gt;=0,8, G928&gt;=70), "Bueno",
   OR(F928&lt;0,6,  G928&lt;50),  "Alerta",
   TRUE,           "Revisar")</f>
        <v>Excelente</v>
      </c>
      <c r="J928" s="28">
        <f t="shared" si="14"/>
        <v>1060000</v>
      </c>
    </row>
    <row r="929" spans="1:10" ht="18" customHeight="1" x14ac:dyDescent="0.3">
      <c r="A929" s="25" t="s">
        <v>1907</v>
      </c>
      <c r="B929" s="8" t="s">
        <v>1908</v>
      </c>
      <c r="C929" s="25" t="s">
        <v>67</v>
      </c>
      <c r="D929" s="25" t="s">
        <v>64</v>
      </c>
      <c r="E929" s="9">
        <v>10800000</v>
      </c>
      <c r="F929" s="26">
        <v>0.89</v>
      </c>
      <c r="G929" s="25">
        <v>46</v>
      </c>
      <c r="H929" s="27">
        <v>17</v>
      </c>
      <c r="I929" s="24" t="str" cm="1">
        <f t="array" ref="I929">_xlfn.IFS(
   AND(F929&gt;=0,9, G929&gt;=85), "Excelente",
   AND(F929&gt;=0,8, G929&gt;=70), "Bueno",
   OR(F929&lt;0,6,  G929&lt;50),  "Alerta",
   TRUE,           "Revisar")</f>
        <v>Alerta</v>
      </c>
      <c r="J929" s="28">
        <f t="shared" si="14"/>
        <v>0</v>
      </c>
    </row>
    <row r="930" spans="1:10" ht="18" customHeight="1" x14ac:dyDescent="0.3">
      <c r="A930" s="18" t="s">
        <v>1909</v>
      </c>
      <c r="B930" s="5" t="s">
        <v>1910</v>
      </c>
      <c r="C930" s="18" t="s">
        <v>77</v>
      </c>
      <c r="D930" s="18" t="s">
        <v>78</v>
      </c>
      <c r="E930" s="6">
        <v>4900000</v>
      </c>
      <c r="F930" s="19">
        <v>0.73</v>
      </c>
      <c r="G930" s="18">
        <v>95</v>
      </c>
      <c r="H930" s="20">
        <v>7.5</v>
      </c>
      <c r="I930" s="24" t="str" cm="1">
        <f t="array" ref="I930">_xlfn.IFS(
   AND(F930&gt;=0,9, G930&gt;=85), "Excelente",
   AND(F930&gt;=0,8, G930&gt;=70), "Bueno",
   OR(F930&lt;0,6,  G930&lt;50),  "Alerta",
   TRUE,           "Revisar")</f>
        <v>Excelente</v>
      </c>
      <c r="J930" s="28">
        <f t="shared" si="14"/>
        <v>490000</v>
      </c>
    </row>
    <row r="931" spans="1:10" ht="18" customHeight="1" x14ac:dyDescent="0.3">
      <c r="A931" s="25" t="s">
        <v>1911</v>
      </c>
      <c r="B931" s="8" t="s">
        <v>1912</v>
      </c>
      <c r="C931" s="25" t="s">
        <v>71</v>
      </c>
      <c r="D931" s="25" t="s">
        <v>92</v>
      </c>
      <c r="E931" s="9">
        <v>6000000</v>
      </c>
      <c r="F931" s="26">
        <v>0.75</v>
      </c>
      <c r="G931" s="25">
        <v>47</v>
      </c>
      <c r="H931" s="27">
        <v>15</v>
      </c>
      <c r="I931" s="24" t="str" cm="1">
        <f t="array" ref="I931">_xlfn.IFS(
   AND(F931&gt;=0,9, G931&gt;=85), "Excelente",
   AND(F931&gt;=0,8, G931&gt;=70), "Bueno",
   OR(F931&lt;0,6,  G931&lt;50),  "Alerta",
   TRUE,           "Revisar")</f>
        <v>Alerta</v>
      </c>
      <c r="J931" s="28">
        <f t="shared" si="14"/>
        <v>0</v>
      </c>
    </row>
    <row r="932" spans="1:10" ht="18" customHeight="1" x14ac:dyDescent="0.3">
      <c r="A932" s="18" t="s">
        <v>1913</v>
      </c>
      <c r="B932" s="5" t="s">
        <v>1914</v>
      </c>
      <c r="C932" s="18" t="s">
        <v>91</v>
      </c>
      <c r="D932" s="18" t="s">
        <v>105</v>
      </c>
      <c r="E932" s="6">
        <v>9300000</v>
      </c>
      <c r="F932" s="19">
        <v>0.79</v>
      </c>
      <c r="G932" s="18">
        <v>84</v>
      </c>
      <c r="H932" s="20">
        <v>9</v>
      </c>
      <c r="I932" s="24" t="str" cm="1">
        <f t="array" ref="I932">_xlfn.IFS(
   AND(F932&gt;=0,9, G932&gt;=85), "Excelente",
   AND(F932&gt;=0,8, G932&gt;=70), "Bueno",
   OR(F932&lt;0,6,  G932&lt;50),  "Alerta",
   TRUE,           "Revisar")</f>
        <v>Bueno</v>
      </c>
      <c r="J932" s="28">
        <f t="shared" si="14"/>
        <v>930000</v>
      </c>
    </row>
    <row r="933" spans="1:10" ht="18" customHeight="1" x14ac:dyDescent="0.3">
      <c r="A933" s="25" t="s">
        <v>1915</v>
      </c>
      <c r="B933" s="8" t="s">
        <v>1916</v>
      </c>
      <c r="C933" s="25" t="s">
        <v>74</v>
      </c>
      <c r="D933" s="25" t="s">
        <v>92</v>
      </c>
      <c r="E933" s="9">
        <v>3800000</v>
      </c>
      <c r="F933" s="26">
        <v>0.61</v>
      </c>
      <c r="G933" s="25">
        <v>94</v>
      </c>
      <c r="H933" s="27">
        <v>10.3</v>
      </c>
      <c r="I933" s="24" t="str" cm="1">
        <f t="array" ref="I933">_xlfn.IFS(
   AND(F933&gt;=0,9, G933&gt;=85), "Excelente",
   AND(F933&gt;=0,8, G933&gt;=70), "Bueno",
   OR(F933&lt;0,6,  G933&lt;50),  "Alerta",
   TRUE,           "Revisar")</f>
        <v>Excelente</v>
      </c>
      <c r="J933" s="28">
        <f t="shared" si="14"/>
        <v>380000</v>
      </c>
    </row>
    <row r="934" spans="1:10" ht="18" customHeight="1" x14ac:dyDescent="0.3">
      <c r="A934" s="18" t="s">
        <v>1917</v>
      </c>
      <c r="B934" s="5" t="s">
        <v>1918</v>
      </c>
      <c r="C934" s="18" t="s">
        <v>81</v>
      </c>
      <c r="D934" s="18" t="s">
        <v>88</v>
      </c>
      <c r="E934" s="6">
        <v>6600000</v>
      </c>
      <c r="F934" s="19">
        <v>0.86</v>
      </c>
      <c r="G934" s="18">
        <v>65</v>
      </c>
      <c r="H934" s="20">
        <v>3.8</v>
      </c>
      <c r="I934" s="24" t="str" cm="1">
        <f t="array" ref="I934">_xlfn.IFS(
   AND(F934&gt;=0,9, G934&gt;=85), "Excelente",
   AND(F934&gt;=0,8, G934&gt;=70), "Bueno",
   OR(F934&lt;0,6,  G934&lt;50),  "Alerta",
   TRUE,           "Revisar")</f>
        <v>Alerta</v>
      </c>
      <c r="J934" s="28">
        <f t="shared" si="14"/>
        <v>0</v>
      </c>
    </row>
    <row r="935" spans="1:10" ht="18" customHeight="1" x14ac:dyDescent="0.3">
      <c r="A935" s="25" t="s">
        <v>1919</v>
      </c>
      <c r="B935" s="8" t="s">
        <v>1920</v>
      </c>
      <c r="C935" s="25" t="s">
        <v>81</v>
      </c>
      <c r="D935" s="25" t="s">
        <v>68</v>
      </c>
      <c r="E935" s="9">
        <v>7900000</v>
      </c>
      <c r="F935" s="26">
        <v>0.9</v>
      </c>
      <c r="G935" s="25">
        <v>31</v>
      </c>
      <c r="H935" s="27">
        <v>9.4</v>
      </c>
      <c r="I935" s="24" t="str" cm="1">
        <f t="array" ref="I935">_xlfn.IFS(
   AND(F935&gt;=0,9, G935&gt;=85), "Excelente",
   AND(F935&gt;=0,8, G935&gt;=70), "Bueno",
   OR(F935&lt;0,6,  G935&lt;50),  "Alerta",
   TRUE,           "Revisar")</f>
        <v>Alerta</v>
      </c>
      <c r="J935" s="28">
        <f t="shared" si="14"/>
        <v>0</v>
      </c>
    </row>
    <row r="936" spans="1:10" ht="18" customHeight="1" x14ac:dyDescent="0.3">
      <c r="A936" s="18" t="s">
        <v>1921</v>
      </c>
      <c r="B936" s="5" t="s">
        <v>1922</v>
      </c>
      <c r="C936" s="18" t="s">
        <v>77</v>
      </c>
      <c r="D936" s="18" t="s">
        <v>105</v>
      </c>
      <c r="E936" s="6">
        <v>7100000</v>
      </c>
      <c r="F936" s="19">
        <v>0.89</v>
      </c>
      <c r="G936" s="18">
        <v>70</v>
      </c>
      <c r="H936" s="20">
        <v>16.899999999999999</v>
      </c>
      <c r="I936" s="24" t="str" cm="1">
        <f t="array" ref="I936">_xlfn.IFS(
   AND(F936&gt;=0,9, G936&gt;=85), "Excelente",
   AND(F936&gt;=0,8, G936&gt;=70), "Bueno",
   OR(F936&lt;0,6,  G936&lt;50),  "Alerta",
   TRUE,           "Revisar")</f>
        <v>Bueno</v>
      </c>
      <c r="J936" s="28">
        <f t="shared" si="14"/>
        <v>710000</v>
      </c>
    </row>
    <row r="937" spans="1:10" ht="18" customHeight="1" x14ac:dyDescent="0.3">
      <c r="A937" s="25" t="s">
        <v>1923</v>
      </c>
      <c r="B937" s="8" t="s">
        <v>1924</v>
      </c>
      <c r="C937" s="25" t="s">
        <v>63</v>
      </c>
      <c r="D937" s="25" t="s">
        <v>60</v>
      </c>
      <c r="E937" s="9">
        <v>8400000</v>
      </c>
      <c r="F937" s="26">
        <v>0.7</v>
      </c>
      <c r="G937" s="25">
        <v>33</v>
      </c>
      <c r="H937" s="27">
        <v>7.5</v>
      </c>
      <c r="I937" s="24" t="str" cm="1">
        <f t="array" ref="I937">_xlfn.IFS(
   AND(F937&gt;=0,9, G937&gt;=85), "Excelente",
   AND(F937&gt;=0,8, G937&gt;=70), "Bueno",
   OR(F937&lt;0,6,  G937&lt;50),  "Alerta",
   TRUE,           "Revisar")</f>
        <v>Alerta</v>
      </c>
      <c r="J937" s="28">
        <f t="shared" si="14"/>
        <v>0</v>
      </c>
    </row>
    <row r="938" spans="1:10" ht="18" customHeight="1" x14ac:dyDescent="0.3">
      <c r="A938" s="18" t="s">
        <v>1925</v>
      </c>
      <c r="B938" s="5" t="s">
        <v>1926</v>
      </c>
      <c r="C938" s="18" t="s">
        <v>71</v>
      </c>
      <c r="D938" s="18" t="s">
        <v>88</v>
      </c>
      <c r="E938" s="6">
        <v>2900000</v>
      </c>
      <c r="F938" s="19">
        <v>0.72</v>
      </c>
      <c r="G938" s="18">
        <v>75</v>
      </c>
      <c r="H938" s="20">
        <v>6.8</v>
      </c>
      <c r="I938" s="24" t="str" cm="1">
        <f t="array" ref="I938">_xlfn.IFS(
   AND(F938&gt;=0,9, G938&gt;=85), "Excelente",
   AND(F938&gt;=0,8, G938&gt;=70), "Bueno",
   OR(F938&lt;0,6,  G938&lt;50),  "Alerta",
   TRUE,           "Revisar")</f>
        <v>Bueno</v>
      </c>
      <c r="J938" s="28">
        <f t="shared" si="14"/>
        <v>290000</v>
      </c>
    </row>
    <row r="939" spans="1:10" ht="18" customHeight="1" x14ac:dyDescent="0.3">
      <c r="A939" s="25" t="s">
        <v>1927</v>
      </c>
      <c r="B939" s="8" t="s">
        <v>1928</v>
      </c>
      <c r="C939" s="25" t="s">
        <v>91</v>
      </c>
      <c r="D939" s="25" t="s">
        <v>114</v>
      </c>
      <c r="E939" s="9">
        <v>4700000</v>
      </c>
      <c r="F939" s="26">
        <v>0.99</v>
      </c>
      <c r="G939" s="25">
        <v>72</v>
      </c>
      <c r="H939" s="27">
        <v>11.4</v>
      </c>
      <c r="I939" s="24" t="str" cm="1">
        <f t="array" ref="I939">_xlfn.IFS(
   AND(F939&gt;=0,9, G939&gt;=85), "Excelente",
   AND(F939&gt;=0,8, G939&gt;=70), "Bueno",
   OR(F939&lt;0,6,  G939&lt;50),  "Alerta",
   TRUE,           "Revisar")</f>
        <v>Bueno</v>
      </c>
      <c r="J939" s="28">
        <f t="shared" si="14"/>
        <v>470000</v>
      </c>
    </row>
    <row r="940" spans="1:10" ht="18" customHeight="1" x14ac:dyDescent="0.3">
      <c r="A940" s="18" t="s">
        <v>1929</v>
      </c>
      <c r="B940" s="5" t="s">
        <v>1930</v>
      </c>
      <c r="C940" s="18" t="s">
        <v>67</v>
      </c>
      <c r="D940" s="18" t="s">
        <v>68</v>
      </c>
      <c r="E940" s="6">
        <v>3600000</v>
      </c>
      <c r="F940" s="19">
        <v>0.74</v>
      </c>
      <c r="G940" s="18">
        <v>54</v>
      </c>
      <c r="H940" s="20">
        <v>9.5</v>
      </c>
      <c r="I940" s="24" t="str" cm="1">
        <f t="array" ref="I940">_xlfn.IFS(
   AND(F940&gt;=0,9, G940&gt;=85), "Excelente",
   AND(F940&gt;=0,8, G940&gt;=70), "Bueno",
   OR(F940&lt;0,6,  G940&lt;50),  "Alerta",
   TRUE,           "Revisar")</f>
        <v>Alerta</v>
      </c>
      <c r="J940" s="28">
        <f t="shared" si="14"/>
        <v>0</v>
      </c>
    </row>
    <row r="941" spans="1:10" ht="18" customHeight="1" x14ac:dyDescent="0.3">
      <c r="A941" s="25" t="s">
        <v>1931</v>
      </c>
      <c r="B941" s="8" t="s">
        <v>1932</v>
      </c>
      <c r="C941" s="25" t="s">
        <v>77</v>
      </c>
      <c r="D941" s="25" t="s">
        <v>88</v>
      </c>
      <c r="E941" s="9">
        <v>3900000</v>
      </c>
      <c r="F941" s="26">
        <v>0.54</v>
      </c>
      <c r="G941" s="25">
        <v>100</v>
      </c>
      <c r="H941" s="27">
        <v>3.6</v>
      </c>
      <c r="I941" s="24" t="str" cm="1">
        <f t="array" ref="I941">_xlfn.IFS(
   AND(F941&gt;=0,9, G941&gt;=85), "Excelente",
   AND(F941&gt;=0,8, G941&gt;=70), "Bueno",
   OR(F941&lt;0,6,  G941&lt;50),  "Alerta",
   TRUE,           "Revisar")</f>
        <v>Excelente</v>
      </c>
      <c r="J941" s="28">
        <f t="shared" si="14"/>
        <v>390000</v>
      </c>
    </row>
    <row r="942" spans="1:10" ht="18" customHeight="1" x14ac:dyDescent="0.3">
      <c r="A942" s="18" t="s">
        <v>1933</v>
      </c>
      <c r="B942" s="5" t="s">
        <v>1934</v>
      </c>
      <c r="C942" s="18" t="s">
        <v>59</v>
      </c>
      <c r="D942" s="18" t="s">
        <v>78</v>
      </c>
      <c r="E942" s="6">
        <v>8600000</v>
      </c>
      <c r="F942" s="19">
        <v>0.48</v>
      </c>
      <c r="G942" s="18">
        <v>96</v>
      </c>
      <c r="H942" s="20">
        <v>0.2</v>
      </c>
      <c r="I942" s="24" t="str" cm="1">
        <f t="array" ref="I942">_xlfn.IFS(
   AND(F942&gt;=0,9, G942&gt;=85), "Excelente",
   AND(F942&gt;=0,8, G942&gt;=70), "Bueno",
   OR(F942&lt;0,6,  G942&lt;50),  "Alerta",
   TRUE,           "Revisar")</f>
        <v>Excelente</v>
      </c>
      <c r="J942" s="28">
        <f t="shared" si="14"/>
        <v>860000</v>
      </c>
    </row>
    <row r="943" spans="1:10" ht="18" customHeight="1" x14ac:dyDescent="0.3">
      <c r="A943" s="25" t="s">
        <v>1935</v>
      </c>
      <c r="B943" s="8" t="s">
        <v>1936</v>
      </c>
      <c r="C943" s="25" t="s">
        <v>63</v>
      </c>
      <c r="D943" s="25" t="s">
        <v>105</v>
      </c>
      <c r="E943" s="9">
        <v>3600000</v>
      </c>
      <c r="F943" s="26">
        <v>0.66</v>
      </c>
      <c r="G943" s="25">
        <v>56</v>
      </c>
      <c r="H943" s="27">
        <v>2.6</v>
      </c>
      <c r="I943" s="24" t="str" cm="1">
        <f t="array" ref="I943">_xlfn.IFS(
   AND(F943&gt;=0,9, G943&gt;=85), "Excelente",
   AND(F943&gt;=0,8, G943&gt;=70), "Bueno",
   OR(F943&lt;0,6,  G943&lt;50),  "Alerta",
   TRUE,           "Revisar")</f>
        <v>Alerta</v>
      </c>
      <c r="J943" s="28">
        <f t="shared" si="14"/>
        <v>0</v>
      </c>
    </row>
    <row r="944" spans="1:10" ht="18" customHeight="1" x14ac:dyDescent="0.3">
      <c r="A944" s="18" t="s">
        <v>1937</v>
      </c>
      <c r="B944" s="5" t="s">
        <v>1938</v>
      </c>
      <c r="C944" s="18" t="s">
        <v>67</v>
      </c>
      <c r="D944" s="18" t="s">
        <v>64</v>
      </c>
      <c r="E944" s="6">
        <v>4600000</v>
      </c>
      <c r="F944" s="19">
        <v>0.7</v>
      </c>
      <c r="G944" s="18">
        <v>81</v>
      </c>
      <c r="H944" s="20">
        <v>12.1</v>
      </c>
      <c r="I944" s="24" t="str" cm="1">
        <f t="array" ref="I944">_xlfn.IFS(
   AND(F944&gt;=0,9, G944&gt;=85), "Excelente",
   AND(F944&gt;=0,8, G944&gt;=70), "Bueno",
   OR(F944&lt;0,6,  G944&lt;50),  "Alerta",
   TRUE,           "Revisar")</f>
        <v>Bueno</v>
      </c>
      <c r="J944" s="28">
        <f t="shared" si="14"/>
        <v>460000</v>
      </c>
    </row>
    <row r="945" spans="1:10" ht="18" customHeight="1" x14ac:dyDescent="0.3">
      <c r="A945" s="25" t="s">
        <v>1939</v>
      </c>
      <c r="B945" s="8" t="s">
        <v>1940</v>
      </c>
      <c r="C945" s="25" t="s">
        <v>77</v>
      </c>
      <c r="D945" s="25" t="s">
        <v>64</v>
      </c>
      <c r="E945" s="9">
        <v>3900000</v>
      </c>
      <c r="F945" s="26">
        <v>0.61</v>
      </c>
      <c r="G945" s="25">
        <v>88</v>
      </c>
      <c r="H945" s="27">
        <v>6.9</v>
      </c>
      <c r="I945" s="24" t="str" cm="1">
        <f t="array" ref="I945">_xlfn.IFS(
   AND(F945&gt;=0,9, G945&gt;=85), "Excelente",
   AND(F945&gt;=0,8, G945&gt;=70), "Bueno",
   OR(F945&lt;0,6,  G945&lt;50),  "Alerta",
   TRUE,           "Revisar")</f>
        <v>Excelente</v>
      </c>
      <c r="J945" s="28">
        <f t="shared" si="14"/>
        <v>390000</v>
      </c>
    </row>
    <row r="946" spans="1:10" ht="18" customHeight="1" x14ac:dyDescent="0.3">
      <c r="A946" s="18" t="s">
        <v>1941</v>
      </c>
      <c r="B946" s="5" t="s">
        <v>1942</v>
      </c>
      <c r="C946" s="18" t="s">
        <v>63</v>
      </c>
      <c r="D946" s="18" t="s">
        <v>105</v>
      </c>
      <c r="E946" s="6">
        <v>7700000</v>
      </c>
      <c r="F946" s="19">
        <v>0.95</v>
      </c>
      <c r="G946" s="18">
        <v>53</v>
      </c>
      <c r="H946" s="20">
        <v>14</v>
      </c>
      <c r="I946" s="24" t="str" cm="1">
        <f t="array" ref="I946">_xlfn.IFS(
   AND(F946&gt;=0,9, G946&gt;=85), "Excelente",
   AND(F946&gt;=0,8, G946&gt;=70), "Bueno",
   OR(F946&lt;0,6,  G946&lt;50),  "Alerta",
   TRUE,           "Revisar")</f>
        <v>Alerta</v>
      </c>
      <c r="J946" s="28">
        <f t="shared" si="14"/>
        <v>0</v>
      </c>
    </row>
    <row r="947" spans="1:10" ht="18" customHeight="1" x14ac:dyDescent="0.3">
      <c r="A947" s="25" t="s">
        <v>1943</v>
      </c>
      <c r="B947" s="8" t="s">
        <v>1944</v>
      </c>
      <c r="C947" s="25" t="s">
        <v>67</v>
      </c>
      <c r="D947" s="25" t="s">
        <v>105</v>
      </c>
      <c r="E947" s="9">
        <v>8000000</v>
      </c>
      <c r="F947" s="26">
        <v>1</v>
      </c>
      <c r="G947" s="25">
        <v>100</v>
      </c>
      <c r="H947" s="27">
        <v>2.4</v>
      </c>
      <c r="I947" s="24" t="str" cm="1">
        <f t="array" ref="I947">_xlfn.IFS(
   AND(F947&gt;=0,9, G947&gt;=85), "Excelente",
   AND(F947&gt;=0,8, G947&gt;=70), "Bueno",
   OR(F947&lt;0,6,  G947&lt;50),  "Alerta",
   TRUE,           "Revisar")</f>
        <v>Excelente</v>
      </c>
      <c r="J947" s="28">
        <f t="shared" si="14"/>
        <v>800000</v>
      </c>
    </row>
    <row r="948" spans="1:10" ht="18" customHeight="1" x14ac:dyDescent="0.3">
      <c r="A948" s="18" t="s">
        <v>1945</v>
      </c>
      <c r="B948" s="5" t="s">
        <v>1946</v>
      </c>
      <c r="C948" s="18" t="s">
        <v>63</v>
      </c>
      <c r="D948" s="18" t="s">
        <v>60</v>
      </c>
      <c r="E948" s="6">
        <v>7800000</v>
      </c>
      <c r="F948" s="19">
        <v>0.47</v>
      </c>
      <c r="G948" s="18">
        <v>62</v>
      </c>
      <c r="H948" s="20">
        <v>2.2999999999999998</v>
      </c>
      <c r="I948" s="24" t="str" cm="1">
        <f t="array" ref="I948">_xlfn.IFS(
   AND(F948&gt;=0,9, G948&gt;=85), "Excelente",
   AND(F948&gt;=0,8, G948&gt;=70), "Bueno",
   OR(F948&lt;0,6,  G948&lt;50),  "Alerta",
   TRUE,           "Revisar")</f>
        <v>Alerta</v>
      </c>
      <c r="J948" s="28">
        <f t="shared" si="14"/>
        <v>0</v>
      </c>
    </row>
    <row r="949" spans="1:10" ht="18" customHeight="1" x14ac:dyDescent="0.3">
      <c r="A949" s="25" t="s">
        <v>1947</v>
      </c>
      <c r="B949" s="8" t="s">
        <v>1948</v>
      </c>
      <c r="C949" s="25" t="s">
        <v>67</v>
      </c>
      <c r="D949" s="25" t="s">
        <v>105</v>
      </c>
      <c r="E949" s="9">
        <v>4500000</v>
      </c>
      <c r="F949" s="26">
        <v>0.71</v>
      </c>
      <c r="G949" s="25">
        <v>65</v>
      </c>
      <c r="H949" s="27">
        <v>16.8</v>
      </c>
      <c r="I949" s="24" t="str" cm="1">
        <f t="array" ref="I949">_xlfn.IFS(
   AND(F949&gt;=0,9, G949&gt;=85), "Excelente",
   AND(F949&gt;=0,8, G949&gt;=70), "Bueno",
   OR(F949&lt;0,6,  G949&lt;50),  "Alerta",
   TRUE,           "Revisar")</f>
        <v>Alerta</v>
      </c>
      <c r="J949" s="28">
        <f t="shared" si="14"/>
        <v>0</v>
      </c>
    </row>
    <row r="950" spans="1:10" ht="18" customHeight="1" x14ac:dyDescent="0.3">
      <c r="A950" s="18" t="s">
        <v>1949</v>
      </c>
      <c r="B950" s="5" t="s">
        <v>1950</v>
      </c>
      <c r="C950" s="18" t="s">
        <v>74</v>
      </c>
      <c r="D950" s="18" t="s">
        <v>114</v>
      </c>
      <c r="E950" s="6">
        <v>6500000</v>
      </c>
      <c r="F950" s="19">
        <v>0.52</v>
      </c>
      <c r="G950" s="18">
        <v>80</v>
      </c>
      <c r="H950" s="20">
        <v>3.4</v>
      </c>
      <c r="I950" s="24" t="str" cm="1">
        <f t="array" ref="I950">_xlfn.IFS(
   AND(F950&gt;=0,9, G950&gt;=85), "Excelente",
   AND(F950&gt;=0,8, G950&gt;=70), "Bueno",
   OR(F950&lt;0,6,  G950&lt;50),  "Alerta",
   TRUE,           "Revisar")</f>
        <v>Bueno</v>
      </c>
      <c r="J950" s="28">
        <f t="shared" si="14"/>
        <v>650000</v>
      </c>
    </row>
    <row r="951" spans="1:10" ht="18" customHeight="1" x14ac:dyDescent="0.3">
      <c r="A951" s="25" t="s">
        <v>1951</v>
      </c>
      <c r="B951" s="8" t="s">
        <v>1952</v>
      </c>
      <c r="C951" s="25" t="s">
        <v>59</v>
      </c>
      <c r="D951" s="25" t="s">
        <v>114</v>
      </c>
      <c r="E951" s="9">
        <v>8400000</v>
      </c>
      <c r="F951" s="26">
        <v>0.65</v>
      </c>
      <c r="G951" s="25">
        <v>57</v>
      </c>
      <c r="H951" s="27">
        <v>14.3</v>
      </c>
      <c r="I951" s="24" t="str" cm="1">
        <f t="array" ref="I951">_xlfn.IFS(
   AND(F951&gt;=0,9, G951&gt;=85), "Excelente",
   AND(F951&gt;=0,8, G951&gt;=70), "Bueno",
   OR(F951&lt;0,6,  G951&lt;50),  "Alerta",
   TRUE,           "Revisar")</f>
        <v>Alerta</v>
      </c>
      <c r="J951" s="28">
        <f t="shared" si="14"/>
        <v>0</v>
      </c>
    </row>
    <row r="952" spans="1:10" ht="18" customHeight="1" x14ac:dyDescent="0.3">
      <c r="A952" s="18" t="s">
        <v>1953</v>
      </c>
      <c r="B952" s="5" t="s">
        <v>1954</v>
      </c>
      <c r="C952" s="18" t="s">
        <v>63</v>
      </c>
      <c r="D952" s="18" t="s">
        <v>60</v>
      </c>
      <c r="E952" s="6">
        <v>5900000</v>
      </c>
      <c r="F952" s="19">
        <v>0.66</v>
      </c>
      <c r="G952" s="18">
        <v>60</v>
      </c>
      <c r="H952" s="20">
        <v>4</v>
      </c>
      <c r="I952" s="24" t="str" cm="1">
        <f t="array" ref="I952">_xlfn.IFS(
   AND(F952&gt;=0,9, G952&gt;=85), "Excelente",
   AND(F952&gt;=0,8, G952&gt;=70), "Bueno",
   OR(F952&lt;0,6,  G952&lt;50),  "Alerta",
   TRUE,           "Revisar")</f>
        <v>Alerta</v>
      </c>
      <c r="J952" s="28">
        <f t="shared" si="14"/>
        <v>0</v>
      </c>
    </row>
    <row r="953" spans="1:10" ht="18" customHeight="1" x14ac:dyDescent="0.3">
      <c r="A953" s="25" t="s">
        <v>1955</v>
      </c>
      <c r="B953" s="8" t="s">
        <v>1956</v>
      </c>
      <c r="C953" s="25" t="s">
        <v>81</v>
      </c>
      <c r="D953" s="25" t="s">
        <v>60</v>
      </c>
      <c r="E953" s="9">
        <v>11500000</v>
      </c>
      <c r="F953" s="26">
        <v>0.82</v>
      </c>
      <c r="G953" s="25">
        <v>58</v>
      </c>
      <c r="H953" s="27">
        <v>19.2</v>
      </c>
      <c r="I953" s="24" t="str" cm="1">
        <f t="array" ref="I953">_xlfn.IFS(
   AND(F953&gt;=0,9, G953&gt;=85), "Excelente",
   AND(F953&gt;=0,8, G953&gt;=70), "Bueno",
   OR(F953&lt;0,6,  G953&lt;50),  "Alerta",
   TRUE,           "Revisar")</f>
        <v>Alerta</v>
      </c>
      <c r="J953" s="28">
        <f t="shared" si="14"/>
        <v>0</v>
      </c>
    </row>
    <row r="954" spans="1:10" ht="18" customHeight="1" x14ac:dyDescent="0.3">
      <c r="A954" s="18" t="s">
        <v>1957</v>
      </c>
      <c r="B954" s="5" t="s">
        <v>1958</v>
      </c>
      <c r="C954" s="18" t="s">
        <v>67</v>
      </c>
      <c r="D954" s="18" t="s">
        <v>60</v>
      </c>
      <c r="E954" s="6">
        <v>9700000</v>
      </c>
      <c r="F954" s="19">
        <v>0.67</v>
      </c>
      <c r="G954" s="18">
        <v>84</v>
      </c>
      <c r="H954" s="20">
        <v>2.4</v>
      </c>
      <c r="I954" s="24" t="str" cm="1">
        <f t="array" ref="I954">_xlfn.IFS(
   AND(F954&gt;=0,9, G954&gt;=85), "Excelente",
   AND(F954&gt;=0,8, G954&gt;=70), "Bueno",
   OR(F954&lt;0,6,  G954&lt;50),  "Alerta",
   TRUE,           "Revisar")</f>
        <v>Bueno</v>
      </c>
      <c r="J954" s="28">
        <f t="shared" si="14"/>
        <v>970000</v>
      </c>
    </row>
    <row r="955" spans="1:10" ht="18" customHeight="1" x14ac:dyDescent="0.3">
      <c r="A955" s="25" t="s">
        <v>1959</v>
      </c>
      <c r="B955" s="8" t="s">
        <v>1960</v>
      </c>
      <c r="C955" s="25" t="s">
        <v>71</v>
      </c>
      <c r="D955" s="25" t="s">
        <v>64</v>
      </c>
      <c r="E955" s="9">
        <v>7900000</v>
      </c>
      <c r="F955" s="26">
        <v>0.81</v>
      </c>
      <c r="G955" s="25">
        <v>31</v>
      </c>
      <c r="H955" s="27">
        <v>7.8</v>
      </c>
      <c r="I955" s="24" t="str" cm="1">
        <f t="array" ref="I955">_xlfn.IFS(
   AND(F955&gt;=0,9, G955&gt;=85), "Excelente",
   AND(F955&gt;=0,8, G955&gt;=70), "Bueno",
   OR(F955&lt;0,6,  G955&lt;50),  "Alerta",
   TRUE,           "Revisar")</f>
        <v>Alerta</v>
      </c>
      <c r="J955" s="28">
        <f t="shared" si="14"/>
        <v>0</v>
      </c>
    </row>
    <row r="956" spans="1:10" ht="18" customHeight="1" x14ac:dyDescent="0.3">
      <c r="A956" s="18" t="s">
        <v>1961</v>
      </c>
      <c r="B956" s="5" t="s">
        <v>1962</v>
      </c>
      <c r="C956" s="18" t="s">
        <v>59</v>
      </c>
      <c r="D956" s="18" t="s">
        <v>105</v>
      </c>
      <c r="E956" s="6">
        <v>4100000</v>
      </c>
      <c r="F956" s="19">
        <v>0.84</v>
      </c>
      <c r="G956" s="18">
        <v>51</v>
      </c>
      <c r="H956" s="20">
        <v>5</v>
      </c>
      <c r="I956" s="24" t="str" cm="1">
        <f t="array" ref="I956">_xlfn.IFS(
   AND(F956&gt;=0,9, G956&gt;=85), "Excelente",
   AND(F956&gt;=0,8, G956&gt;=70), "Bueno",
   OR(F956&lt;0,6,  G956&lt;50),  "Alerta",
   TRUE,           "Revisar")</f>
        <v>Alerta</v>
      </c>
      <c r="J956" s="28">
        <f t="shared" si="14"/>
        <v>0</v>
      </c>
    </row>
    <row r="957" spans="1:10" ht="18" customHeight="1" x14ac:dyDescent="0.3">
      <c r="A957" s="25" t="s">
        <v>1963</v>
      </c>
      <c r="B957" s="8" t="s">
        <v>1964</v>
      </c>
      <c r="C957" s="25" t="s">
        <v>81</v>
      </c>
      <c r="D957" s="25" t="s">
        <v>68</v>
      </c>
      <c r="E957" s="9">
        <v>11400000</v>
      </c>
      <c r="F957" s="26">
        <v>0.96</v>
      </c>
      <c r="G957" s="25">
        <v>47</v>
      </c>
      <c r="H957" s="27">
        <v>6.6</v>
      </c>
      <c r="I957" s="24" t="str" cm="1">
        <f t="array" ref="I957">_xlfn.IFS(
   AND(F957&gt;=0,9, G957&gt;=85), "Excelente",
   AND(F957&gt;=0,8, G957&gt;=70), "Bueno",
   OR(F957&lt;0,6,  G957&lt;50),  "Alerta",
   TRUE,           "Revisar")</f>
        <v>Alerta</v>
      </c>
      <c r="J957" s="28">
        <f t="shared" si="14"/>
        <v>0</v>
      </c>
    </row>
    <row r="958" spans="1:10" ht="18" customHeight="1" x14ac:dyDescent="0.3">
      <c r="A958" s="18" t="s">
        <v>1965</v>
      </c>
      <c r="B958" s="5" t="s">
        <v>1966</v>
      </c>
      <c r="C958" s="18" t="s">
        <v>81</v>
      </c>
      <c r="D958" s="18" t="s">
        <v>64</v>
      </c>
      <c r="E958" s="6">
        <v>10500000</v>
      </c>
      <c r="F958" s="19">
        <v>0.95</v>
      </c>
      <c r="G958" s="18">
        <v>87</v>
      </c>
      <c r="H958" s="20">
        <v>7.6</v>
      </c>
      <c r="I958" s="24" t="str" cm="1">
        <f t="array" ref="I958">_xlfn.IFS(
   AND(F958&gt;=0,9, G958&gt;=85), "Excelente",
   AND(F958&gt;=0,8, G958&gt;=70), "Bueno",
   OR(F958&lt;0,6,  G958&lt;50),  "Alerta",
   TRUE,           "Revisar")</f>
        <v>Excelente</v>
      </c>
      <c r="J958" s="28">
        <f t="shared" si="14"/>
        <v>1050000</v>
      </c>
    </row>
    <row r="959" spans="1:10" ht="18" customHeight="1" x14ac:dyDescent="0.3">
      <c r="A959" s="25" t="s">
        <v>1967</v>
      </c>
      <c r="B959" s="8" t="s">
        <v>1968</v>
      </c>
      <c r="C959" s="25" t="s">
        <v>67</v>
      </c>
      <c r="D959" s="25" t="s">
        <v>68</v>
      </c>
      <c r="E959" s="9">
        <v>5900000</v>
      </c>
      <c r="F959" s="26">
        <v>0.79</v>
      </c>
      <c r="G959" s="25">
        <v>37</v>
      </c>
      <c r="H959" s="27">
        <v>2.8</v>
      </c>
      <c r="I959" s="24" t="str" cm="1">
        <f t="array" ref="I959">_xlfn.IFS(
   AND(F959&gt;=0,9, G959&gt;=85), "Excelente",
   AND(F959&gt;=0,8, G959&gt;=70), "Bueno",
   OR(F959&lt;0,6,  G959&lt;50),  "Alerta",
   TRUE,           "Revisar")</f>
        <v>Alerta</v>
      </c>
      <c r="J959" s="28">
        <f t="shared" si="14"/>
        <v>0</v>
      </c>
    </row>
    <row r="960" spans="1:10" ht="18" customHeight="1" x14ac:dyDescent="0.3">
      <c r="A960" s="18" t="s">
        <v>1969</v>
      </c>
      <c r="B960" s="5" t="s">
        <v>1970</v>
      </c>
      <c r="C960" s="18" t="s">
        <v>81</v>
      </c>
      <c r="D960" s="18" t="s">
        <v>92</v>
      </c>
      <c r="E960" s="6">
        <v>5900000</v>
      </c>
      <c r="F960" s="19">
        <v>0.56000000000000005</v>
      </c>
      <c r="G960" s="18">
        <v>36</v>
      </c>
      <c r="H960" s="20">
        <v>18.100000000000001</v>
      </c>
      <c r="I960" s="24" t="str" cm="1">
        <f t="array" ref="I960">_xlfn.IFS(
   AND(F960&gt;=0,9, G960&gt;=85), "Excelente",
   AND(F960&gt;=0,8, G960&gt;=70), "Bueno",
   OR(F960&lt;0,6,  G960&lt;50),  "Alerta",
   TRUE,           "Revisar")</f>
        <v>Alerta</v>
      </c>
      <c r="J960" s="28">
        <f t="shared" si="14"/>
        <v>0</v>
      </c>
    </row>
    <row r="961" spans="1:10" ht="18" customHeight="1" x14ac:dyDescent="0.3">
      <c r="A961" s="25" t="s">
        <v>1971</v>
      </c>
      <c r="B961" s="8" t="s">
        <v>1972</v>
      </c>
      <c r="C961" s="25" t="s">
        <v>81</v>
      </c>
      <c r="D961" s="25" t="s">
        <v>114</v>
      </c>
      <c r="E961" s="9">
        <v>8400000</v>
      </c>
      <c r="F961" s="26">
        <v>0.8</v>
      </c>
      <c r="G961" s="25">
        <v>38</v>
      </c>
      <c r="H961" s="27">
        <v>17.399999999999999</v>
      </c>
      <c r="I961" s="24" t="str" cm="1">
        <f t="array" ref="I961">_xlfn.IFS(
   AND(F961&gt;=0,9, G961&gt;=85), "Excelente",
   AND(F961&gt;=0,8, G961&gt;=70), "Bueno",
   OR(F961&lt;0,6,  G961&lt;50),  "Alerta",
   TRUE,           "Revisar")</f>
        <v>Alerta</v>
      </c>
      <c r="J961" s="28">
        <f t="shared" si="14"/>
        <v>0</v>
      </c>
    </row>
    <row r="962" spans="1:10" ht="18" customHeight="1" x14ac:dyDescent="0.3">
      <c r="A962" s="18" t="s">
        <v>1973</v>
      </c>
      <c r="B962" s="5" t="s">
        <v>1974</v>
      </c>
      <c r="C962" s="18" t="s">
        <v>91</v>
      </c>
      <c r="D962" s="18" t="s">
        <v>114</v>
      </c>
      <c r="E962" s="6">
        <v>5400000</v>
      </c>
      <c r="F962" s="19">
        <v>0.52</v>
      </c>
      <c r="G962" s="18">
        <v>52</v>
      </c>
      <c r="H962" s="20">
        <v>11.9</v>
      </c>
      <c r="I962" s="24" t="str" cm="1">
        <f t="array" ref="I962">_xlfn.IFS(
   AND(F962&gt;=0,9, G962&gt;=85), "Excelente",
   AND(F962&gt;=0,8, G962&gt;=70), "Bueno",
   OR(F962&lt;0,6,  G962&lt;50),  "Alerta",
   TRUE,           "Revisar")</f>
        <v>Alerta</v>
      </c>
      <c r="J962" s="28">
        <f t="shared" si="14"/>
        <v>0</v>
      </c>
    </row>
    <row r="963" spans="1:10" ht="18" customHeight="1" x14ac:dyDescent="0.3">
      <c r="A963" s="25" t="s">
        <v>1975</v>
      </c>
      <c r="B963" s="8" t="s">
        <v>1976</v>
      </c>
      <c r="C963" s="25" t="s">
        <v>63</v>
      </c>
      <c r="D963" s="25" t="s">
        <v>105</v>
      </c>
      <c r="E963" s="9">
        <v>6700000</v>
      </c>
      <c r="F963" s="26">
        <v>0.54</v>
      </c>
      <c r="G963" s="25">
        <v>55</v>
      </c>
      <c r="H963" s="27">
        <v>4.9000000000000004</v>
      </c>
      <c r="I963" s="24" t="str" cm="1">
        <f t="array" ref="I963">_xlfn.IFS(
   AND(F963&gt;=0,9, G963&gt;=85), "Excelente",
   AND(F963&gt;=0,8, G963&gt;=70), "Bueno",
   OR(F963&lt;0,6,  G963&lt;50),  "Alerta",
   TRUE,           "Revisar")</f>
        <v>Alerta</v>
      </c>
      <c r="J963" s="28">
        <f t="shared" si="14"/>
        <v>0</v>
      </c>
    </row>
    <row r="964" spans="1:10" ht="18" customHeight="1" x14ac:dyDescent="0.3">
      <c r="A964" s="18" t="s">
        <v>1977</v>
      </c>
      <c r="B964" s="5" t="s">
        <v>1978</v>
      </c>
      <c r="C964" s="18" t="s">
        <v>67</v>
      </c>
      <c r="D964" s="18" t="s">
        <v>88</v>
      </c>
      <c r="E964" s="6">
        <v>6400000</v>
      </c>
      <c r="F964" s="19">
        <v>0.77</v>
      </c>
      <c r="G964" s="18">
        <v>55</v>
      </c>
      <c r="H964" s="20">
        <v>5.4</v>
      </c>
      <c r="I964" s="24" t="str" cm="1">
        <f t="array" ref="I964">_xlfn.IFS(
   AND(F964&gt;=0,9, G964&gt;=85), "Excelente",
   AND(F964&gt;=0,8, G964&gt;=70), "Bueno",
   OR(F964&lt;0,6,  G964&lt;50),  "Alerta",
   TRUE,           "Revisar")</f>
        <v>Alerta</v>
      </c>
      <c r="J964" s="28">
        <f t="shared" si="14"/>
        <v>0</v>
      </c>
    </row>
    <row r="965" spans="1:10" ht="18" customHeight="1" x14ac:dyDescent="0.3">
      <c r="A965" s="25" t="s">
        <v>1979</v>
      </c>
      <c r="B965" s="8" t="s">
        <v>1980</v>
      </c>
      <c r="C965" s="25" t="s">
        <v>77</v>
      </c>
      <c r="D965" s="25" t="s">
        <v>105</v>
      </c>
      <c r="E965" s="9">
        <v>8200000</v>
      </c>
      <c r="F965" s="26">
        <v>0.73</v>
      </c>
      <c r="G965" s="25">
        <v>85</v>
      </c>
      <c r="H965" s="27">
        <v>15.2</v>
      </c>
      <c r="I965" s="24" t="str" cm="1">
        <f t="array" ref="I965">_xlfn.IFS(
   AND(F965&gt;=0,9, G965&gt;=85), "Excelente",
   AND(F965&gt;=0,8, G965&gt;=70), "Bueno",
   OR(F965&lt;0,6,  G965&lt;50),  "Alerta",
   TRUE,           "Revisar")</f>
        <v>Excelente</v>
      </c>
      <c r="J965" s="28">
        <f t="shared" si="14"/>
        <v>820000</v>
      </c>
    </row>
    <row r="966" spans="1:10" ht="18" customHeight="1" x14ac:dyDescent="0.3">
      <c r="A966" s="18" t="s">
        <v>1981</v>
      </c>
      <c r="B966" s="5" t="s">
        <v>1982</v>
      </c>
      <c r="C966" s="18" t="s">
        <v>91</v>
      </c>
      <c r="D966" s="18" t="s">
        <v>92</v>
      </c>
      <c r="E966" s="6">
        <v>9000000</v>
      </c>
      <c r="F966" s="19">
        <v>0.67</v>
      </c>
      <c r="G966" s="18">
        <v>83</v>
      </c>
      <c r="H966" s="20">
        <v>18.8</v>
      </c>
      <c r="I966" s="24" t="str" cm="1">
        <f t="array" ref="I966">_xlfn.IFS(
   AND(F966&gt;=0,9, G966&gt;=85), "Excelente",
   AND(F966&gt;=0,8, G966&gt;=70), "Bueno",
   OR(F966&lt;0,6,  G966&lt;50),  "Alerta",
   TRUE,           "Revisar")</f>
        <v>Bueno</v>
      </c>
      <c r="J966" s="28">
        <f t="shared" si="14"/>
        <v>900000</v>
      </c>
    </row>
    <row r="967" spans="1:10" ht="18" customHeight="1" x14ac:dyDescent="0.3">
      <c r="A967" s="25" t="s">
        <v>1983</v>
      </c>
      <c r="B967" s="8" t="s">
        <v>1984</v>
      </c>
      <c r="C967" s="25" t="s">
        <v>63</v>
      </c>
      <c r="D967" s="25" t="s">
        <v>64</v>
      </c>
      <c r="E967" s="9">
        <v>4300000</v>
      </c>
      <c r="F967" s="26">
        <v>0.66</v>
      </c>
      <c r="G967" s="25">
        <v>50</v>
      </c>
      <c r="H967" s="27">
        <v>3.9</v>
      </c>
      <c r="I967" s="24" t="str" cm="1">
        <f t="array" ref="I967">_xlfn.IFS(
   AND(F967&gt;=0,9, G967&gt;=85), "Excelente",
   AND(F967&gt;=0,8, G967&gt;=70), "Bueno",
   OR(F967&lt;0,6,  G967&lt;50),  "Alerta",
   TRUE,           "Revisar")</f>
        <v>Alerta</v>
      </c>
      <c r="J967" s="28">
        <f t="shared" si="14"/>
        <v>0</v>
      </c>
    </row>
    <row r="968" spans="1:10" ht="18" customHeight="1" x14ac:dyDescent="0.3">
      <c r="A968" s="18" t="s">
        <v>1985</v>
      </c>
      <c r="B968" s="5" t="s">
        <v>1986</v>
      </c>
      <c r="C968" s="18" t="s">
        <v>71</v>
      </c>
      <c r="D968" s="18" t="s">
        <v>64</v>
      </c>
      <c r="E968" s="6">
        <v>4200000</v>
      </c>
      <c r="F968" s="19">
        <v>0.87</v>
      </c>
      <c r="G968" s="18">
        <v>79</v>
      </c>
      <c r="H968" s="20">
        <v>8</v>
      </c>
      <c r="I968" s="24" t="str" cm="1">
        <f t="array" ref="I968">_xlfn.IFS(
   AND(F968&gt;=0,9, G968&gt;=85), "Excelente",
   AND(F968&gt;=0,8, G968&gt;=70), "Bueno",
   OR(F968&lt;0,6,  G968&lt;50),  "Alerta",
   TRUE,           "Revisar")</f>
        <v>Bueno</v>
      </c>
      <c r="J968" s="28">
        <f t="shared" si="14"/>
        <v>420000</v>
      </c>
    </row>
    <row r="969" spans="1:10" ht="18" customHeight="1" x14ac:dyDescent="0.3">
      <c r="A969" s="25" t="s">
        <v>1987</v>
      </c>
      <c r="B969" s="8" t="s">
        <v>1988</v>
      </c>
      <c r="C969" s="25" t="s">
        <v>63</v>
      </c>
      <c r="D969" s="25" t="s">
        <v>88</v>
      </c>
      <c r="E969" s="9">
        <v>8000000</v>
      </c>
      <c r="F969" s="26">
        <v>0.86</v>
      </c>
      <c r="G969" s="25">
        <v>41</v>
      </c>
      <c r="H969" s="27">
        <v>2.2000000000000002</v>
      </c>
      <c r="I969" s="24" t="str" cm="1">
        <f t="array" ref="I969">_xlfn.IFS(
   AND(F969&gt;=0,9, G969&gt;=85), "Excelente",
   AND(F969&gt;=0,8, G969&gt;=70), "Bueno",
   OR(F969&lt;0,6,  G969&lt;50),  "Alerta",
   TRUE,           "Revisar")</f>
        <v>Alerta</v>
      </c>
      <c r="J969" s="28">
        <f t="shared" si="14"/>
        <v>0</v>
      </c>
    </row>
    <row r="970" spans="1:10" ht="18" customHeight="1" x14ac:dyDescent="0.3">
      <c r="A970" s="18" t="s">
        <v>1989</v>
      </c>
      <c r="B970" s="5" t="s">
        <v>1990</v>
      </c>
      <c r="C970" s="18" t="s">
        <v>71</v>
      </c>
      <c r="D970" s="18" t="s">
        <v>114</v>
      </c>
      <c r="E970" s="6">
        <v>5300000</v>
      </c>
      <c r="F970" s="19">
        <v>0.72</v>
      </c>
      <c r="G970" s="18">
        <v>94</v>
      </c>
      <c r="H970" s="20">
        <v>19</v>
      </c>
      <c r="I970" s="24" t="str" cm="1">
        <f t="array" ref="I970">_xlfn.IFS(
   AND(F970&gt;=0,9, G970&gt;=85), "Excelente",
   AND(F970&gt;=0,8, G970&gt;=70), "Bueno",
   OR(F970&lt;0,6,  G970&lt;50),  "Alerta",
   TRUE,           "Revisar")</f>
        <v>Excelente</v>
      </c>
      <c r="J970" s="28">
        <f t="shared" si="14"/>
        <v>530000</v>
      </c>
    </row>
    <row r="971" spans="1:10" ht="18" customHeight="1" x14ac:dyDescent="0.3">
      <c r="A971" s="25" t="s">
        <v>1991</v>
      </c>
      <c r="B971" s="8" t="s">
        <v>1992</v>
      </c>
      <c r="C971" s="25" t="s">
        <v>67</v>
      </c>
      <c r="D971" s="25" t="s">
        <v>114</v>
      </c>
      <c r="E971" s="9">
        <v>5300000</v>
      </c>
      <c r="F971" s="26">
        <v>0.48</v>
      </c>
      <c r="G971" s="25">
        <v>53</v>
      </c>
      <c r="H971" s="27">
        <v>16.2</v>
      </c>
      <c r="I971" s="24" t="str" cm="1">
        <f t="array" ref="I971">_xlfn.IFS(
   AND(F971&gt;=0,9, G971&gt;=85), "Excelente",
   AND(F971&gt;=0,8, G971&gt;=70), "Bueno",
   OR(F971&lt;0,6,  G971&lt;50),  "Alerta",
   TRUE,           "Revisar")</f>
        <v>Alerta</v>
      </c>
      <c r="J971" s="28">
        <f t="shared" si="14"/>
        <v>0</v>
      </c>
    </row>
    <row r="972" spans="1:10" ht="18" customHeight="1" x14ac:dyDescent="0.3">
      <c r="A972" s="18" t="s">
        <v>1993</v>
      </c>
      <c r="B972" s="5" t="s">
        <v>1994</v>
      </c>
      <c r="C972" s="18" t="s">
        <v>63</v>
      </c>
      <c r="D972" s="18" t="s">
        <v>105</v>
      </c>
      <c r="E972" s="6">
        <v>10800000</v>
      </c>
      <c r="F972" s="19">
        <v>0.95</v>
      </c>
      <c r="G972" s="18">
        <v>43</v>
      </c>
      <c r="H972" s="20">
        <v>17.399999999999999</v>
      </c>
      <c r="I972" s="24" t="str" cm="1">
        <f t="array" ref="I972">_xlfn.IFS(
   AND(F972&gt;=0,9, G972&gt;=85), "Excelente",
   AND(F972&gt;=0,8, G972&gt;=70), "Bueno",
   OR(F972&lt;0,6,  G972&lt;50),  "Alerta",
   TRUE,           "Revisar")</f>
        <v>Alerta</v>
      </c>
      <c r="J972" s="28">
        <f t="shared" ref="J972:J1035" si="15">IF(OR(I972="Excelente",I972="Bueno"),E972*0.1,0)</f>
        <v>0</v>
      </c>
    </row>
    <row r="973" spans="1:10" ht="18" customHeight="1" x14ac:dyDescent="0.3">
      <c r="A973" s="25" t="s">
        <v>1995</v>
      </c>
      <c r="B973" s="8" t="s">
        <v>1996</v>
      </c>
      <c r="C973" s="25" t="s">
        <v>81</v>
      </c>
      <c r="D973" s="25" t="s">
        <v>64</v>
      </c>
      <c r="E973" s="9">
        <v>10200000</v>
      </c>
      <c r="F973" s="26">
        <v>0.57999999999999996</v>
      </c>
      <c r="G973" s="25">
        <v>92</v>
      </c>
      <c r="H973" s="27">
        <v>13.5</v>
      </c>
      <c r="I973" s="24" t="str" cm="1">
        <f t="array" ref="I973">_xlfn.IFS(
   AND(F973&gt;=0,9, G973&gt;=85), "Excelente",
   AND(F973&gt;=0,8, G973&gt;=70), "Bueno",
   OR(F973&lt;0,6,  G973&lt;50),  "Alerta",
   TRUE,           "Revisar")</f>
        <v>Excelente</v>
      </c>
      <c r="J973" s="28">
        <f t="shared" si="15"/>
        <v>1020000</v>
      </c>
    </row>
    <row r="974" spans="1:10" ht="18" customHeight="1" x14ac:dyDescent="0.3">
      <c r="A974" s="18" t="s">
        <v>1997</v>
      </c>
      <c r="B974" s="5" t="s">
        <v>1998</v>
      </c>
      <c r="C974" s="18" t="s">
        <v>63</v>
      </c>
      <c r="D974" s="18" t="s">
        <v>92</v>
      </c>
      <c r="E974" s="6">
        <v>7500000</v>
      </c>
      <c r="F974" s="19">
        <v>0.83</v>
      </c>
      <c r="G974" s="18">
        <v>73</v>
      </c>
      <c r="H974" s="20">
        <v>20</v>
      </c>
      <c r="I974" s="24" t="str" cm="1">
        <f t="array" ref="I974">_xlfn.IFS(
   AND(F974&gt;=0,9, G974&gt;=85), "Excelente",
   AND(F974&gt;=0,8, G974&gt;=70), "Bueno",
   OR(F974&lt;0,6,  G974&lt;50),  "Alerta",
   TRUE,           "Revisar")</f>
        <v>Bueno</v>
      </c>
      <c r="J974" s="28">
        <f t="shared" si="15"/>
        <v>750000</v>
      </c>
    </row>
    <row r="975" spans="1:10" ht="18" customHeight="1" x14ac:dyDescent="0.3">
      <c r="A975" s="25" t="s">
        <v>1999</v>
      </c>
      <c r="B975" s="8" t="s">
        <v>2000</v>
      </c>
      <c r="C975" s="25" t="s">
        <v>81</v>
      </c>
      <c r="D975" s="25" t="s">
        <v>78</v>
      </c>
      <c r="E975" s="9">
        <v>2800000</v>
      </c>
      <c r="F975" s="26">
        <v>0.7</v>
      </c>
      <c r="G975" s="25">
        <v>81</v>
      </c>
      <c r="H975" s="27">
        <v>14.5</v>
      </c>
      <c r="I975" s="24" t="str" cm="1">
        <f t="array" ref="I975">_xlfn.IFS(
   AND(F975&gt;=0,9, G975&gt;=85), "Excelente",
   AND(F975&gt;=0,8, G975&gt;=70), "Bueno",
   OR(F975&lt;0,6,  G975&lt;50),  "Alerta",
   TRUE,           "Revisar")</f>
        <v>Bueno</v>
      </c>
      <c r="J975" s="28">
        <f t="shared" si="15"/>
        <v>280000</v>
      </c>
    </row>
    <row r="976" spans="1:10" ht="18" customHeight="1" x14ac:dyDescent="0.3">
      <c r="A976" s="18" t="s">
        <v>2001</v>
      </c>
      <c r="B976" s="5" t="s">
        <v>2002</v>
      </c>
      <c r="C976" s="18" t="s">
        <v>59</v>
      </c>
      <c r="D976" s="18" t="s">
        <v>60</v>
      </c>
      <c r="E976" s="6">
        <v>7500000</v>
      </c>
      <c r="F976" s="19">
        <v>0.7</v>
      </c>
      <c r="G976" s="18">
        <v>90</v>
      </c>
      <c r="H976" s="20">
        <v>10.3</v>
      </c>
      <c r="I976" s="24" t="str" cm="1">
        <f t="array" ref="I976">_xlfn.IFS(
   AND(F976&gt;=0,9, G976&gt;=85), "Excelente",
   AND(F976&gt;=0,8, G976&gt;=70), "Bueno",
   OR(F976&lt;0,6,  G976&lt;50),  "Alerta",
   TRUE,           "Revisar")</f>
        <v>Excelente</v>
      </c>
      <c r="J976" s="28">
        <f t="shared" si="15"/>
        <v>750000</v>
      </c>
    </row>
    <row r="977" spans="1:10" ht="18" customHeight="1" x14ac:dyDescent="0.3">
      <c r="A977" s="25" t="s">
        <v>2003</v>
      </c>
      <c r="B977" s="8" t="s">
        <v>2004</v>
      </c>
      <c r="C977" s="25" t="s">
        <v>91</v>
      </c>
      <c r="D977" s="25" t="s">
        <v>92</v>
      </c>
      <c r="E977" s="9">
        <v>11400000</v>
      </c>
      <c r="F977" s="26">
        <v>0.69</v>
      </c>
      <c r="G977" s="25">
        <v>92</v>
      </c>
      <c r="H977" s="27">
        <v>8</v>
      </c>
      <c r="I977" s="24" t="str" cm="1">
        <f t="array" ref="I977">_xlfn.IFS(
   AND(F977&gt;=0,9, G977&gt;=85), "Excelente",
   AND(F977&gt;=0,8, G977&gt;=70), "Bueno",
   OR(F977&lt;0,6,  G977&lt;50),  "Alerta",
   TRUE,           "Revisar")</f>
        <v>Excelente</v>
      </c>
      <c r="J977" s="28">
        <f t="shared" si="15"/>
        <v>1140000</v>
      </c>
    </row>
    <row r="978" spans="1:10" ht="18" customHeight="1" x14ac:dyDescent="0.3">
      <c r="A978" s="18" t="s">
        <v>2005</v>
      </c>
      <c r="B978" s="5" t="s">
        <v>2006</v>
      </c>
      <c r="C978" s="18" t="s">
        <v>74</v>
      </c>
      <c r="D978" s="18" t="s">
        <v>92</v>
      </c>
      <c r="E978" s="6">
        <v>8200000</v>
      </c>
      <c r="F978" s="19">
        <v>0.97</v>
      </c>
      <c r="G978" s="18">
        <v>90</v>
      </c>
      <c r="H978" s="20">
        <v>19.7</v>
      </c>
      <c r="I978" s="24" t="str" cm="1">
        <f t="array" ref="I978">_xlfn.IFS(
   AND(F978&gt;=0,9, G978&gt;=85), "Excelente",
   AND(F978&gt;=0,8, G978&gt;=70), "Bueno",
   OR(F978&lt;0,6,  G978&lt;50),  "Alerta",
   TRUE,           "Revisar")</f>
        <v>Excelente</v>
      </c>
      <c r="J978" s="28">
        <f t="shared" si="15"/>
        <v>820000</v>
      </c>
    </row>
    <row r="979" spans="1:10" ht="18" customHeight="1" x14ac:dyDescent="0.3">
      <c r="A979" s="25" t="s">
        <v>2007</v>
      </c>
      <c r="B979" s="8" t="s">
        <v>2008</v>
      </c>
      <c r="C979" s="25" t="s">
        <v>77</v>
      </c>
      <c r="D979" s="25" t="s">
        <v>78</v>
      </c>
      <c r="E979" s="9">
        <v>8900000</v>
      </c>
      <c r="F979" s="26">
        <v>0.81</v>
      </c>
      <c r="G979" s="25">
        <v>60</v>
      </c>
      <c r="H979" s="27">
        <v>4.9000000000000004</v>
      </c>
      <c r="I979" s="24" t="str" cm="1">
        <f t="array" ref="I979">_xlfn.IFS(
   AND(F979&gt;=0,9, G979&gt;=85), "Excelente",
   AND(F979&gt;=0,8, G979&gt;=70), "Bueno",
   OR(F979&lt;0,6,  G979&lt;50),  "Alerta",
   TRUE,           "Revisar")</f>
        <v>Alerta</v>
      </c>
      <c r="J979" s="28">
        <f t="shared" si="15"/>
        <v>0</v>
      </c>
    </row>
    <row r="980" spans="1:10" ht="18" customHeight="1" x14ac:dyDescent="0.3">
      <c r="A980" s="18" t="s">
        <v>2009</v>
      </c>
      <c r="B980" s="5" t="s">
        <v>2010</v>
      </c>
      <c r="C980" s="18" t="s">
        <v>74</v>
      </c>
      <c r="D980" s="18" t="s">
        <v>78</v>
      </c>
      <c r="E980" s="6">
        <v>8300000</v>
      </c>
      <c r="F980" s="19">
        <v>1</v>
      </c>
      <c r="G980" s="18">
        <v>33</v>
      </c>
      <c r="H980" s="20">
        <v>3.2</v>
      </c>
      <c r="I980" s="24" t="str" cm="1">
        <f t="array" ref="I980">_xlfn.IFS(
   AND(F980&gt;=0,9, G980&gt;=85), "Excelente",
   AND(F980&gt;=0,8, G980&gt;=70), "Bueno",
   OR(F980&lt;0,6,  G980&lt;50),  "Alerta",
   TRUE,           "Revisar")</f>
        <v>Alerta</v>
      </c>
      <c r="J980" s="28">
        <f t="shared" si="15"/>
        <v>0</v>
      </c>
    </row>
    <row r="981" spans="1:10" ht="18" customHeight="1" x14ac:dyDescent="0.3">
      <c r="A981" s="25" t="s">
        <v>2011</v>
      </c>
      <c r="B981" s="8" t="s">
        <v>2012</v>
      </c>
      <c r="C981" s="25" t="s">
        <v>59</v>
      </c>
      <c r="D981" s="25" t="s">
        <v>60</v>
      </c>
      <c r="E981" s="9">
        <v>12000000</v>
      </c>
      <c r="F981" s="26">
        <v>0.59</v>
      </c>
      <c r="G981" s="25">
        <v>90</v>
      </c>
      <c r="H981" s="27">
        <v>19</v>
      </c>
      <c r="I981" s="24" t="str" cm="1">
        <f t="array" ref="I981">_xlfn.IFS(
   AND(F981&gt;=0,9, G981&gt;=85), "Excelente",
   AND(F981&gt;=0,8, G981&gt;=70), "Bueno",
   OR(F981&lt;0,6,  G981&lt;50),  "Alerta",
   TRUE,           "Revisar")</f>
        <v>Excelente</v>
      </c>
      <c r="J981" s="28">
        <f t="shared" si="15"/>
        <v>1200000</v>
      </c>
    </row>
    <row r="982" spans="1:10" ht="18" customHeight="1" x14ac:dyDescent="0.3">
      <c r="A982" s="18" t="s">
        <v>2013</v>
      </c>
      <c r="B982" s="5" t="s">
        <v>2014</v>
      </c>
      <c r="C982" s="18" t="s">
        <v>77</v>
      </c>
      <c r="D982" s="18" t="s">
        <v>78</v>
      </c>
      <c r="E982" s="6">
        <v>11600000</v>
      </c>
      <c r="F982" s="19">
        <v>0.63</v>
      </c>
      <c r="G982" s="18">
        <v>58</v>
      </c>
      <c r="H982" s="20">
        <v>18.600000000000001</v>
      </c>
      <c r="I982" s="24" t="str" cm="1">
        <f t="array" ref="I982">_xlfn.IFS(
   AND(F982&gt;=0,9, G982&gt;=85), "Excelente",
   AND(F982&gt;=0,8, G982&gt;=70), "Bueno",
   OR(F982&lt;0,6,  G982&lt;50),  "Alerta",
   TRUE,           "Revisar")</f>
        <v>Alerta</v>
      </c>
      <c r="J982" s="28">
        <f t="shared" si="15"/>
        <v>0</v>
      </c>
    </row>
    <row r="983" spans="1:10" ht="18" customHeight="1" x14ac:dyDescent="0.3">
      <c r="A983" s="25" t="s">
        <v>2015</v>
      </c>
      <c r="B983" s="8" t="s">
        <v>2016</v>
      </c>
      <c r="C983" s="25" t="s">
        <v>81</v>
      </c>
      <c r="D983" s="25" t="s">
        <v>68</v>
      </c>
      <c r="E983" s="9">
        <v>11900000</v>
      </c>
      <c r="F983" s="26">
        <v>0.86</v>
      </c>
      <c r="G983" s="25">
        <v>78</v>
      </c>
      <c r="H983" s="27">
        <v>13.1</v>
      </c>
      <c r="I983" s="24" t="str" cm="1">
        <f t="array" ref="I983">_xlfn.IFS(
   AND(F983&gt;=0,9, G983&gt;=85), "Excelente",
   AND(F983&gt;=0,8, G983&gt;=70), "Bueno",
   OR(F983&lt;0,6,  G983&lt;50),  "Alerta",
   TRUE,           "Revisar")</f>
        <v>Bueno</v>
      </c>
      <c r="J983" s="28">
        <f t="shared" si="15"/>
        <v>1190000</v>
      </c>
    </row>
    <row r="984" spans="1:10" ht="18" customHeight="1" x14ac:dyDescent="0.3">
      <c r="A984" s="18" t="s">
        <v>2017</v>
      </c>
      <c r="B984" s="5" t="s">
        <v>2018</v>
      </c>
      <c r="C984" s="18" t="s">
        <v>67</v>
      </c>
      <c r="D984" s="18" t="s">
        <v>60</v>
      </c>
      <c r="E984" s="6">
        <v>6100000</v>
      </c>
      <c r="F984" s="19">
        <v>0.51</v>
      </c>
      <c r="G984" s="18">
        <v>41</v>
      </c>
      <c r="H984" s="20">
        <v>2.2000000000000002</v>
      </c>
      <c r="I984" s="24" t="str" cm="1">
        <f t="array" ref="I984">_xlfn.IFS(
   AND(F984&gt;=0,9, G984&gt;=85), "Excelente",
   AND(F984&gt;=0,8, G984&gt;=70), "Bueno",
   OR(F984&lt;0,6,  G984&lt;50),  "Alerta",
   TRUE,           "Revisar")</f>
        <v>Alerta</v>
      </c>
      <c r="J984" s="28">
        <f t="shared" si="15"/>
        <v>0</v>
      </c>
    </row>
    <row r="985" spans="1:10" ht="18" customHeight="1" x14ac:dyDescent="0.3">
      <c r="A985" s="25" t="s">
        <v>2019</v>
      </c>
      <c r="B985" s="8" t="s">
        <v>2020</v>
      </c>
      <c r="C985" s="25" t="s">
        <v>67</v>
      </c>
      <c r="D985" s="25" t="s">
        <v>105</v>
      </c>
      <c r="E985" s="9">
        <v>11500000</v>
      </c>
      <c r="F985" s="26">
        <v>0.7</v>
      </c>
      <c r="G985" s="25">
        <v>66</v>
      </c>
      <c r="H985" s="27">
        <v>2.9</v>
      </c>
      <c r="I985" s="24" t="str" cm="1">
        <f t="array" ref="I985">_xlfn.IFS(
   AND(F985&gt;=0,9, G985&gt;=85), "Excelente",
   AND(F985&gt;=0,8, G985&gt;=70), "Bueno",
   OR(F985&lt;0,6,  G985&lt;50),  "Alerta",
   TRUE,           "Revisar")</f>
        <v>Alerta</v>
      </c>
      <c r="J985" s="28">
        <f t="shared" si="15"/>
        <v>0</v>
      </c>
    </row>
    <row r="986" spans="1:10" ht="18" customHeight="1" x14ac:dyDescent="0.3">
      <c r="A986" s="18" t="s">
        <v>2021</v>
      </c>
      <c r="B986" s="5" t="s">
        <v>2022</v>
      </c>
      <c r="C986" s="18" t="s">
        <v>74</v>
      </c>
      <c r="D986" s="18" t="s">
        <v>88</v>
      </c>
      <c r="E986" s="6">
        <v>11800000</v>
      </c>
      <c r="F986" s="19">
        <v>0.77</v>
      </c>
      <c r="G986" s="18">
        <v>57</v>
      </c>
      <c r="H986" s="20">
        <v>9.9</v>
      </c>
      <c r="I986" s="24" t="str" cm="1">
        <f t="array" ref="I986">_xlfn.IFS(
   AND(F986&gt;=0,9, G986&gt;=85), "Excelente",
   AND(F986&gt;=0,8, G986&gt;=70), "Bueno",
   OR(F986&lt;0,6,  G986&lt;50),  "Alerta",
   TRUE,           "Revisar")</f>
        <v>Alerta</v>
      </c>
      <c r="J986" s="28">
        <f t="shared" si="15"/>
        <v>0</v>
      </c>
    </row>
    <row r="987" spans="1:10" ht="18" customHeight="1" x14ac:dyDescent="0.3">
      <c r="A987" s="25" t="s">
        <v>2023</v>
      </c>
      <c r="B987" s="8" t="s">
        <v>2024</v>
      </c>
      <c r="C987" s="25" t="s">
        <v>81</v>
      </c>
      <c r="D987" s="25" t="s">
        <v>114</v>
      </c>
      <c r="E987" s="9">
        <v>11900000</v>
      </c>
      <c r="F987" s="26">
        <v>0.56999999999999995</v>
      </c>
      <c r="G987" s="25">
        <v>58</v>
      </c>
      <c r="H987" s="27">
        <v>14</v>
      </c>
      <c r="I987" s="24" t="str" cm="1">
        <f t="array" ref="I987">_xlfn.IFS(
   AND(F987&gt;=0,9, G987&gt;=85), "Excelente",
   AND(F987&gt;=0,8, G987&gt;=70), "Bueno",
   OR(F987&lt;0,6,  G987&lt;50),  "Alerta",
   TRUE,           "Revisar")</f>
        <v>Alerta</v>
      </c>
      <c r="J987" s="28">
        <f t="shared" si="15"/>
        <v>0</v>
      </c>
    </row>
    <row r="988" spans="1:10" ht="18" customHeight="1" x14ac:dyDescent="0.3">
      <c r="A988" s="18" t="s">
        <v>2025</v>
      </c>
      <c r="B988" s="5" t="s">
        <v>2026</v>
      </c>
      <c r="C988" s="18" t="s">
        <v>63</v>
      </c>
      <c r="D988" s="18" t="s">
        <v>88</v>
      </c>
      <c r="E988" s="6">
        <v>11200000</v>
      </c>
      <c r="F988" s="19">
        <v>0.95</v>
      </c>
      <c r="G988" s="18">
        <v>50</v>
      </c>
      <c r="H988" s="20">
        <v>19.8</v>
      </c>
      <c r="I988" s="24" t="str" cm="1">
        <f t="array" ref="I988">_xlfn.IFS(
   AND(F988&gt;=0,9, G988&gt;=85), "Excelente",
   AND(F988&gt;=0,8, G988&gt;=70), "Bueno",
   OR(F988&lt;0,6,  G988&lt;50),  "Alerta",
   TRUE,           "Revisar")</f>
        <v>Alerta</v>
      </c>
      <c r="J988" s="28">
        <f t="shared" si="15"/>
        <v>0</v>
      </c>
    </row>
    <row r="989" spans="1:10" ht="18" customHeight="1" x14ac:dyDescent="0.3">
      <c r="A989" s="25" t="s">
        <v>2027</v>
      </c>
      <c r="B989" s="8" t="s">
        <v>2028</v>
      </c>
      <c r="C989" s="25" t="s">
        <v>77</v>
      </c>
      <c r="D989" s="25" t="s">
        <v>92</v>
      </c>
      <c r="E989" s="9">
        <v>7800000</v>
      </c>
      <c r="F989" s="26">
        <v>0.67</v>
      </c>
      <c r="G989" s="25">
        <v>97</v>
      </c>
      <c r="H989" s="27">
        <v>14.5</v>
      </c>
      <c r="I989" s="24" t="str" cm="1">
        <f t="array" ref="I989">_xlfn.IFS(
   AND(F989&gt;=0,9, G989&gt;=85), "Excelente",
   AND(F989&gt;=0,8, G989&gt;=70), "Bueno",
   OR(F989&lt;0,6,  G989&lt;50),  "Alerta",
   TRUE,           "Revisar")</f>
        <v>Excelente</v>
      </c>
      <c r="J989" s="28">
        <f t="shared" si="15"/>
        <v>780000</v>
      </c>
    </row>
    <row r="990" spans="1:10" ht="18" customHeight="1" x14ac:dyDescent="0.3">
      <c r="A990" s="18" t="s">
        <v>2029</v>
      </c>
      <c r="B990" s="5" t="s">
        <v>2030</v>
      </c>
      <c r="C990" s="18" t="s">
        <v>63</v>
      </c>
      <c r="D990" s="18" t="s">
        <v>78</v>
      </c>
      <c r="E990" s="6">
        <v>4400000</v>
      </c>
      <c r="F990" s="19">
        <v>0.63</v>
      </c>
      <c r="G990" s="18">
        <v>36</v>
      </c>
      <c r="H990" s="20">
        <v>17</v>
      </c>
      <c r="I990" s="24" t="str" cm="1">
        <f t="array" ref="I990">_xlfn.IFS(
   AND(F990&gt;=0,9, G990&gt;=85), "Excelente",
   AND(F990&gt;=0,8, G990&gt;=70), "Bueno",
   OR(F990&lt;0,6,  G990&lt;50),  "Alerta",
   TRUE,           "Revisar")</f>
        <v>Alerta</v>
      </c>
      <c r="J990" s="28">
        <f t="shared" si="15"/>
        <v>0</v>
      </c>
    </row>
    <row r="991" spans="1:10" ht="18" customHeight="1" x14ac:dyDescent="0.3">
      <c r="A991" s="25" t="s">
        <v>2031</v>
      </c>
      <c r="B991" s="8" t="s">
        <v>2032</v>
      </c>
      <c r="C991" s="25" t="s">
        <v>67</v>
      </c>
      <c r="D991" s="25" t="s">
        <v>64</v>
      </c>
      <c r="E991" s="9">
        <v>7400000</v>
      </c>
      <c r="F991" s="26">
        <v>0.85</v>
      </c>
      <c r="G991" s="25">
        <v>43</v>
      </c>
      <c r="H991" s="27">
        <v>13.6</v>
      </c>
      <c r="I991" s="24" t="str" cm="1">
        <f t="array" ref="I991">_xlfn.IFS(
   AND(F991&gt;=0,9, G991&gt;=85), "Excelente",
   AND(F991&gt;=0,8, G991&gt;=70), "Bueno",
   OR(F991&lt;0,6,  G991&lt;50),  "Alerta",
   TRUE,           "Revisar")</f>
        <v>Alerta</v>
      </c>
      <c r="J991" s="28">
        <f t="shared" si="15"/>
        <v>0</v>
      </c>
    </row>
    <row r="992" spans="1:10" ht="18" customHeight="1" x14ac:dyDescent="0.3">
      <c r="A992" s="18" t="s">
        <v>2033</v>
      </c>
      <c r="B992" s="5" t="s">
        <v>2034</v>
      </c>
      <c r="C992" s="18" t="s">
        <v>63</v>
      </c>
      <c r="D992" s="18" t="s">
        <v>114</v>
      </c>
      <c r="E992" s="6">
        <v>3500000</v>
      </c>
      <c r="F992" s="19">
        <v>0.5</v>
      </c>
      <c r="G992" s="18">
        <v>90</v>
      </c>
      <c r="H992" s="20">
        <v>3.6</v>
      </c>
      <c r="I992" s="24" t="str" cm="1">
        <f t="array" ref="I992">_xlfn.IFS(
   AND(F992&gt;=0,9, G992&gt;=85), "Excelente",
   AND(F992&gt;=0,8, G992&gt;=70), "Bueno",
   OR(F992&lt;0,6,  G992&lt;50),  "Alerta",
   TRUE,           "Revisar")</f>
        <v>Excelente</v>
      </c>
      <c r="J992" s="28">
        <f t="shared" si="15"/>
        <v>350000</v>
      </c>
    </row>
    <row r="993" spans="1:10" ht="18" customHeight="1" x14ac:dyDescent="0.3">
      <c r="A993" s="25" t="s">
        <v>2035</v>
      </c>
      <c r="B993" s="8" t="s">
        <v>2036</v>
      </c>
      <c r="C993" s="25" t="s">
        <v>63</v>
      </c>
      <c r="D993" s="25" t="s">
        <v>78</v>
      </c>
      <c r="E993" s="9">
        <v>8700000</v>
      </c>
      <c r="F993" s="26">
        <v>0.93</v>
      </c>
      <c r="G993" s="25">
        <v>78</v>
      </c>
      <c r="H993" s="27">
        <v>5.5</v>
      </c>
      <c r="I993" s="24" t="str" cm="1">
        <f t="array" ref="I993">_xlfn.IFS(
   AND(F993&gt;=0,9, G993&gt;=85), "Excelente",
   AND(F993&gt;=0,8, G993&gt;=70), "Bueno",
   OR(F993&lt;0,6,  G993&lt;50),  "Alerta",
   TRUE,           "Revisar")</f>
        <v>Bueno</v>
      </c>
      <c r="J993" s="28">
        <f t="shared" si="15"/>
        <v>870000</v>
      </c>
    </row>
    <row r="994" spans="1:10" ht="18" customHeight="1" x14ac:dyDescent="0.3">
      <c r="A994" s="18" t="s">
        <v>2037</v>
      </c>
      <c r="B994" s="5" t="s">
        <v>2038</v>
      </c>
      <c r="C994" s="18" t="s">
        <v>74</v>
      </c>
      <c r="D994" s="18" t="s">
        <v>114</v>
      </c>
      <c r="E994" s="6">
        <v>10400000</v>
      </c>
      <c r="F994" s="19">
        <v>0.83</v>
      </c>
      <c r="G994" s="18">
        <v>30</v>
      </c>
      <c r="H994" s="20">
        <v>11.1</v>
      </c>
      <c r="I994" s="24" t="str" cm="1">
        <f t="array" ref="I994">_xlfn.IFS(
   AND(F994&gt;=0,9, G994&gt;=85), "Excelente",
   AND(F994&gt;=0,8, G994&gt;=70), "Bueno",
   OR(F994&lt;0,6,  G994&lt;50),  "Alerta",
   TRUE,           "Revisar")</f>
        <v>Alerta</v>
      </c>
      <c r="J994" s="28">
        <f t="shared" si="15"/>
        <v>0</v>
      </c>
    </row>
    <row r="995" spans="1:10" ht="18" customHeight="1" x14ac:dyDescent="0.3">
      <c r="A995" s="25" t="s">
        <v>2039</v>
      </c>
      <c r="B995" s="8" t="s">
        <v>2040</v>
      </c>
      <c r="C995" s="25" t="s">
        <v>91</v>
      </c>
      <c r="D995" s="25" t="s">
        <v>114</v>
      </c>
      <c r="E995" s="9">
        <v>10100000</v>
      </c>
      <c r="F995" s="26">
        <v>0.56000000000000005</v>
      </c>
      <c r="G995" s="25">
        <v>50</v>
      </c>
      <c r="H995" s="27">
        <v>1.8</v>
      </c>
      <c r="I995" s="24" t="str" cm="1">
        <f t="array" ref="I995">_xlfn.IFS(
   AND(F995&gt;=0,9, G995&gt;=85), "Excelente",
   AND(F995&gt;=0,8, G995&gt;=70), "Bueno",
   OR(F995&lt;0,6,  G995&lt;50),  "Alerta",
   TRUE,           "Revisar")</f>
        <v>Alerta</v>
      </c>
      <c r="J995" s="28">
        <f t="shared" si="15"/>
        <v>0</v>
      </c>
    </row>
    <row r="996" spans="1:10" ht="18" customHeight="1" x14ac:dyDescent="0.3">
      <c r="A996" s="18" t="s">
        <v>2041</v>
      </c>
      <c r="B996" s="5" t="s">
        <v>2042</v>
      </c>
      <c r="C996" s="18" t="s">
        <v>91</v>
      </c>
      <c r="D996" s="18" t="s">
        <v>78</v>
      </c>
      <c r="E996" s="6">
        <v>4300000</v>
      </c>
      <c r="F996" s="19">
        <v>0.73</v>
      </c>
      <c r="G996" s="18">
        <v>76</v>
      </c>
      <c r="H996" s="20">
        <v>19.3</v>
      </c>
      <c r="I996" s="24" t="str" cm="1">
        <f t="array" ref="I996">_xlfn.IFS(
   AND(F996&gt;=0,9, G996&gt;=85), "Excelente",
   AND(F996&gt;=0,8, G996&gt;=70), "Bueno",
   OR(F996&lt;0,6,  G996&lt;50),  "Alerta",
   TRUE,           "Revisar")</f>
        <v>Bueno</v>
      </c>
      <c r="J996" s="28">
        <f t="shared" si="15"/>
        <v>430000</v>
      </c>
    </row>
    <row r="997" spans="1:10" ht="18" customHeight="1" x14ac:dyDescent="0.3">
      <c r="A997" s="25" t="s">
        <v>2043</v>
      </c>
      <c r="B997" s="8" t="s">
        <v>2044</v>
      </c>
      <c r="C997" s="25" t="s">
        <v>77</v>
      </c>
      <c r="D997" s="25" t="s">
        <v>114</v>
      </c>
      <c r="E997" s="9">
        <v>10100000</v>
      </c>
      <c r="F997" s="26">
        <v>0.72</v>
      </c>
      <c r="G997" s="25">
        <v>70</v>
      </c>
      <c r="H997" s="27">
        <v>10.5</v>
      </c>
      <c r="I997" s="24" t="str" cm="1">
        <f t="array" ref="I997">_xlfn.IFS(
   AND(F997&gt;=0,9, G997&gt;=85), "Excelente",
   AND(F997&gt;=0,8, G997&gt;=70), "Bueno",
   OR(F997&lt;0,6,  G997&lt;50),  "Alerta",
   TRUE,           "Revisar")</f>
        <v>Bueno</v>
      </c>
      <c r="J997" s="28">
        <f t="shared" si="15"/>
        <v>1010000</v>
      </c>
    </row>
    <row r="998" spans="1:10" ht="18" customHeight="1" x14ac:dyDescent="0.3">
      <c r="A998" s="18" t="s">
        <v>2045</v>
      </c>
      <c r="B998" s="5" t="s">
        <v>2046</v>
      </c>
      <c r="C998" s="18" t="s">
        <v>67</v>
      </c>
      <c r="D998" s="18" t="s">
        <v>114</v>
      </c>
      <c r="E998" s="6">
        <v>10500000</v>
      </c>
      <c r="F998" s="19">
        <v>0.75</v>
      </c>
      <c r="G998" s="18">
        <v>75</v>
      </c>
      <c r="H998" s="20">
        <v>5.5</v>
      </c>
      <c r="I998" s="24" t="str" cm="1">
        <f t="array" ref="I998">_xlfn.IFS(
   AND(F998&gt;=0,9, G998&gt;=85), "Excelente",
   AND(F998&gt;=0,8, G998&gt;=70), "Bueno",
   OR(F998&lt;0,6,  G998&lt;50),  "Alerta",
   TRUE,           "Revisar")</f>
        <v>Bueno</v>
      </c>
      <c r="J998" s="28">
        <f t="shared" si="15"/>
        <v>1050000</v>
      </c>
    </row>
    <row r="999" spans="1:10" ht="18" customHeight="1" x14ac:dyDescent="0.3">
      <c r="A999" s="25" t="s">
        <v>2047</v>
      </c>
      <c r="B999" s="8" t="s">
        <v>2048</v>
      </c>
      <c r="C999" s="25" t="s">
        <v>63</v>
      </c>
      <c r="D999" s="25" t="s">
        <v>114</v>
      </c>
      <c r="E999" s="9">
        <v>7900000</v>
      </c>
      <c r="F999" s="26">
        <v>0.7</v>
      </c>
      <c r="G999" s="25">
        <v>62</v>
      </c>
      <c r="H999" s="27">
        <v>13.5</v>
      </c>
      <c r="I999" s="24" t="str" cm="1">
        <f t="array" ref="I999">_xlfn.IFS(
   AND(F999&gt;=0,9, G999&gt;=85), "Excelente",
   AND(F999&gt;=0,8, G999&gt;=70), "Bueno",
   OR(F999&lt;0,6,  G999&lt;50),  "Alerta",
   TRUE,           "Revisar")</f>
        <v>Alerta</v>
      </c>
      <c r="J999" s="28">
        <f t="shared" si="15"/>
        <v>0</v>
      </c>
    </row>
    <row r="1000" spans="1:10" ht="18" customHeight="1" x14ac:dyDescent="0.3">
      <c r="A1000" s="18" t="s">
        <v>2049</v>
      </c>
      <c r="B1000" s="5" t="s">
        <v>2050</v>
      </c>
      <c r="C1000" s="18" t="s">
        <v>71</v>
      </c>
      <c r="D1000" s="18" t="s">
        <v>68</v>
      </c>
      <c r="E1000" s="6">
        <v>4700000</v>
      </c>
      <c r="F1000" s="19">
        <v>0.62</v>
      </c>
      <c r="G1000" s="18">
        <v>85</v>
      </c>
      <c r="H1000" s="20">
        <v>7.6</v>
      </c>
      <c r="I1000" s="24" t="str" cm="1">
        <f t="array" ref="I1000">_xlfn.IFS(
   AND(F1000&gt;=0,9, G1000&gt;=85), "Excelente",
   AND(F1000&gt;=0,8, G1000&gt;=70), "Bueno",
   OR(F1000&lt;0,6,  G1000&lt;50),  "Alerta",
   TRUE,           "Revisar")</f>
        <v>Excelente</v>
      </c>
      <c r="J1000" s="28">
        <f t="shared" si="15"/>
        <v>470000</v>
      </c>
    </row>
    <row r="1001" spans="1:10" ht="18" customHeight="1" x14ac:dyDescent="0.3">
      <c r="A1001" s="25" t="s">
        <v>2051</v>
      </c>
      <c r="B1001" s="8" t="s">
        <v>2052</v>
      </c>
      <c r="C1001" s="25" t="s">
        <v>74</v>
      </c>
      <c r="D1001" s="25" t="s">
        <v>92</v>
      </c>
      <c r="E1001" s="9">
        <v>7000000</v>
      </c>
      <c r="F1001" s="26">
        <v>0.88</v>
      </c>
      <c r="G1001" s="25">
        <v>48</v>
      </c>
      <c r="H1001" s="27">
        <v>17.399999999999999</v>
      </c>
      <c r="I1001" s="24" t="str" cm="1">
        <f t="array" ref="I1001">_xlfn.IFS(
   AND(F1001&gt;=0,9, G1001&gt;=85), "Excelente",
   AND(F1001&gt;=0,8, G1001&gt;=70), "Bueno",
   OR(F1001&lt;0,6,  G1001&lt;50),  "Alerta",
   TRUE,           "Revisar")</f>
        <v>Alerta</v>
      </c>
      <c r="J1001" s="28">
        <f t="shared" si="15"/>
        <v>0</v>
      </c>
    </row>
    <row r="1002" spans="1:10" ht="18" customHeight="1" x14ac:dyDescent="0.3">
      <c r="A1002" s="18" t="s">
        <v>2053</v>
      </c>
      <c r="B1002" s="5" t="s">
        <v>2054</v>
      </c>
      <c r="C1002" s="18" t="s">
        <v>63</v>
      </c>
      <c r="D1002" s="18" t="s">
        <v>105</v>
      </c>
      <c r="E1002" s="6">
        <v>10300000</v>
      </c>
      <c r="F1002" s="19">
        <v>0.52</v>
      </c>
      <c r="G1002" s="18">
        <v>31</v>
      </c>
      <c r="H1002" s="20">
        <v>13.7</v>
      </c>
      <c r="I1002" s="24" t="str" cm="1">
        <f t="array" ref="I1002">_xlfn.IFS(
   AND(F1002&gt;=0,9, G1002&gt;=85), "Excelente",
   AND(F1002&gt;=0,8, G1002&gt;=70), "Bueno",
   OR(F1002&lt;0,6,  G1002&lt;50),  "Alerta",
   TRUE,           "Revisar")</f>
        <v>Alerta</v>
      </c>
      <c r="J1002" s="28">
        <f t="shared" si="15"/>
        <v>0</v>
      </c>
    </row>
    <row r="1003" spans="1:10" ht="18" customHeight="1" x14ac:dyDescent="0.3">
      <c r="A1003" s="25" t="s">
        <v>2055</v>
      </c>
      <c r="B1003" s="8" t="s">
        <v>2056</v>
      </c>
      <c r="C1003" s="25" t="s">
        <v>63</v>
      </c>
      <c r="D1003" s="25" t="s">
        <v>105</v>
      </c>
      <c r="E1003" s="9">
        <v>5100000</v>
      </c>
      <c r="F1003" s="26">
        <v>0.69</v>
      </c>
      <c r="G1003" s="25">
        <v>75</v>
      </c>
      <c r="H1003" s="27">
        <v>16</v>
      </c>
      <c r="I1003" s="24" t="str" cm="1">
        <f t="array" ref="I1003">_xlfn.IFS(
   AND(F1003&gt;=0,9, G1003&gt;=85), "Excelente",
   AND(F1003&gt;=0,8, G1003&gt;=70), "Bueno",
   OR(F1003&lt;0,6,  G1003&lt;50),  "Alerta",
   TRUE,           "Revisar")</f>
        <v>Bueno</v>
      </c>
      <c r="J1003" s="28">
        <f t="shared" si="15"/>
        <v>510000</v>
      </c>
    </row>
    <row r="1004" spans="1:10" ht="18" customHeight="1" x14ac:dyDescent="0.3">
      <c r="A1004" s="18" t="s">
        <v>2057</v>
      </c>
      <c r="B1004" s="5" t="s">
        <v>2058</v>
      </c>
      <c r="C1004" s="18" t="s">
        <v>71</v>
      </c>
      <c r="D1004" s="18" t="s">
        <v>64</v>
      </c>
      <c r="E1004" s="6">
        <v>3800000</v>
      </c>
      <c r="F1004" s="19">
        <v>0.86</v>
      </c>
      <c r="G1004" s="18">
        <v>100</v>
      </c>
      <c r="H1004" s="20">
        <v>18.600000000000001</v>
      </c>
      <c r="I1004" s="24" t="str" cm="1">
        <f t="array" ref="I1004">_xlfn.IFS(
   AND(F1004&gt;=0,9, G1004&gt;=85), "Excelente",
   AND(F1004&gt;=0,8, G1004&gt;=70), "Bueno",
   OR(F1004&lt;0,6,  G1004&lt;50),  "Alerta",
   TRUE,           "Revisar")</f>
        <v>Excelente</v>
      </c>
      <c r="J1004" s="28">
        <f t="shared" si="15"/>
        <v>380000</v>
      </c>
    </row>
    <row r="1005" spans="1:10" ht="18" customHeight="1" x14ac:dyDescent="0.3">
      <c r="A1005" s="25" t="s">
        <v>2059</v>
      </c>
      <c r="B1005" s="8" t="s">
        <v>2060</v>
      </c>
      <c r="C1005" s="25" t="s">
        <v>91</v>
      </c>
      <c r="D1005" s="25" t="s">
        <v>68</v>
      </c>
      <c r="E1005" s="9">
        <v>11700000</v>
      </c>
      <c r="F1005" s="26">
        <v>0.74</v>
      </c>
      <c r="G1005" s="25">
        <v>74</v>
      </c>
      <c r="H1005" s="27">
        <v>4.9000000000000004</v>
      </c>
      <c r="I1005" s="24" t="str" cm="1">
        <f t="array" ref="I1005">_xlfn.IFS(
   AND(F1005&gt;=0,9, G1005&gt;=85), "Excelente",
   AND(F1005&gt;=0,8, G1005&gt;=70), "Bueno",
   OR(F1005&lt;0,6,  G1005&lt;50),  "Alerta",
   TRUE,           "Revisar")</f>
        <v>Bueno</v>
      </c>
      <c r="J1005" s="28">
        <f t="shared" si="15"/>
        <v>1170000</v>
      </c>
    </row>
    <row r="1006" spans="1:10" ht="18" customHeight="1" x14ac:dyDescent="0.3">
      <c r="A1006" s="18" t="s">
        <v>2061</v>
      </c>
      <c r="B1006" s="5" t="s">
        <v>2062</v>
      </c>
      <c r="C1006" s="18" t="s">
        <v>63</v>
      </c>
      <c r="D1006" s="18" t="s">
        <v>114</v>
      </c>
      <c r="E1006" s="6">
        <v>7500000</v>
      </c>
      <c r="F1006" s="19">
        <v>0.98</v>
      </c>
      <c r="G1006" s="18">
        <v>73</v>
      </c>
      <c r="H1006" s="20">
        <v>18.3</v>
      </c>
      <c r="I1006" s="24" t="str" cm="1">
        <f t="array" ref="I1006">_xlfn.IFS(
   AND(F1006&gt;=0,9, G1006&gt;=85), "Excelente",
   AND(F1006&gt;=0,8, G1006&gt;=70), "Bueno",
   OR(F1006&lt;0,6,  G1006&lt;50),  "Alerta",
   TRUE,           "Revisar")</f>
        <v>Bueno</v>
      </c>
      <c r="J1006" s="28">
        <f t="shared" si="15"/>
        <v>750000</v>
      </c>
    </row>
    <row r="1007" spans="1:10" ht="18" customHeight="1" x14ac:dyDescent="0.3">
      <c r="A1007" s="25" t="s">
        <v>2063</v>
      </c>
      <c r="B1007" s="8" t="s">
        <v>2064</v>
      </c>
      <c r="C1007" s="25" t="s">
        <v>77</v>
      </c>
      <c r="D1007" s="25" t="s">
        <v>64</v>
      </c>
      <c r="E1007" s="9">
        <v>7300000</v>
      </c>
      <c r="F1007" s="26">
        <v>0.45</v>
      </c>
      <c r="G1007" s="25">
        <v>88</v>
      </c>
      <c r="H1007" s="27">
        <v>6.6</v>
      </c>
      <c r="I1007" s="24" t="str" cm="1">
        <f t="array" ref="I1007">_xlfn.IFS(
   AND(F1007&gt;=0,9, G1007&gt;=85), "Excelente",
   AND(F1007&gt;=0,8, G1007&gt;=70), "Bueno",
   OR(F1007&lt;0,6,  G1007&lt;50),  "Alerta",
   TRUE,           "Revisar")</f>
        <v>Excelente</v>
      </c>
      <c r="J1007" s="28">
        <f t="shared" si="15"/>
        <v>730000</v>
      </c>
    </row>
    <row r="1008" spans="1:10" ht="18" customHeight="1" x14ac:dyDescent="0.3">
      <c r="A1008" s="18" t="s">
        <v>2065</v>
      </c>
      <c r="B1008" s="5" t="s">
        <v>2066</v>
      </c>
      <c r="C1008" s="18" t="s">
        <v>81</v>
      </c>
      <c r="D1008" s="18" t="s">
        <v>64</v>
      </c>
      <c r="E1008" s="6">
        <v>4000000</v>
      </c>
      <c r="F1008" s="19">
        <v>0.69</v>
      </c>
      <c r="G1008" s="18">
        <v>55</v>
      </c>
      <c r="H1008" s="20">
        <v>1.7</v>
      </c>
      <c r="I1008" s="24" t="str" cm="1">
        <f t="array" ref="I1008">_xlfn.IFS(
   AND(F1008&gt;=0,9, G1008&gt;=85), "Excelente",
   AND(F1008&gt;=0,8, G1008&gt;=70), "Bueno",
   OR(F1008&lt;0,6,  G1008&lt;50),  "Alerta",
   TRUE,           "Revisar")</f>
        <v>Alerta</v>
      </c>
      <c r="J1008" s="28">
        <f t="shared" si="15"/>
        <v>0</v>
      </c>
    </row>
    <row r="1009" spans="1:10" ht="18" customHeight="1" x14ac:dyDescent="0.3">
      <c r="A1009" s="25" t="s">
        <v>2067</v>
      </c>
      <c r="B1009" s="8" t="s">
        <v>2068</v>
      </c>
      <c r="C1009" s="25" t="s">
        <v>77</v>
      </c>
      <c r="D1009" s="25" t="s">
        <v>64</v>
      </c>
      <c r="E1009" s="9">
        <v>4700000</v>
      </c>
      <c r="F1009" s="26">
        <v>0.87</v>
      </c>
      <c r="G1009" s="25">
        <v>62</v>
      </c>
      <c r="H1009" s="27">
        <v>4.5</v>
      </c>
      <c r="I1009" s="24" t="str" cm="1">
        <f t="array" ref="I1009">_xlfn.IFS(
   AND(F1009&gt;=0,9, G1009&gt;=85), "Excelente",
   AND(F1009&gt;=0,8, G1009&gt;=70), "Bueno",
   OR(F1009&lt;0,6,  G1009&lt;50),  "Alerta",
   TRUE,           "Revisar")</f>
        <v>Alerta</v>
      </c>
      <c r="J1009" s="28">
        <f t="shared" si="15"/>
        <v>0</v>
      </c>
    </row>
    <row r="1010" spans="1:10" ht="18" customHeight="1" x14ac:dyDescent="0.3">
      <c r="A1010" s="18" t="s">
        <v>2069</v>
      </c>
      <c r="B1010" s="5" t="s">
        <v>2070</v>
      </c>
      <c r="C1010" s="18" t="s">
        <v>63</v>
      </c>
      <c r="D1010" s="18" t="s">
        <v>114</v>
      </c>
      <c r="E1010" s="6">
        <v>9600000</v>
      </c>
      <c r="F1010" s="19">
        <v>0.9</v>
      </c>
      <c r="G1010" s="18">
        <v>43</v>
      </c>
      <c r="H1010" s="20">
        <v>19.8</v>
      </c>
      <c r="I1010" s="24" t="str" cm="1">
        <f t="array" ref="I1010">_xlfn.IFS(
   AND(F1010&gt;=0,9, G1010&gt;=85), "Excelente",
   AND(F1010&gt;=0,8, G1010&gt;=70), "Bueno",
   OR(F1010&lt;0,6,  G1010&lt;50),  "Alerta",
   TRUE,           "Revisar")</f>
        <v>Alerta</v>
      </c>
      <c r="J1010" s="28">
        <f t="shared" si="15"/>
        <v>0</v>
      </c>
    </row>
    <row r="1011" spans="1:10" ht="18" customHeight="1" x14ac:dyDescent="0.3">
      <c r="A1011" s="25" t="s">
        <v>2071</v>
      </c>
      <c r="B1011" s="8" t="s">
        <v>2072</v>
      </c>
      <c r="C1011" s="25" t="s">
        <v>81</v>
      </c>
      <c r="D1011" s="25" t="s">
        <v>60</v>
      </c>
      <c r="E1011" s="9">
        <v>4200000</v>
      </c>
      <c r="F1011" s="26">
        <v>0.55000000000000004</v>
      </c>
      <c r="G1011" s="25">
        <v>35</v>
      </c>
      <c r="H1011" s="27">
        <v>2.7</v>
      </c>
      <c r="I1011" s="24" t="str" cm="1">
        <f t="array" ref="I1011">_xlfn.IFS(
   AND(F1011&gt;=0,9, G1011&gt;=85), "Excelente",
   AND(F1011&gt;=0,8, G1011&gt;=70), "Bueno",
   OR(F1011&lt;0,6,  G1011&lt;50),  "Alerta",
   TRUE,           "Revisar")</f>
        <v>Alerta</v>
      </c>
      <c r="J1011" s="28">
        <f t="shared" si="15"/>
        <v>0</v>
      </c>
    </row>
    <row r="1012" spans="1:10" ht="18" customHeight="1" x14ac:dyDescent="0.3">
      <c r="A1012" s="18" t="s">
        <v>2073</v>
      </c>
      <c r="B1012" s="5" t="s">
        <v>2074</v>
      </c>
      <c r="C1012" s="18" t="s">
        <v>81</v>
      </c>
      <c r="D1012" s="18" t="s">
        <v>64</v>
      </c>
      <c r="E1012" s="6">
        <v>4800000</v>
      </c>
      <c r="F1012" s="19">
        <v>0.82</v>
      </c>
      <c r="G1012" s="18">
        <v>91</v>
      </c>
      <c r="H1012" s="20">
        <v>19.2</v>
      </c>
      <c r="I1012" s="24" t="str" cm="1">
        <f t="array" ref="I1012">_xlfn.IFS(
   AND(F1012&gt;=0,9, G1012&gt;=85), "Excelente",
   AND(F1012&gt;=0,8, G1012&gt;=70), "Bueno",
   OR(F1012&lt;0,6,  G1012&lt;50),  "Alerta",
   TRUE,           "Revisar")</f>
        <v>Excelente</v>
      </c>
      <c r="J1012" s="28">
        <f t="shared" si="15"/>
        <v>480000</v>
      </c>
    </row>
    <row r="1013" spans="1:10" ht="18" customHeight="1" x14ac:dyDescent="0.3">
      <c r="A1013" s="25" t="s">
        <v>2075</v>
      </c>
      <c r="B1013" s="8" t="s">
        <v>2076</v>
      </c>
      <c r="C1013" s="25" t="s">
        <v>74</v>
      </c>
      <c r="D1013" s="25" t="s">
        <v>78</v>
      </c>
      <c r="E1013" s="9">
        <v>3000000</v>
      </c>
      <c r="F1013" s="26">
        <v>0.52</v>
      </c>
      <c r="G1013" s="25">
        <v>74</v>
      </c>
      <c r="H1013" s="27">
        <v>10</v>
      </c>
      <c r="I1013" s="24" t="str" cm="1">
        <f t="array" ref="I1013">_xlfn.IFS(
   AND(F1013&gt;=0,9, G1013&gt;=85), "Excelente",
   AND(F1013&gt;=0,8, G1013&gt;=70), "Bueno",
   OR(F1013&lt;0,6,  G1013&lt;50),  "Alerta",
   TRUE,           "Revisar")</f>
        <v>Bueno</v>
      </c>
      <c r="J1013" s="28">
        <f t="shared" si="15"/>
        <v>300000</v>
      </c>
    </row>
    <row r="1014" spans="1:10" ht="18" customHeight="1" x14ac:dyDescent="0.3">
      <c r="A1014" s="18" t="s">
        <v>2077</v>
      </c>
      <c r="B1014" s="5" t="s">
        <v>2078</v>
      </c>
      <c r="C1014" s="18" t="s">
        <v>81</v>
      </c>
      <c r="D1014" s="18" t="s">
        <v>68</v>
      </c>
      <c r="E1014" s="6">
        <v>10400000</v>
      </c>
      <c r="F1014" s="19">
        <v>0.86</v>
      </c>
      <c r="G1014" s="18">
        <v>85</v>
      </c>
      <c r="H1014" s="20">
        <v>9.6</v>
      </c>
      <c r="I1014" s="24" t="str" cm="1">
        <f t="array" ref="I1014">_xlfn.IFS(
   AND(F1014&gt;=0,9, G1014&gt;=85), "Excelente",
   AND(F1014&gt;=0,8, G1014&gt;=70), "Bueno",
   OR(F1014&lt;0,6,  G1014&lt;50),  "Alerta",
   TRUE,           "Revisar")</f>
        <v>Excelente</v>
      </c>
      <c r="J1014" s="28">
        <f t="shared" si="15"/>
        <v>1040000</v>
      </c>
    </row>
    <row r="1015" spans="1:10" ht="18" customHeight="1" x14ac:dyDescent="0.3">
      <c r="A1015" s="25" t="s">
        <v>2079</v>
      </c>
      <c r="B1015" s="8" t="s">
        <v>2080</v>
      </c>
      <c r="C1015" s="25" t="s">
        <v>71</v>
      </c>
      <c r="D1015" s="25" t="s">
        <v>114</v>
      </c>
      <c r="E1015" s="9">
        <v>5900000</v>
      </c>
      <c r="F1015" s="26">
        <v>0.6</v>
      </c>
      <c r="G1015" s="25">
        <v>44</v>
      </c>
      <c r="H1015" s="27">
        <v>17.3</v>
      </c>
      <c r="I1015" s="24" t="str" cm="1">
        <f t="array" ref="I1015">_xlfn.IFS(
   AND(F1015&gt;=0,9, G1015&gt;=85), "Excelente",
   AND(F1015&gt;=0,8, G1015&gt;=70), "Bueno",
   OR(F1015&lt;0,6,  G1015&lt;50),  "Alerta",
   TRUE,           "Revisar")</f>
        <v>Alerta</v>
      </c>
      <c r="J1015" s="28">
        <f t="shared" si="15"/>
        <v>0</v>
      </c>
    </row>
    <row r="1016" spans="1:10" ht="18" customHeight="1" x14ac:dyDescent="0.3">
      <c r="A1016" s="18" t="s">
        <v>2081</v>
      </c>
      <c r="B1016" s="5" t="s">
        <v>2082</v>
      </c>
      <c r="C1016" s="18" t="s">
        <v>77</v>
      </c>
      <c r="D1016" s="18" t="s">
        <v>78</v>
      </c>
      <c r="E1016" s="6">
        <v>11700000</v>
      </c>
      <c r="F1016" s="19">
        <v>0.85</v>
      </c>
      <c r="G1016" s="18">
        <v>53</v>
      </c>
      <c r="H1016" s="20">
        <v>3.8</v>
      </c>
      <c r="I1016" s="24" t="str" cm="1">
        <f t="array" ref="I1016">_xlfn.IFS(
   AND(F1016&gt;=0,9, G1016&gt;=85), "Excelente",
   AND(F1016&gt;=0,8, G1016&gt;=70), "Bueno",
   OR(F1016&lt;0,6,  G1016&lt;50),  "Alerta",
   TRUE,           "Revisar")</f>
        <v>Alerta</v>
      </c>
      <c r="J1016" s="28">
        <f t="shared" si="15"/>
        <v>0</v>
      </c>
    </row>
    <row r="1017" spans="1:10" ht="18" customHeight="1" x14ac:dyDescent="0.3">
      <c r="A1017" s="25" t="s">
        <v>2083</v>
      </c>
      <c r="B1017" s="8" t="s">
        <v>2084</v>
      </c>
      <c r="C1017" s="25" t="s">
        <v>74</v>
      </c>
      <c r="D1017" s="25" t="s">
        <v>114</v>
      </c>
      <c r="E1017" s="9">
        <v>7900000</v>
      </c>
      <c r="F1017" s="26">
        <v>0.47</v>
      </c>
      <c r="G1017" s="25">
        <v>54</v>
      </c>
      <c r="H1017" s="27">
        <v>18.600000000000001</v>
      </c>
      <c r="I1017" s="24" t="str" cm="1">
        <f t="array" ref="I1017">_xlfn.IFS(
   AND(F1017&gt;=0,9, G1017&gt;=85), "Excelente",
   AND(F1017&gt;=0,8, G1017&gt;=70), "Bueno",
   OR(F1017&lt;0,6,  G1017&lt;50),  "Alerta",
   TRUE,           "Revisar")</f>
        <v>Alerta</v>
      </c>
      <c r="J1017" s="28">
        <f t="shared" si="15"/>
        <v>0</v>
      </c>
    </row>
    <row r="1018" spans="1:10" ht="18" customHeight="1" x14ac:dyDescent="0.3">
      <c r="A1018" s="18" t="s">
        <v>2085</v>
      </c>
      <c r="B1018" s="5" t="s">
        <v>2086</v>
      </c>
      <c r="C1018" s="18" t="s">
        <v>74</v>
      </c>
      <c r="D1018" s="18" t="s">
        <v>64</v>
      </c>
      <c r="E1018" s="6">
        <v>7600000</v>
      </c>
      <c r="F1018" s="19">
        <v>0.67</v>
      </c>
      <c r="G1018" s="18">
        <v>69</v>
      </c>
      <c r="H1018" s="20">
        <v>14</v>
      </c>
      <c r="I1018" s="24" t="str" cm="1">
        <f t="array" ref="I1018">_xlfn.IFS(
   AND(F1018&gt;=0,9, G1018&gt;=85), "Excelente",
   AND(F1018&gt;=0,8, G1018&gt;=70), "Bueno",
   OR(F1018&lt;0,6,  G1018&lt;50),  "Alerta",
   TRUE,           "Revisar")</f>
        <v>Alerta</v>
      </c>
      <c r="J1018" s="28">
        <f t="shared" si="15"/>
        <v>0</v>
      </c>
    </row>
    <row r="1019" spans="1:10" ht="18" customHeight="1" x14ac:dyDescent="0.3">
      <c r="A1019" s="25" t="s">
        <v>2087</v>
      </c>
      <c r="B1019" s="8" t="s">
        <v>2088</v>
      </c>
      <c r="C1019" s="25" t="s">
        <v>59</v>
      </c>
      <c r="D1019" s="25" t="s">
        <v>105</v>
      </c>
      <c r="E1019" s="9">
        <v>6300000</v>
      </c>
      <c r="F1019" s="26">
        <v>0.95</v>
      </c>
      <c r="G1019" s="25">
        <v>42</v>
      </c>
      <c r="H1019" s="27">
        <v>8.6</v>
      </c>
      <c r="I1019" s="24" t="str" cm="1">
        <f t="array" ref="I1019">_xlfn.IFS(
   AND(F1019&gt;=0,9, G1019&gt;=85), "Excelente",
   AND(F1019&gt;=0,8, G1019&gt;=70), "Bueno",
   OR(F1019&lt;0,6,  G1019&lt;50),  "Alerta",
   TRUE,           "Revisar")</f>
        <v>Alerta</v>
      </c>
      <c r="J1019" s="28">
        <f t="shared" si="15"/>
        <v>0</v>
      </c>
    </row>
    <row r="1020" spans="1:10" ht="18" customHeight="1" x14ac:dyDescent="0.3">
      <c r="A1020" s="18" t="s">
        <v>2089</v>
      </c>
      <c r="B1020" s="5" t="s">
        <v>2090</v>
      </c>
      <c r="C1020" s="18" t="s">
        <v>59</v>
      </c>
      <c r="D1020" s="18" t="s">
        <v>78</v>
      </c>
      <c r="E1020" s="6">
        <v>4000000</v>
      </c>
      <c r="F1020" s="19">
        <v>0.82</v>
      </c>
      <c r="G1020" s="18">
        <v>100</v>
      </c>
      <c r="H1020" s="20">
        <v>15.4</v>
      </c>
      <c r="I1020" s="24" t="str" cm="1">
        <f t="array" ref="I1020">_xlfn.IFS(
   AND(F1020&gt;=0,9, G1020&gt;=85), "Excelente",
   AND(F1020&gt;=0,8, G1020&gt;=70), "Bueno",
   OR(F1020&lt;0,6,  G1020&lt;50),  "Alerta",
   TRUE,           "Revisar")</f>
        <v>Excelente</v>
      </c>
      <c r="J1020" s="28">
        <f t="shared" si="15"/>
        <v>400000</v>
      </c>
    </row>
    <row r="1021" spans="1:10" ht="18" customHeight="1" x14ac:dyDescent="0.3">
      <c r="A1021" s="25" t="s">
        <v>2091</v>
      </c>
      <c r="B1021" s="8" t="s">
        <v>2092</v>
      </c>
      <c r="C1021" s="25" t="s">
        <v>81</v>
      </c>
      <c r="D1021" s="25" t="s">
        <v>92</v>
      </c>
      <c r="E1021" s="9">
        <v>5800000</v>
      </c>
      <c r="F1021" s="26">
        <v>0.81</v>
      </c>
      <c r="G1021" s="25">
        <v>56</v>
      </c>
      <c r="H1021" s="27">
        <v>11.7</v>
      </c>
      <c r="I1021" s="24" t="str" cm="1">
        <f t="array" ref="I1021">_xlfn.IFS(
   AND(F1021&gt;=0,9, G1021&gt;=85), "Excelente",
   AND(F1021&gt;=0,8, G1021&gt;=70), "Bueno",
   OR(F1021&lt;0,6,  G1021&lt;50),  "Alerta",
   TRUE,           "Revisar")</f>
        <v>Alerta</v>
      </c>
      <c r="J1021" s="28">
        <f t="shared" si="15"/>
        <v>0</v>
      </c>
    </row>
    <row r="1022" spans="1:10" ht="18" customHeight="1" x14ac:dyDescent="0.3">
      <c r="A1022" s="18" t="s">
        <v>2093</v>
      </c>
      <c r="B1022" s="5" t="s">
        <v>2094</v>
      </c>
      <c r="C1022" s="18" t="s">
        <v>77</v>
      </c>
      <c r="D1022" s="18" t="s">
        <v>78</v>
      </c>
      <c r="E1022" s="6">
        <v>3700000</v>
      </c>
      <c r="F1022" s="19">
        <v>0.97</v>
      </c>
      <c r="G1022" s="18">
        <v>73</v>
      </c>
      <c r="H1022" s="20">
        <v>6</v>
      </c>
      <c r="I1022" s="24" t="str" cm="1">
        <f t="array" ref="I1022">_xlfn.IFS(
   AND(F1022&gt;=0,9, G1022&gt;=85), "Excelente",
   AND(F1022&gt;=0,8, G1022&gt;=70), "Bueno",
   OR(F1022&lt;0,6,  G1022&lt;50),  "Alerta",
   TRUE,           "Revisar")</f>
        <v>Bueno</v>
      </c>
      <c r="J1022" s="28">
        <f t="shared" si="15"/>
        <v>370000</v>
      </c>
    </row>
    <row r="1023" spans="1:10" ht="18" customHeight="1" x14ac:dyDescent="0.3">
      <c r="A1023" s="25" t="s">
        <v>2095</v>
      </c>
      <c r="B1023" s="8" t="s">
        <v>2096</v>
      </c>
      <c r="C1023" s="25" t="s">
        <v>71</v>
      </c>
      <c r="D1023" s="25" t="s">
        <v>64</v>
      </c>
      <c r="E1023" s="9">
        <v>4400000</v>
      </c>
      <c r="F1023" s="26">
        <v>0.56000000000000005</v>
      </c>
      <c r="G1023" s="25">
        <v>100</v>
      </c>
      <c r="H1023" s="27">
        <v>14.2</v>
      </c>
      <c r="I1023" s="24" t="str" cm="1">
        <f t="array" ref="I1023">_xlfn.IFS(
   AND(F1023&gt;=0,9, G1023&gt;=85), "Excelente",
   AND(F1023&gt;=0,8, G1023&gt;=70), "Bueno",
   OR(F1023&lt;0,6,  G1023&lt;50),  "Alerta",
   TRUE,           "Revisar")</f>
        <v>Excelente</v>
      </c>
      <c r="J1023" s="28">
        <f t="shared" si="15"/>
        <v>440000</v>
      </c>
    </row>
    <row r="1024" spans="1:10" ht="18" customHeight="1" x14ac:dyDescent="0.3">
      <c r="A1024" s="18" t="s">
        <v>2097</v>
      </c>
      <c r="B1024" s="5" t="s">
        <v>2098</v>
      </c>
      <c r="C1024" s="18" t="s">
        <v>81</v>
      </c>
      <c r="D1024" s="18" t="s">
        <v>105</v>
      </c>
      <c r="E1024" s="6">
        <v>10800000</v>
      </c>
      <c r="F1024" s="19">
        <v>0.84</v>
      </c>
      <c r="G1024" s="18">
        <v>85</v>
      </c>
      <c r="H1024" s="20">
        <v>1.4</v>
      </c>
      <c r="I1024" s="24" t="str" cm="1">
        <f t="array" ref="I1024">_xlfn.IFS(
   AND(F1024&gt;=0,9, G1024&gt;=85), "Excelente",
   AND(F1024&gt;=0,8, G1024&gt;=70), "Bueno",
   OR(F1024&lt;0,6,  G1024&lt;50),  "Alerta",
   TRUE,           "Revisar")</f>
        <v>Excelente</v>
      </c>
      <c r="J1024" s="28">
        <f t="shared" si="15"/>
        <v>1080000</v>
      </c>
    </row>
    <row r="1025" spans="1:10" ht="18" customHeight="1" x14ac:dyDescent="0.3">
      <c r="A1025" s="25" t="s">
        <v>2099</v>
      </c>
      <c r="B1025" s="8" t="s">
        <v>2100</v>
      </c>
      <c r="C1025" s="25" t="s">
        <v>91</v>
      </c>
      <c r="D1025" s="25" t="s">
        <v>114</v>
      </c>
      <c r="E1025" s="9">
        <v>10400000</v>
      </c>
      <c r="F1025" s="26">
        <v>0.6</v>
      </c>
      <c r="G1025" s="25">
        <v>46</v>
      </c>
      <c r="H1025" s="27">
        <v>5.8</v>
      </c>
      <c r="I1025" s="24" t="str" cm="1">
        <f t="array" ref="I1025">_xlfn.IFS(
   AND(F1025&gt;=0,9, G1025&gt;=85), "Excelente",
   AND(F1025&gt;=0,8, G1025&gt;=70), "Bueno",
   OR(F1025&lt;0,6,  G1025&lt;50),  "Alerta",
   TRUE,           "Revisar")</f>
        <v>Alerta</v>
      </c>
      <c r="J1025" s="28">
        <f t="shared" si="15"/>
        <v>0</v>
      </c>
    </row>
    <row r="1026" spans="1:10" ht="18" customHeight="1" x14ac:dyDescent="0.3">
      <c r="A1026" s="18" t="s">
        <v>2101</v>
      </c>
      <c r="B1026" s="5" t="s">
        <v>2102</v>
      </c>
      <c r="C1026" s="18" t="s">
        <v>59</v>
      </c>
      <c r="D1026" s="18" t="s">
        <v>88</v>
      </c>
      <c r="E1026" s="6">
        <v>5600000</v>
      </c>
      <c r="F1026" s="19">
        <v>0.61</v>
      </c>
      <c r="G1026" s="18">
        <v>64</v>
      </c>
      <c r="H1026" s="20">
        <v>11</v>
      </c>
      <c r="I1026" s="24" t="str" cm="1">
        <f t="array" ref="I1026">_xlfn.IFS(
   AND(F1026&gt;=0,9, G1026&gt;=85), "Excelente",
   AND(F1026&gt;=0,8, G1026&gt;=70), "Bueno",
   OR(F1026&lt;0,6,  G1026&lt;50),  "Alerta",
   TRUE,           "Revisar")</f>
        <v>Alerta</v>
      </c>
      <c r="J1026" s="28">
        <f t="shared" si="15"/>
        <v>0</v>
      </c>
    </row>
    <row r="1027" spans="1:10" ht="18" customHeight="1" x14ac:dyDescent="0.3">
      <c r="A1027" s="25" t="s">
        <v>2103</v>
      </c>
      <c r="B1027" s="8" t="s">
        <v>2104</v>
      </c>
      <c r="C1027" s="25" t="s">
        <v>81</v>
      </c>
      <c r="D1027" s="25" t="s">
        <v>92</v>
      </c>
      <c r="E1027" s="9">
        <v>3800000</v>
      </c>
      <c r="F1027" s="26">
        <v>0.97</v>
      </c>
      <c r="G1027" s="25">
        <v>100</v>
      </c>
      <c r="H1027" s="27">
        <v>5.3</v>
      </c>
      <c r="I1027" s="24" t="str" cm="1">
        <f t="array" ref="I1027">_xlfn.IFS(
   AND(F1027&gt;=0,9, G1027&gt;=85), "Excelente",
   AND(F1027&gt;=0,8, G1027&gt;=70), "Bueno",
   OR(F1027&lt;0,6,  G1027&lt;50),  "Alerta",
   TRUE,           "Revisar")</f>
        <v>Excelente</v>
      </c>
      <c r="J1027" s="28">
        <f t="shared" si="15"/>
        <v>380000</v>
      </c>
    </row>
    <row r="1028" spans="1:10" ht="18" customHeight="1" x14ac:dyDescent="0.3">
      <c r="A1028" s="18" t="s">
        <v>2105</v>
      </c>
      <c r="B1028" s="5" t="s">
        <v>2106</v>
      </c>
      <c r="C1028" s="18" t="s">
        <v>81</v>
      </c>
      <c r="D1028" s="18" t="s">
        <v>60</v>
      </c>
      <c r="E1028" s="6">
        <v>6300000</v>
      </c>
      <c r="F1028" s="19">
        <v>0.55000000000000004</v>
      </c>
      <c r="G1028" s="18">
        <v>32</v>
      </c>
      <c r="H1028" s="20">
        <v>10.7</v>
      </c>
      <c r="I1028" s="24" t="str" cm="1">
        <f t="array" ref="I1028">_xlfn.IFS(
   AND(F1028&gt;=0,9, G1028&gt;=85), "Excelente",
   AND(F1028&gt;=0,8, G1028&gt;=70), "Bueno",
   OR(F1028&lt;0,6,  G1028&lt;50),  "Alerta",
   TRUE,           "Revisar")</f>
        <v>Alerta</v>
      </c>
      <c r="J1028" s="28">
        <f t="shared" si="15"/>
        <v>0</v>
      </c>
    </row>
    <row r="1029" spans="1:10" ht="18" customHeight="1" x14ac:dyDescent="0.3">
      <c r="A1029" s="25" t="s">
        <v>2107</v>
      </c>
      <c r="B1029" s="8" t="s">
        <v>2108</v>
      </c>
      <c r="C1029" s="25" t="s">
        <v>67</v>
      </c>
      <c r="D1029" s="25" t="s">
        <v>105</v>
      </c>
      <c r="E1029" s="9">
        <v>5600000</v>
      </c>
      <c r="F1029" s="26">
        <v>0.63</v>
      </c>
      <c r="G1029" s="25">
        <v>56</v>
      </c>
      <c r="H1029" s="27">
        <v>11.6</v>
      </c>
      <c r="I1029" s="24" t="str" cm="1">
        <f t="array" ref="I1029">_xlfn.IFS(
   AND(F1029&gt;=0,9, G1029&gt;=85), "Excelente",
   AND(F1029&gt;=0,8, G1029&gt;=70), "Bueno",
   OR(F1029&lt;0,6,  G1029&lt;50),  "Alerta",
   TRUE,           "Revisar")</f>
        <v>Alerta</v>
      </c>
      <c r="J1029" s="28">
        <f t="shared" si="15"/>
        <v>0</v>
      </c>
    </row>
    <row r="1030" spans="1:10" ht="18" customHeight="1" x14ac:dyDescent="0.3">
      <c r="A1030" s="18" t="s">
        <v>2109</v>
      </c>
      <c r="B1030" s="5" t="s">
        <v>2110</v>
      </c>
      <c r="C1030" s="18" t="s">
        <v>77</v>
      </c>
      <c r="D1030" s="18" t="s">
        <v>114</v>
      </c>
      <c r="E1030" s="6">
        <v>5000000</v>
      </c>
      <c r="F1030" s="19">
        <v>0.55000000000000004</v>
      </c>
      <c r="G1030" s="18">
        <v>92</v>
      </c>
      <c r="H1030" s="20">
        <v>18.899999999999999</v>
      </c>
      <c r="I1030" s="24" t="str" cm="1">
        <f t="array" ref="I1030">_xlfn.IFS(
   AND(F1030&gt;=0,9, G1030&gt;=85), "Excelente",
   AND(F1030&gt;=0,8, G1030&gt;=70), "Bueno",
   OR(F1030&lt;0,6,  G1030&lt;50),  "Alerta",
   TRUE,           "Revisar")</f>
        <v>Excelente</v>
      </c>
      <c r="J1030" s="28">
        <f t="shared" si="15"/>
        <v>500000</v>
      </c>
    </row>
    <row r="1031" spans="1:10" ht="18" customHeight="1" x14ac:dyDescent="0.3">
      <c r="A1031" s="25" t="s">
        <v>2111</v>
      </c>
      <c r="B1031" s="8" t="s">
        <v>2112</v>
      </c>
      <c r="C1031" s="25" t="s">
        <v>67</v>
      </c>
      <c r="D1031" s="25" t="s">
        <v>105</v>
      </c>
      <c r="E1031" s="9">
        <v>11000000</v>
      </c>
      <c r="F1031" s="26">
        <v>0.98</v>
      </c>
      <c r="G1031" s="25">
        <v>42</v>
      </c>
      <c r="H1031" s="27">
        <v>14.5</v>
      </c>
      <c r="I1031" s="24" t="str" cm="1">
        <f t="array" ref="I1031">_xlfn.IFS(
   AND(F1031&gt;=0,9, G1031&gt;=85), "Excelente",
   AND(F1031&gt;=0,8, G1031&gt;=70), "Bueno",
   OR(F1031&lt;0,6,  G1031&lt;50),  "Alerta",
   TRUE,           "Revisar")</f>
        <v>Alerta</v>
      </c>
      <c r="J1031" s="28">
        <f t="shared" si="15"/>
        <v>0</v>
      </c>
    </row>
    <row r="1032" spans="1:10" ht="18" customHeight="1" x14ac:dyDescent="0.3">
      <c r="A1032" s="18" t="s">
        <v>2113</v>
      </c>
      <c r="B1032" s="5" t="s">
        <v>2114</v>
      </c>
      <c r="C1032" s="18" t="s">
        <v>74</v>
      </c>
      <c r="D1032" s="18" t="s">
        <v>92</v>
      </c>
      <c r="E1032" s="6">
        <v>11800000</v>
      </c>
      <c r="F1032" s="19">
        <v>0.5</v>
      </c>
      <c r="G1032" s="18">
        <v>47</v>
      </c>
      <c r="H1032" s="20">
        <v>9.6</v>
      </c>
      <c r="I1032" s="24" t="str" cm="1">
        <f t="array" ref="I1032">_xlfn.IFS(
   AND(F1032&gt;=0,9, G1032&gt;=85), "Excelente",
   AND(F1032&gt;=0,8, G1032&gt;=70), "Bueno",
   OR(F1032&lt;0,6,  G1032&lt;50),  "Alerta",
   TRUE,           "Revisar")</f>
        <v>Alerta</v>
      </c>
      <c r="J1032" s="28">
        <f t="shared" si="15"/>
        <v>0</v>
      </c>
    </row>
    <row r="1033" spans="1:10" ht="18" customHeight="1" x14ac:dyDescent="0.3">
      <c r="A1033" s="25" t="s">
        <v>2115</v>
      </c>
      <c r="B1033" s="8" t="s">
        <v>2116</v>
      </c>
      <c r="C1033" s="25" t="s">
        <v>71</v>
      </c>
      <c r="D1033" s="25" t="s">
        <v>88</v>
      </c>
      <c r="E1033" s="9">
        <v>7000000</v>
      </c>
      <c r="F1033" s="26">
        <v>0.71</v>
      </c>
      <c r="G1033" s="25">
        <v>61</v>
      </c>
      <c r="H1033" s="27">
        <v>1.1000000000000001</v>
      </c>
      <c r="I1033" s="24" t="str" cm="1">
        <f t="array" ref="I1033">_xlfn.IFS(
   AND(F1033&gt;=0,9, G1033&gt;=85), "Excelente",
   AND(F1033&gt;=0,8, G1033&gt;=70), "Bueno",
   OR(F1033&lt;0,6,  G1033&lt;50),  "Alerta",
   TRUE,           "Revisar")</f>
        <v>Alerta</v>
      </c>
      <c r="J1033" s="28">
        <f t="shared" si="15"/>
        <v>0</v>
      </c>
    </row>
    <row r="1034" spans="1:10" ht="18" customHeight="1" x14ac:dyDescent="0.3">
      <c r="A1034" s="18" t="s">
        <v>2117</v>
      </c>
      <c r="B1034" s="5" t="s">
        <v>2118</v>
      </c>
      <c r="C1034" s="18" t="s">
        <v>91</v>
      </c>
      <c r="D1034" s="18" t="s">
        <v>64</v>
      </c>
      <c r="E1034" s="6">
        <v>4100000</v>
      </c>
      <c r="F1034" s="19">
        <v>0.75</v>
      </c>
      <c r="G1034" s="18">
        <v>43</v>
      </c>
      <c r="H1034" s="20">
        <v>10.199999999999999</v>
      </c>
      <c r="I1034" s="24" t="str" cm="1">
        <f t="array" ref="I1034">_xlfn.IFS(
   AND(F1034&gt;=0,9, G1034&gt;=85), "Excelente",
   AND(F1034&gt;=0,8, G1034&gt;=70), "Bueno",
   OR(F1034&lt;0,6,  G1034&lt;50),  "Alerta",
   TRUE,           "Revisar")</f>
        <v>Alerta</v>
      </c>
      <c r="J1034" s="28">
        <f t="shared" si="15"/>
        <v>0</v>
      </c>
    </row>
    <row r="1035" spans="1:10" ht="18" customHeight="1" x14ac:dyDescent="0.3">
      <c r="A1035" s="25" t="s">
        <v>2119</v>
      </c>
      <c r="B1035" s="8" t="s">
        <v>2120</v>
      </c>
      <c r="C1035" s="25" t="s">
        <v>63</v>
      </c>
      <c r="D1035" s="25" t="s">
        <v>114</v>
      </c>
      <c r="E1035" s="9">
        <v>7300000</v>
      </c>
      <c r="F1035" s="26">
        <v>0.81</v>
      </c>
      <c r="G1035" s="25">
        <v>58</v>
      </c>
      <c r="H1035" s="27">
        <v>18.399999999999999</v>
      </c>
      <c r="I1035" s="24" t="str" cm="1">
        <f t="array" ref="I1035">_xlfn.IFS(
   AND(F1035&gt;=0,9, G1035&gt;=85), "Excelente",
   AND(F1035&gt;=0,8, G1035&gt;=70), "Bueno",
   OR(F1035&lt;0,6,  G1035&lt;50),  "Alerta",
   TRUE,           "Revisar")</f>
        <v>Alerta</v>
      </c>
      <c r="J1035" s="28">
        <f t="shared" si="15"/>
        <v>0</v>
      </c>
    </row>
    <row r="1036" spans="1:10" ht="18" customHeight="1" x14ac:dyDescent="0.3">
      <c r="A1036" s="18" t="s">
        <v>2121</v>
      </c>
      <c r="B1036" s="5" t="s">
        <v>2122</v>
      </c>
      <c r="C1036" s="18" t="s">
        <v>74</v>
      </c>
      <c r="D1036" s="18" t="s">
        <v>64</v>
      </c>
      <c r="E1036" s="6">
        <v>4700000</v>
      </c>
      <c r="F1036" s="19">
        <v>0.88</v>
      </c>
      <c r="G1036" s="18">
        <v>48</v>
      </c>
      <c r="H1036" s="20">
        <v>6.4</v>
      </c>
      <c r="I1036" s="24" t="str" cm="1">
        <f t="array" ref="I1036">_xlfn.IFS(
   AND(F1036&gt;=0,9, G1036&gt;=85), "Excelente",
   AND(F1036&gt;=0,8, G1036&gt;=70), "Bueno",
   OR(F1036&lt;0,6,  G1036&lt;50),  "Alerta",
   TRUE,           "Revisar")</f>
        <v>Alerta</v>
      </c>
      <c r="J1036" s="28">
        <f t="shared" ref="J1036:J1099" si="16">IF(OR(I1036="Excelente",I1036="Bueno"),E1036*0.1,0)</f>
        <v>0</v>
      </c>
    </row>
    <row r="1037" spans="1:10" ht="18" customHeight="1" x14ac:dyDescent="0.3">
      <c r="A1037" s="25" t="s">
        <v>2123</v>
      </c>
      <c r="B1037" s="8" t="s">
        <v>2124</v>
      </c>
      <c r="C1037" s="25" t="s">
        <v>74</v>
      </c>
      <c r="D1037" s="25" t="s">
        <v>78</v>
      </c>
      <c r="E1037" s="9">
        <v>10100000</v>
      </c>
      <c r="F1037" s="26">
        <v>0.69</v>
      </c>
      <c r="G1037" s="25">
        <v>65</v>
      </c>
      <c r="H1037" s="27">
        <v>2.9</v>
      </c>
      <c r="I1037" s="24" t="str" cm="1">
        <f t="array" ref="I1037">_xlfn.IFS(
   AND(F1037&gt;=0,9, G1037&gt;=85), "Excelente",
   AND(F1037&gt;=0,8, G1037&gt;=70), "Bueno",
   OR(F1037&lt;0,6,  G1037&lt;50),  "Alerta",
   TRUE,           "Revisar")</f>
        <v>Alerta</v>
      </c>
      <c r="J1037" s="28">
        <f t="shared" si="16"/>
        <v>0</v>
      </c>
    </row>
    <row r="1038" spans="1:10" ht="18" customHeight="1" x14ac:dyDescent="0.3">
      <c r="A1038" s="18" t="s">
        <v>2125</v>
      </c>
      <c r="B1038" s="5" t="s">
        <v>2126</v>
      </c>
      <c r="C1038" s="18" t="s">
        <v>74</v>
      </c>
      <c r="D1038" s="18" t="s">
        <v>68</v>
      </c>
      <c r="E1038" s="6">
        <v>9500000</v>
      </c>
      <c r="F1038" s="19">
        <v>0.77</v>
      </c>
      <c r="G1038" s="18">
        <v>58</v>
      </c>
      <c r="H1038" s="20">
        <v>14.1</v>
      </c>
      <c r="I1038" s="24" t="str" cm="1">
        <f t="array" ref="I1038">_xlfn.IFS(
   AND(F1038&gt;=0,9, G1038&gt;=85), "Excelente",
   AND(F1038&gt;=0,8, G1038&gt;=70), "Bueno",
   OR(F1038&lt;0,6,  G1038&lt;50),  "Alerta",
   TRUE,           "Revisar")</f>
        <v>Alerta</v>
      </c>
      <c r="J1038" s="28">
        <f t="shared" si="16"/>
        <v>0</v>
      </c>
    </row>
    <row r="1039" spans="1:10" ht="18" customHeight="1" x14ac:dyDescent="0.3">
      <c r="A1039" s="25" t="s">
        <v>2127</v>
      </c>
      <c r="B1039" s="8" t="s">
        <v>2128</v>
      </c>
      <c r="C1039" s="25" t="s">
        <v>91</v>
      </c>
      <c r="D1039" s="25" t="s">
        <v>92</v>
      </c>
      <c r="E1039" s="9">
        <v>9900000</v>
      </c>
      <c r="F1039" s="26">
        <v>0.71</v>
      </c>
      <c r="G1039" s="25">
        <v>47</v>
      </c>
      <c r="H1039" s="27">
        <v>18.399999999999999</v>
      </c>
      <c r="I1039" s="24" t="str" cm="1">
        <f t="array" ref="I1039">_xlfn.IFS(
   AND(F1039&gt;=0,9, G1039&gt;=85), "Excelente",
   AND(F1039&gt;=0,8, G1039&gt;=70), "Bueno",
   OR(F1039&lt;0,6,  G1039&lt;50),  "Alerta",
   TRUE,           "Revisar")</f>
        <v>Alerta</v>
      </c>
      <c r="J1039" s="28">
        <f t="shared" si="16"/>
        <v>0</v>
      </c>
    </row>
    <row r="1040" spans="1:10" ht="18" customHeight="1" x14ac:dyDescent="0.3">
      <c r="A1040" s="18" t="s">
        <v>2129</v>
      </c>
      <c r="B1040" s="5" t="s">
        <v>2130</v>
      </c>
      <c r="C1040" s="18" t="s">
        <v>71</v>
      </c>
      <c r="D1040" s="18" t="s">
        <v>68</v>
      </c>
      <c r="E1040" s="6">
        <v>3100000</v>
      </c>
      <c r="F1040" s="19">
        <v>0.83</v>
      </c>
      <c r="G1040" s="18">
        <v>84</v>
      </c>
      <c r="H1040" s="20">
        <v>7.4</v>
      </c>
      <c r="I1040" s="24" t="str" cm="1">
        <f t="array" ref="I1040">_xlfn.IFS(
   AND(F1040&gt;=0,9, G1040&gt;=85), "Excelente",
   AND(F1040&gt;=0,8, G1040&gt;=70), "Bueno",
   OR(F1040&lt;0,6,  G1040&lt;50),  "Alerta",
   TRUE,           "Revisar")</f>
        <v>Bueno</v>
      </c>
      <c r="J1040" s="28">
        <f t="shared" si="16"/>
        <v>310000</v>
      </c>
    </row>
    <row r="1041" spans="1:10" ht="18" customHeight="1" x14ac:dyDescent="0.3">
      <c r="A1041" s="25" t="s">
        <v>2131</v>
      </c>
      <c r="B1041" s="8" t="s">
        <v>2132</v>
      </c>
      <c r="C1041" s="25" t="s">
        <v>63</v>
      </c>
      <c r="D1041" s="25" t="s">
        <v>114</v>
      </c>
      <c r="E1041" s="9">
        <v>5100000</v>
      </c>
      <c r="F1041" s="26">
        <v>0.71</v>
      </c>
      <c r="G1041" s="25">
        <v>47</v>
      </c>
      <c r="H1041" s="27">
        <v>15</v>
      </c>
      <c r="I1041" s="24" t="str" cm="1">
        <f t="array" ref="I1041">_xlfn.IFS(
   AND(F1041&gt;=0,9, G1041&gt;=85), "Excelente",
   AND(F1041&gt;=0,8, G1041&gt;=70), "Bueno",
   OR(F1041&lt;0,6,  G1041&lt;50),  "Alerta",
   TRUE,           "Revisar")</f>
        <v>Alerta</v>
      </c>
      <c r="J1041" s="28">
        <f t="shared" si="16"/>
        <v>0</v>
      </c>
    </row>
    <row r="1042" spans="1:10" ht="18" customHeight="1" x14ac:dyDescent="0.3">
      <c r="A1042" s="18" t="s">
        <v>2133</v>
      </c>
      <c r="B1042" s="5" t="s">
        <v>2134</v>
      </c>
      <c r="C1042" s="18" t="s">
        <v>91</v>
      </c>
      <c r="D1042" s="18" t="s">
        <v>64</v>
      </c>
      <c r="E1042" s="6">
        <v>10500000</v>
      </c>
      <c r="F1042" s="19">
        <v>0.86</v>
      </c>
      <c r="G1042" s="18">
        <v>94</v>
      </c>
      <c r="H1042" s="20">
        <v>3.2</v>
      </c>
      <c r="I1042" s="24" t="str" cm="1">
        <f t="array" ref="I1042">_xlfn.IFS(
   AND(F1042&gt;=0,9, G1042&gt;=85), "Excelente",
   AND(F1042&gt;=0,8, G1042&gt;=70), "Bueno",
   OR(F1042&lt;0,6,  G1042&lt;50),  "Alerta",
   TRUE,           "Revisar")</f>
        <v>Excelente</v>
      </c>
      <c r="J1042" s="28">
        <f t="shared" si="16"/>
        <v>1050000</v>
      </c>
    </row>
    <row r="1043" spans="1:10" ht="18" customHeight="1" x14ac:dyDescent="0.3">
      <c r="A1043" s="25" t="s">
        <v>2135</v>
      </c>
      <c r="B1043" s="8" t="s">
        <v>2136</v>
      </c>
      <c r="C1043" s="25" t="s">
        <v>59</v>
      </c>
      <c r="D1043" s="25" t="s">
        <v>60</v>
      </c>
      <c r="E1043" s="9">
        <v>8200000</v>
      </c>
      <c r="F1043" s="26">
        <v>0.96</v>
      </c>
      <c r="G1043" s="25">
        <v>64</v>
      </c>
      <c r="H1043" s="27">
        <v>19.5</v>
      </c>
      <c r="I1043" s="24" t="str" cm="1">
        <f t="array" ref="I1043">_xlfn.IFS(
   AND(F1043&gt;=0,9, G1043&gt;=85), "Excelente",
   AND(F1043&gt;=0,8, G1043&gt;=70), "Bueno",
   OR(F1043&lt;0,6,  G1043&lt;50),  "Alerta",
   TRUE,           "Revisar")</f>
        <v>Alerta</v>
      </c>
      <c r="J1043" s="28">
        <f t="shared" si="16"/>
        <v>0</v>
      </c>
    </row>
    <row r="1044" spans="1:10" ht="18" customHeight="1" x14ac:dyDescent="0.3">
      <c r="A1044" s="18" t="s">
        <v>2137</v>
      </c>
      <c r="B1044" s="5" t="s">
        <v>2138</v>
      </c>
      <c r="C1044" s="18" t="s">
        <v>91</v>
      </c>
      <c r="D1044" s="18" t="s">
        <v>60</v>
      </c>
      <c r="E1044" s="6">
        <v>7800000</v>
      </c>
      <c r="F1044" s="19">
        <v>0.55000000000000004</v>
      </c>
      <c r="G1044" s="18">
        <v>39</v>
      </c>
      <c r="H1044" s="20">
        <v>16.3</v>
      </c>
      <c r="I1044" s="24" t="str" cm="1">
        <f t="array" ref="I1044">_xlfn.IFS(
   AND(F1044&gt;=0,9, G1044&gt;=85), "Excelente",
   AND(F1044&gt;=0,8, G1044&gt;=70), "Bueno",
   OR(F1044&lt;0,6,  G1044&lt;50),  "Alerta",
   TRUE,           "Revisar")</f>
        <v>Alerta</v>
      </c>
      <c r="J1044" s="28">
        <f t="shared" si="16"/>
        <v>0</v>
      </c>
    </row>
    <row r="1045" spans="1:10" ht="18" customHeight="1" x14ac:dyDescent="0.3">
      <c r="A1045" s="25" t="s">
        <v>2139</v>
      </c>
      <c r="B1045" s="8" t="s">
        <v>2140</v>
      </c>
      <c r="C1045" s="25" t="s">
        <v>81</v>
      </c>
      <c r="D1045" s="25" t="s">
        <v>64</v>
      </c>
      <c r="E1045" s="9">
        <v>5800000</v>
      </c>
      <c r="F1045" s="26">
        <v>0.61</v>
      </c>
      <c r="G1045" s="25">
        <v>99</v>
      </c>
      <c r="H1045" s="27">
        <v>2.1</v>
      </c>
      <c r="I1045" s="24" t="str" cm="1">
        <f t="array" ref="I1045">_xlfn.IFS(
   AND(F1045&gt;=0,9, G1045&gt;=85), "Excelente",
   AND(F1045&gt;=0,8, G1045&gt;=70), "Bueno",
   OR(F1045&lt;0,6,  G1045&lt;50),  "Alerta",
   TRUE,           "Revisar")</f>
        <v>Excelente</v>
      </c>
      <c r="J1045" s="28">
        <f t="shared" si="16"/>
        <v>580000</v>
      </c>
    </row>
    <row r="1046" spans="1:10" ht="18" customHeight="1" x14ac:dyDescent="0.3">
      <c r="A1046" s="18" t="s">
        <v>2141</v>
      </c>
      <c r="B1046" s="5" t="s">
        <v>2142</v>
      </c>
      <c r="C1046" s="18" t="s">
        <v>91</v>
      </c>
      <c r="D1046" s="18" t="s">
        <v>60</v>
      </c>
      <c r="E1046" s="6">
        <v>6200000</v>
      </c>
      <c r="F1046" s="19">
        <v>0.5</v>
      </c>
      <c r="G1046" s="18">
        <v>35</v>
      </c>
      <c r="H1046" s="20">
        <v>11.3</v>
      </c>
      <c r="I1046" s="24" t="str" cm="1">
        <f t="array" ref="I1046">_xlfn.IFS(
   AND(F1046&gt;=0,9, G1046&gt;=85), "Excelente",
   AND(F1046&gt;=0,8, G1046&gt;=70), "Bueno",
   OR(F1046&lt;0,6,  G1046&lt;50),  "Alerta",
   TRUE,           "Revisar")</f>
        <v>Alerta</v>
      </c>
      <c r="J1046" s="28">
        <f t="shared" si="16"/>
        <v>0</v>
      </c>
    </row>
    <row r="1047" spans="1:10" ht="18" customHeight="1" x14ac:dyDescent="0.3">
      <c r="A1047" s="25" t="s">
        <v>2143</v>
      </c>
      <c r="B1047" s="8" t="s">
        <v>2144</v>
      </c>
      <c r="C1047" s="25" t="s">
        <v>74</v>
      </c>
      <c r="D1047" s="25" t="s">
        <v>88</v>
      </c>
      <c r="E1047" s="9">
        <v>2900000</v>
      </c>
      <c r="F1047" s="26">
        <v>0.99</v>
      </c>
      <c r="G1047" s="25">
        <v>66</v>
      </c>
      <c r="H1047" s="27">
        <v>19.2</v>
      </c>
      <c r="I1047" s="24" t="str" cm="1">
        <f t="array" ref="I1047">_xlfn.IFS(
   AND(F1047&gt;=0,9, G1047&gt;=85), "Excelente",
   AND(F1047&gt;=0,8, G1047&gt;=70), "Bueno",
   OR(F1047&lt;0,6,  G1047&lt;50),  "Alerta",
   TRUE,           "Revisar")</f>
        <v>Alerta</v>
      </c>
      <c r="J1047" s="28">
        <f t="shared" si="16"/>
        <v>0</v>
      </c>
    </row>
    <row r="1048" spans="1:10" ht="18" customHeight="1" x14ac:dyDescent="0.3">
      <c r="A1048" s="18" t="s">
        <v>2145</v>
      </c>
      <c r="B1048" s="5" t="s">
        <v>2146</v>
      </c>
      <c r="C1048" s="18" t="s">
        <v>71</v>
      </c>
      <c r="D1048" s="18" t="s">
        <v>114</v>
      </c>
      <c r="E1048" s="6">
        <v>11500000</v>
      </c>
      <c r="F1048" s="19">
        <v>0.7</v>
      </c>
      <c r="G1048" s="18">
        <v>41</v>
      </c>
      <c r="H1048" s="20">
        <v>19.100000000000001</v>
      </c>
      <c r="I1048" s="24" t="str" cm="1">
        <f t="array" ref="I1048">_xlfn.IFS(
   AND(F1048&gt;=0,9, G1048&gt;=85), "Excelente",
   AND(F1048&gt;=0,8, G1048&gt;=70), "Bueno",
   OR(F1048&lt;0,6,  G1048&lt;50),  "Alerta",
   TRUE,           "Revisar")</f>
        <v>Alerta</v>
      </c>
      <c r="J1048" s="28">
        <f t="shared" si="16"/>
        <v>0</v>
      </c>
    </row>
    <row r="1049" spans="1:10" ht="18" customHeight="1" x14ac:dyDescent="0.3">
      <c r="A1049" s="25" t="s">
        <v>2147</v>
      </c>
      <c r="B1049" s="8" t="s">
        <v>2148</v>
      </c>
      <c r="C1049" s="25" t="s">
        <v>81</v>
      </c>
      <c r="D1049" s="25" t="s">
        <v>105</v>
      </c>
      <c r="E1049" s="9">
        <v>4400000</v>
      </c>
      <c r="F1049" s="26">
        <v>0.64</v>
      </c>
      <c r="G1049" s="25">
        <v>76</v>
      </c>
      <c r="H1049" s="27">
        <v>12.5</v>
      </c>
      <c r="I1049" s="24" t="str" cm="1">
        <f t="array" ref="I1049">_xlfn.IFS(
   AND(F1049&gt;=0,9, G1049&gt;=85), "Excelente",
   AND(F1049&gt;=0,8, G1049&gt;=70), "Bueno",
   OR(F1049&lt;0,6,  G1049&lt;50),  "Alerta",
   TRUE,           "Revisar")</f>
        <v>Bueno</v>
      </c>
      <c r="J1049" s="28">
        <f t="shared" si="16"/>
        <v>440000</v>
      </c>
    </row>
    <row r="1050" spans="1:10" ht="18" customHeight="1" x14ac:dyDescent="0.3">
      <c r="A1050" s="18" t="s">
        <v>2149</v>
      </c>
      <c r="B1050" s="5" t="s">
        <v>2150</v>
      </c>
      <c r="C1050" s="18" t="s">
        <v>63</v>
      </c>
      <c r="D1050" s="18" t="s">
        <v>60</v>
      </c>
      <c r="E1050" s="6">
        <v>5400000</v>
      </c>
      <c r="F1050" s="19">
        <v>1</v>
      </c>
      <c r="G1050" s="18">
        <v>39</v>
      </c>
      <c r="H1050" s="20">
        <v>19.2</v>
      </c>
      <c r="I1050" s="24" t="str" cm="1">
        <f t="array" ref="I1050">_xlfn.IFS(
   AND(F1050&gt;=0,9, G1050&gt;=85), "Excelente",
   AND(F1050&gt;=0,8, G1050&gt;=70), "Bueno",
   OR(F1050&lt;0,6,  G1050&lt;50),  "Alerta",
   TRUE,           "Revisar")</f>
        <v>Alerta</v>
      </c>
      <c r="J1050" s="28">
        <f t="shared" si="16"/>
        <v>0</v>
      </c>
    </row>
    <row r="1051" spans="1:10" ht="18" customHeight="1" x14ac:dyDescent="0.3">
      <c r="A1051" s="25" t="s">
        <v>2151</v>
      </c>
      <c r="B1051" s="8" t="s">
        <v>2152</v>
      </c>
      <c r="C1051" s="25" t="s">
        <v>74</v>
      </c>
      <c r="D1051" s="25" t="s">
        <v>88</v>
      </c>
      <c r="E1051" s="9">
        <v>10100000</v>
      </c>
      <c r="F1051" s="26">
        <v>0.65</v>
      </c>
      <c r="G1051" s="25">
        <v>41</v>
      </c>
      <c r="H1051" s="27">
        <v>1.4</v>
      </c>
      <c r="I1051" s="24" t="str" cm="1">
        <f t="array" ref="I1051">_xlfn.IFS(
   AND(F1051&gt;=0,9, G1051&gt;=85), "Excelente",
   AND(F1051&gt;=0,8, G1051&gt;=70), "Bueno",
   OR(F1051&lt;0,6,  G1051&lt;50),  "Alerta",
   TRUE,           "Revisar")</f>
        <v>Alerta</v>
      </c>
      <c r="J1051" s="28">
        <f t="shared" si="16"/>
        <v>0</v>
      </c>
    </row>
    <row r="1052" spans="1:10" ht="18" customHeight="1" x14ac:dyDescent="0.3">
      <c r="A1052" s="18" t="s">
        <v>2153</v>
      </c>
      <c r="B1052" s="5" t="s">
        <v>2154</v>
      </c>
      <c r="C1052" s="18" t="s">
        <v>59</v>
      </c>
      <c r="D1052" s="18" t="s">
        <v>68</v>
      </c>
      <c r="E1052" s="6">
        <v>8000000</v>
      </c>
      <c r="F1052" s="19">
        <v>0.92</v>
      </c>
      <c r="G1052" s="18">
        <v>46</v>
      </c>
      <c r="H1052" s="20">
        <v>8.8000000000000007</v>
      </c>
      <c r="I1052" s="24" t="str" cm="1">
        <f t="array" ref="I1052">_xlfn.IFS(
   AND(F1052&gt;=0,9, G1052&gt;=85), "Excelente",
   AND(F1052&gt;=0,8, G1052&gt;=70), "Bueno",
   OR(F1052&lt;0,6,  G1052&lt;50),  "Alerta",
   TRUE,           "Revisar")</f>
        <v>Alerta</v>
      </c>
      <c r="J1052" s="28">
        <f t="shared" si="16"/>
        <v>0</v>
      </c>
    </row>
    <row r="1053" spans="1:10" ht="18" customHeight="1" x14ac:dyDescent="0.3">
      <c r="A1053" s="25" t="s">
        <v>2155</v>
      </c>
      <c r="B1053" s="8" t="s">
        <v>2156</v>
      </c>
      <c r="C1053" s="25" t="s">
        <v>91</v>
      </c>
      <c r="D1053" s="25" t="s">
        <v>64</v>
      </c>
      <c r="E1053" s="9">
        <v>5900000</v>
      </c>
      <c r="F1053" s="26">
        <v>0.83</v>
      </c>
      <c r="G1053" s="25">
        <v>31</v>
      </c>
      <c r="H1053" s="27">
        <v>3.1</v>
      </c>
      <c r="I1053" s="24" t="str" cm="1">
        <f t="array" ref="I1053">_xlfn.IFS(
   AND(F1053&gt;=0,9, G1053&gt;=85), "Excelente",
   AND(F1053&gt;=0,8, G1053&gt;=70), "Bueno",
   OR(F1053&lt;0,6,  G1053&lt;50),  "Alerta",
   TRUE,           "Revisar")</f>
        <v>Alerta</v>
      </c>
      <c r="J1053" s="28">
        <f t="shared" si="16"/>
        <v>0</v>
      </c>
    </row>
    <row r="1054" spans="1:10" ht="18" customHeight="1" x14ac:dyDescent="0.3">
      <c r="A1054" s="18" t="s">
        <v>2157</v>
      </c>
      <c r="B1054" s="5" t="s">
        <v>2158</v>
      </c>
      <c r="C1054" s="18" t="s">
        <v>77</v>
      </c>
      <c r="D1054" s="18" t="s">
        <v>78</v>
      </c>
      <c r="E1054" s="6">
        <v>3800000</v>
      </c>
      <c r="F1054" s="19">
        <v>0.55000000000000004</v>
      </c>
      <c r="G1054" s="18">
        <v>43</v>
      </c>
      <c r="H1054" s="20">
        <v>18.3</v>
      </c>
      <c r="I1054" s="24" t="str" cm="1">
        <f t="array" ref="I1054">_xlfn.IFS(
   AND(F1054&gt;=0,9, G1054&gt;=85), "Excelente",
   AND(F1054&gt;=0,8, G1054&gt;=70), "Bueno",
   OR(F1054&lt;0,6,  G1054&lt;50),  "Alerta",
   TRUE,           "Revisar")</f>
        <v>Alerta</v>
      </c>
      <c r="J1054" s="28">
        <f t="shared" si="16"/>
        <v>0</v>
      </c>
    </row>
    <row r="1055" spans="1:10" ht="18" customHeight="1" x14ac:dyDescent="0.3">
      <c r="A1055" s="25" t="s">
        <v>2159</v>
      </c>
      <c r="B1055" s="8" t="s">
        <v>2160</v>
      </c>
      <c r="C1055" s="25" t="s">
        <v>63</v>
      </c>
      <c r="D1055" s="25" t="s">
        <v>64</v>
      </c>
      <c r="E1055" s="9">
        <v>7400000</v>
      </c>
      <c r="F1055" s="26">
        <v>0.88</v>
      </c>
      <c r="G1055" s="25">
        <v>90</v>
      </c>
      <c r="H1055" s="27">
        <v>4.3</v>
      </c>
      <c r="I1055" s="24" t="str" cm="1">
        <f t="array" ref="I1055">_xlfn.IFS(
   AND(F1055&gt;=0,9, G1055&gt;=85), "Excelente",
   AND(F1055&gt;=0,8, G1055&gt;=70), "Bueno",
   OR(F1055&lt;0,6,  G1055&lt;50),  "Alerta",
   TRUE,           "Revisar")</f>
        <v>Excelente</v>
      </c>
      <c r="J1055" s="28">
        <f t="shared" si="16"/>
        <v>740000</v>
      </c>
    </row>
    <row r="1056" spans="1:10" ht="18" customHeight="1" x14ac:dyDescent="0.3">
      <c r="A1056" s="18" t="s">
        <v>2161</v>
      </c>
      <c r="B1056" s="5" t="s">
        <v>2162</v>
      </c>
      <c r="C1056" s="18" t="s">
        <v>71</v>
      </c>
      <c r="D1056" s="18" t="s">
        <v>78</v>
      </c>
      <c r="E1056" s="6">
        <v>6300000</v>
      </c>
      <c r="F1056" s="19">
        <v>0.67</v>
      </c>
      <c r="G1056" s="18">
        <v>68</v>
      </c>
      <c r="H1056" s="20">
        <v>17.5</v>
      </c>
      <c r="I1056" s="24" t="str" cm="1">
        <f t="array" ref="I1056">_xlfn.IFS(
   AND(F1056&gt;=0,9, G1056&gt;=85), "Excelente",
   AND(F1056&gt;=0,8, G1056&gt;=70), "Bueno",
   OR(F1056&lt;0,6,  G1056&lt;50),  "Alerta",
   TRUE,           "Revisar")</f>
        <v>Alerta</v>
      </c>
      <c r="J1056" s="28">
        <f t="shared" si="16"/>
        <v>0</v>
      </c>
    </row>
    <row r="1057" spans="1:10" ht="18" customHeight="1" x14ac:dyDescent="0.3">
      <c r="A1057" s="25" t="s">
        <v>2163</v>
      </c>
      <c r="B1057" s="8" t="s">
        <v>2164</v>
      </c>
      <c r="C1057" s="25" t="s">
        <v>63</v>
      </c>
      <c r="D1057" s="25" t="s">
        <v>60</v>
      </c>
      <c r="E1057" s="9">
        <v>11300000</v>
      </c>
      <c r="F1057" s="26">
        <v>0.94</v>
      </c>
      <c r="G1057" s="25">
        <v>53</v>
      </c>
      <c r="H1057" s="27">
        <v>16.600000000000001</v>
      </c>
      <c r="I1057" s="24" t="str" cm="1">
        <f t="array" ref="I1057">_xlfn.IFS(
   AND(F1057&gt;=0,9, G1057&gt;=85), "Excelente",
   AND(F1057&gt;=0,8, G1057&gt;=70), "Bueno",
   OR(F1057&lt;0,6,  G1057&lt;50),  "Alerta",
   TRUE,           "Revisar")</f>
        <v>Alerta</v>
      </c>
      <c r="J1057" s="28">
        <f t="shared" si="16"/>
        <v>0</v>
      </c>
    </row>
    <row r="1058" spans="1:10" ht="18" customHeight="1" x14ac:dyDescent="0.3">
      <c r="A1058" s="18" t="s">
        <v>2165</v>
      </c>
      <c r="B1058" s="5" t="s">
        <v>2166</v>
      </c>
      <c r="C1058" s="18" t="s">
        <v>59</v>
      </c>
      <c r="D1058" s="18" t="s">
        <v>114</v>
      </c>
      <c r="E1058" s="6">
        <v>5300000</v>
      </c>
      <c r="F1058" s="19">
        <v>0.64</v>
      </c>
      <c r="G1058" s="18">
        <v>83</v>
      </c>
      <c r="H1058" s="20">
        <v>9.6</v>
      </c>
      <c r="I1058" s="24" t="str" cm="1">
        <f t="array" ref="I1058">_xlfn.IFS(
   AND(F1058&gt;=0,9, G1058&gt;=85), "Excelente",
   AND(F1058&gt;=0,8, G1058&gt;=70), "Bueno",
   OR(F1058&lt;0,6,  G1058&lt;50),  "Alerta",
   TRUE,           "Revisar")</f>
        <v>Bueno</v>
      </c>
      <c r="J1058" s="28">
        <f t="shared" si="16"/>
        <v>530000</v>
      </c>
    </row>
    <row r="1059" spans="1:10" ht="18" customHeight="1" x14ac:dyDescent="0.3">
      <c r="A1059" s="25" t="s">
        <v>2167</v>
      </c>
      <c r="B1059" s="8" t="s">
        <v>2168</v>
      </c>
      <c r="C1059" s="25" t="s">
        <v>71</v>
      </c>
      <c r="D1059" s="25" t="s">
        <v>68</v>
      </c>
      <c r="E1059" s="9">
        <v>5500000</v>
      </c>
      <c r="F1059" s="26">
        <v>0.64</v>
      </c>
      <c r="G1059" s="25">
        <v>54</v>
      </c>
      <c r="H1059" s="27">
        <v>19.399999999999999</v>
      </c>
      <c r="I1059" s="24" t="str" cm="1">
        <f t="array" ref="I1059">_xlfn.IFS(
   AND(F1059&gt;=0,9, G1059&gt;=85), "Excelente",
   AND(F1059&gt;=0,8, G1059&gt;=70), "Bueno",
   OR(F1059&lt;0,6,  G1059&lt;50),  "Alerta",
   TRUE,           "Revisar")</f>
        <v>Alerta</v>
      </c>
      <c r="J1059" s="28">
        <f t="shared" si="16"/>
        <v>0</v>
      </c>
    </row>
    <row r="1060" spans="1:10" ht="18" customHeight="1" x14ac:dyDescent="0.3">
      <c r="A1060" s="18" t="s">
        <v>2169</v>
      </c>
      <c r="B1060" s="5" t="s">
        <v>2170</v>
      </c>
      <c r="C1060" s="18" t="s">
        <v>63</v>
      </c>
      <c r="D1060" s="18" t="s">
        <v>92</v>
      </c>
      <c r="E1060" s="6">
        <v>7300000</v>
      </c>
      <c r="F1060" s="19">
        <v>0.91</v>
      </c>
      <c r="G1060" s="18">
        <v>84</v>
      </c>
      <c r="H1060" s="20">
        <v>10.5</v>
      </c>
      <c r="I1060" s="24" t="str" cm="1">
        <f t="array" ref="I1060">_xlfn.IFS(
   AND(F1060&gt;=0,9, G1060&gt;=85), "Excelente",
   AND(F1060&gt;=0,8, G1060&gt;=70), "Bueno",
   OR(F1060&lt;0,6,  G1060&lt;50),  "Alerta",
   TRUE,           "Revisar")</f>
        <v>Bueno</v>
      </c>
      <c r="J1060" s="28">
        <f t="shared" si="16"/>
        <v>730000</v>
      </c>
    </row>
    <row r="1061" spans="1:10" ht="18" customHeight="1" x14ac:dyDescent="0.3">
      <c r="A1061" s="25" t="s">
        <v>2171</v>
      </c>
      <c r="B1061" s="8" t="s">
        <v>2172</v>
      </c>
      <c r="C1061" s="25" t="s">
        <v>77</v>
      </c>
      <c r="D1061" s="25" t="s">
        <v>78</v>
      </c>
      <c r="E1061" s="9">
        <v>10900000</v>
      </c>
      <c r="F1061" s="26">
        <v>0.69</v>
      </c>
      <c r="G1061" s="25">
        <v>34</v>
      </c>
      <c r="H1061" s="27">
        <v>13.4</v>
      </c>
      <c r="I1061" s="24" t="str" cm="1">
        <f t="array" ref="I1061">_xlfn.IFS(
   AND(F1061&gt;=0,9, G1061&gt;=85), "Excelente",
   AND(F1061&gt;=0,8, G1061&gt;=70), "Bueno",
   OR(F1061&lt;0,6,  G1061&lt;50),  "Alerta",
   TRUE,           "Revisar")</f>
        <v>Alerta</v>
      </c>
      <c r="J1061" s="28">
        <f t="shared" si="16"/>
        <v>0</v>
      </c>
    </row>
    <row r="1062" spans="1:10" ht="18" customHeight="1" x14ac:dyDescent="0.3">
      <c r="A1062" s="18" t="s">
        <v>2173</v>
      </c>
      <c r="B1062" s="5" t="s">
        <v>2174</v>
      </c>
      <c r="C1062" s="18" t="s">
        <v>63</v>
      </c>
      <c r="D1062" s="18" t="s">
        <v>60</v>
      </c>
      <c r="E1062" s="6">
        <v>2800000</v>
      </c>
      <c r="F1062" s="19">
        <v>0.95</v>
      </c>
      <c r="G1062" s="18">
        <v>83</v>
      </c>
      <c r="H1062" s="20">
        <v>0.7</v>
      </c>
      <c r="I1062" s="24" t="str" cm="1">
        <f t="array" ref="I1062">_xlfn.IFS(
   AND(F1062&gt;=0,9, G1062&gt;=85), "Excelente",
   AND(F1062&gt;=0,8, G1062&gt;=70), "Bueno",
   OR(F1062&lt;0,6,  G1062&lt;50),  "Alerta",
   TRUE,           "Revisar")</f>
        <v>Bueno</v>
      </c>
      <c r="J1062" s="28">
        <f t="shared" si="16"/>
        <v>280000</v>
      </c>
    </row>
    <row r="1063" spans="1:10" ht="18" customHeight="1" x14ac:dyDescent="0.3">
      <c r="A1063" s="25" t="s">
        <v>2175</v>
      </c>
      <c r="B1063" s="8" t="s">
        <v>2176</v>
      </c>
      <c r="C1063" s="25" t="s">
        <v>91</v>
      </c>
      <c r="D1063" s="25" t="s">
        <v>78</v>
      </c>
      <c r="E1063" s="9">
        <v>10100000</v>
      </c>
      <c r="F1063" s="26">
        <v>0.66</v>
      </c>
      <c r="G1063" s="25">
        <v>46</v>
      </c>
      <c r="H1063" s="27">
        <v>19.7</v>
      </c>
      <c r="I1063" s="24" t="str" cm="1">
        <f t="array" ref="I1063">_xlfn.IFS(
   AND(F1063&gt;=0,9, G1063&gt;=85), "Excelente",
   AND(F1063&gt;=0,8, G1063&gt;=70), "Bueno",
   OR(F1063&lt;0,6,  G1063&lt;50),  "Alerta",
   TRUE,           "Revisar")</f>
        <v>Alerta</v>
      </c>
      <c r="J1063" s="28">
        <f t="shared" si="16"/>
        <v>0</v>
      </c>
    </row>
    <row r="1064" spans="1:10" ht="18" customHeight="1" x14ac:dyDescent="0.3">
      <c r="A1064" s="18" t="s">
        <v>2177</v>
      </c>
      <c r="B1064" s="5" t="s">
        <v>2178</v>
      </c>
      <c r="C1064" s="18" t="s">
        <v>67</v>
      </c>
      <c r="D1064" s="18" t="s">
        <v>60</v>
      </c>
      <c r="E1064" s="6">
        <v>6600000</v>
      </c>
      <c r="F1064" s="19">
        <v>0.56000000000000005</v>
      </c>
      <c r="G1064" s="18">
        <v>61</v>
      </c>
      <c r="H1064" s="20">
        <v>14.5</v>
      </c>
      <c r="I1064" s="24" t="str" cm="1">
        <f t="array" ref="I1064">_xlfn.IFS(
   AND(F1064&gt;=0,9, G1064&gt;=85), "Excelente",
   AND(F1064&gt;=0,8, G1064&gt;=70), "Bueno",
   OR(F1064&lt;0,6,  G1064&lt;50),  "Alerta",
   TRUE,           "Revisar")</f>
        <v>Alerta</v>
      </c>
      <c r="J1064" s="28">
        <f t="shared" si="16"/>
        <v>0</v>
      </c>
    </row>
    <row r="1065" spans="1:10" ht="18" customHeight="1" x14ac:dyDescent="0.3">
      <c r="A1065" s="25" t="s">
        <v>2179</v>
      </c>
      <c r="B1065" s="8" t="s">
        <v>2180</v>
      </c>
      <c r="C1065" s="25" t="s">
        <v>91</v>
      </c>
      <c r="D1065" s="25" t="s">
        <v>68</v>
      </c>
      <c r="E1065" s="9">
        <v>3700000</v>
      </c>
      <c r="F1065" s="26">
        <v>0.72</v>
      </c>
      <c r="G1065" s="25">
        <v>39</v>
      </c>
      <c r="H1065" s="27">
        <v>4.2</v>
      </c>
      <c r="I1065" s="24" t="str" cm="1">
        <f t="array" ref="I1065">_xlfn.IFS(
   AND(F1065&gt;=0,9, G1065&gt;=85), "Excelente",
   AND(F1065&gt;=0,8, G1065&gt;=70), "Bueno",
   OR(F1065&lt;0,6,  G1065&lt;50),  "Alerta",
   TRUE,           "Revisar")</f>
        <v>Alerta</v>
      </c>
      <c r="J1065" s="28">
        <f t="shared" si="16"/>
        <v>0</v>
      </c>
    </row>
    <row r="1066" spans="1:10" ht="18" customHeight="1" x14ac:dyDescent="0.3">
      <c r="A1066" s="18" t="s">
        <v>2181</v>
      </c>
      <c r="B1066" s="5" t="s">
        <v>2182</v>
      </c>
      <c r="C1066" s="18" t="s">
        <v>59</v>
      </c>
      <c r="D1066" s="18" t="s">
        <v>64</v>
      </c>
      <c r="E1066" s="6">
        <v>5000000</v>
      </c>
      <c r="F1066" s="19">
        <v>0.81</v>
      </c>
      <c r="G1066" s="18">
        <v>34</v>
      </c>
      <c r="H1066" s="20">
        <v>2.2999999999999998</v>
      </c>
      <c r="I1066" s="24" t="str" cm="1">
        <f t="array" ref="I1066">_xlfn.IFS(
   AND(F1066&gt;=0,9, G1066&gt;=85), "Excelente",
   AND(F1066&gt;=0,8, G1066&gt;=70), "Bueno",
   OR(F1066&lt;0,6,  G1066&lt;50),  "Alerta",
   TRUE,           "Revisar")</f>
        <v>Alerta</v>
      </c>
      <c r="J1066" s="28">
        <f t="shared" si="16"/>
        <v>0</v>
      </c>
    </row>
    <row r="1067" spans="1:10" ht="18" customHeight="1" x14ac:dyDescent="0.3">
      <c r="A1067" s="25" t="s">
        <v>2183</v>
      </c>
      <c r="B1067" s="8" t="s">
        <v>2184</v>
      </c>
      <c r="C1067" s="25" t="s">
        <v>91</v>
      </c>
      <c r="D1067" s="25" t="s">
        <v>114</v>
      </c>
      <c r="E1067" s="9">
        <v>9400000</v>
      </c>
      <c r="F1067" s="26">
        <v>0.86</v>
      </c>
      <c r="G1067" s="25">
        <v>45</v>
      </c>
      <c r="H1067" s="27">
        <v>3.9</v>
      </c>
      <c r="I1067" s="24" t="str" cm="1">
        <f t="array" ref="I1067">_xlfn.IFS(
   AND(F1067&gt;=0,9, G1067&gt;=85), "Excelente",
   AND(F1067&gt;=0,8, G1067&gt;=70), "Bueno",
   OR(F1067&lt;0,6,  G1067&lt;50),  "Alerta",
   TRUE,           "Revisar")</f>
        <v>Alerta</v>
      </c>
      <c r="J1067" s="28">
        <f t="shared" si="16"/>
        <v>0</v>
      </c>
    </row>
    <row r="1068" spans="1:10" ht="18" customHeight="1" x14ac:dyDescent="0.3">
      <c r="A1068" s="18" t="s">
        <v>2185</v>
      </c>
      <c r="B1068" s="5" t="s">
        <v>2186</v>
      </c>
      <c r="C1068" s="18" t="s">
        <v>67</v>
      </c>
      <c r="D1068" s="18" t="s">
        <v>78</v>
      </c>
      <c r="E1068" s="6">
        <v>7200000</v>
      </c>
      <c r="F1068" s="19">
        <v>0.84</v>
      </c>
      <c r="G1068" s="18">
        <v>67</v>
      </c>
      <c r="H1068" s="20">
        <v>9.3000000000000007</v>
      </c>
      <c r="I1068" s="24" t="str" cm="1">
        <f t="array" ref="I1068">_xlfn.IFS(
   AND(F1068&gt;=0,9, G1068&gt;=85), "Excelente",
   AND(F1068&gt;=0,8, G1068&gt;=70), "Bueno",
   OR(F1068&lt;0,6,  G1068&lt;50),  "Alerta",
   TRUE,           "Revisar")</f>
        <v>Alerta</v>
      </c>
      <c r="J1068" s="28">
        <f t="shared" si="16"/>
        <v>0</v>
      </c>
    </row>
    <row r="1069" spans="1:10" ht="18" customHeight="1" x14ac:dyDescent="0.3">
      <c r="A1069" s="25" t="s">
        <v>2187</v>
      </c>
      <c r="B1069" s="8" t="s">
        <v>2188</v>
      </c>
      <c r="C1069" s="25" t="s">
        <v>59</v>
      </c>
      <c r="D1069" s="25" t="s">
        <v>114</v>
      </c>
      <c r="E1069" s="9">
        <v>5400000</v>
      </c>
      <c r="F1069" s="26">
        <v>0.97</v>
      </c>
      <c r="G1069" s="25">
        <v>92</v>
      </c>
      <c r="H1069" s="27">
        <v>8.6999999999999993</v>
      </c>
      <c r="I1069" s="24" t="str" cm="1">
        <f t="array" ref="I1069">_xlfn.IFS(
   AND(F1069&gt;=0,9, G1069&gt;=85), "Excelente",
   AND(F1069&gt;=0,8, G1069&gt;=70), "Bueno",
   OR(F1069&lt;0,6,  G1069&lt;50),  "Alerta",
   TRUE,           "Revisar")</f>
        <v>Excelente</v>
      </c>
      <c r="J1069" s="28">
        <f t="shared" si="16"/>
        <v>540000</v>
      </c>
    </row>
    <row r="1070" spans="1:10" ht="18" customHeight="1" x14ac:dyDescent="0.3">
      <c r="A1070" s="18" t="s">
        <v>2189</v>
      </c>
      <c r="B1070" s="5" t="s">
        <v>2190</v>
      </c>
      <c r="C1070" s="18" t="s">
        <v>59</v>
      </c>
      <c r="D1070" s="18" t="s">
        <v>92</v>
      </c>
      <c r="E1070" s="6">
        <v>10700000</v>
      </c>
      <c r="F1070" s="19">
        <v>0.51</v>
      </c>
      <c r="G1070" s="18">
        <v>79</v>
      </c>
      <c r="H1070" s="20">
        <v>8.6</v>
      </c>
      <c r="I1070" s="24" t="str" cm="1">
        <f t="array" ref="I1070">_xlfn.IFS(
   AND(F1070&gt;=0,9, G1070&gt;=85), "Excelente",
   AND(F1070&gt;=0,8, G1070&gt;=70), "Bueno",
   OR(F1070&lt;0,6,  G1070&lt;50),  "Alerta",
   TRUE,           "Revisar")</f>
        <v>Bueno</v>
      </c>
      <c r="J1070" s="28">
        <f t="shared" si="16"/>
        <v>1070000</v>
      </c>
    </row>
    <row r="1071" spans="1:10" ht="18" customHeight="1" x14ac:dyDescent="0.3">
      <c r="A1071" s="25" t="s">
        <v>2191</v>
      </c>
      <c r="B1071" s="8" t="s">
        <v>2192</v>
      </c>
      <c r="C1071" s="25" t="s">
        <v>71</v>
      </c>
      <c r="D1071" s="25" t="s">
        <v>64</v>
      </c>
      <c r="E1071" s="9">
        <v>9300000</v>
      </c>
      <c r="F1071" s="26">
        <v>0.59</v>
      </c>
      <c r="G1071" s="25">
        <v>82</v>
      </c>
      <c r="H1071" s="27">
        <v>5.9</v>
      </c>
      <c r="I1071" s="24" t="str" cm="1">
        <f t="array" ref="I1071">_xlfn.IFS(
   AND(F1071&gt;=0,9, G1071&gt;=85), "Excelente",
   AND(F1071&gt;=0,8, G1071&gt;=70), "Bueno",
   OR(F1071&lt;0,6,  G1071&lt;50),  "Alerta",
   TRUE,           "Revisar")</f>
        <v>Bueno</v>
      </c>
      <c r="J1071" s="28">
        <f t="shared" si="16"/>
        <v>930000</v>
      </c>
    </row>
    <row r="1072" spans="1:10" ht="18" customHeight="1" x14ac:dyDescent="0.3">
      <c r="A1072" s="18" t="s">
        <v>2193</v>
      </c>
      <c r="B1072" s="5" t="s">
        <v>2194</v>
      </c>
      <c r="C1072" s="18" t="s">
        <v>59</v>
      </c>
      <c r="D1072" s="18" t="s">
        <v>60</v>
      </c>
      <c r="E1072" s="6">
        <v>9500000</v>
      </c>
      <c r="F1072" s="19">
        <v>0.56999999999999995</v>
      </c>
      <c r="G1072" s="18">
        <v>65</v>
      </c>
      <c r="H1072" s="20">
        <v>14.3</v>
      </c>
      <c r="I1072" s="24" t="str" cm="1">
        <f t="array" ref="I1072">_xlfn.IFS(
   AND(F1072&gt;=0,9, G1072&gt;=85), "Excelente",
   AND(F1072&gt;=0,8, G1072&gt;=70), "Bueno",
   OR(F1072&lt;0,6,  G1072&lt;50),  "Alerta",
   TRUE,           "Revisar")</f>
        <v>Alerta</v>
      </c>
      <c r="J1072" s="28">
        <f t="shared" si="16"/>
        <v>0</v>
      </c>
    </row>
    <row r="1073" spans="1:10" ht="18" customHeight="1" x14ac:dyDescent="0.3">
      <c r="A1073" s="25" t="s">
        <v>2195</v>
      </c>
      <c r="B1073" s="8" t="s">
        <v>2196</v>
      </c>
      <c r="C1073" s="25" t="s">
        <v>81</v>
      </c>
      <c r="D1073" s="25" t="s">
        <v>92</v>
      </c>
      <c r="E1073" s="9">
        <v>7900000</v>
      </c>
      <c r="F1073" s="26">
        <v>0.49</v>
      </c>
      <c r="G1073" s="25">
        <v>70</v>
      </c>
      <c r="H1073" s="27">
        <v>9.9</v>
      </c>
      <c r="I1073" s="24" t="str" cm="1">
        <f t="array" ref="I1073">_xlfn.IFS(
   AND(F1073&gt;=0,9, G1073&gt;=85), "Excelente",
   AND(F1073&gt;=0,8, G1073&gt;=70), "Bueno",
   OR(F1073&lt;0,6,  G1073&lt;50),  "Alerta",
   TRUE,           "Revisar")</f>
        <v>Bueno</v>
      </c>
      <c r="J1073" s="28">
        <f t="shared" si="16"/>
        <v>790000</v>
      </c>
    </row>
    <row r="1074" spans="1:10" ht="18" customHeight="1" x14ac:dyDescent="0.3">
      <c r="A1074" s="18" t="s">
        <v>2197</v>
      </c>
      <c r="B1074" s="5" t="s">
        <v>2198</v>
      </c>
      <c r="C1074" s="18" t="s">
        <v>59</v>
      </c>
      <c r="D1074" s="18" t="s">
        <v>105</v>
      </c>
      <c r="E1074" s="6">
        <v>9100000</v>
      </c>
      <c r="F1074" s="19">
        <v>0.92</v>
      </c>
      <c r="G1074" s="18">
        <v>45</v>
      </c>
      <c r="H1074" s="20">
        <v>16.899999999999999</v>
      </c>
      <c r="I1074" s="24" t="str" cm="1">
        <f t="array" ref="I1074">_xlfn.IFS(
   AND(F1074&gt;=0,9, G1074&gt;=85), "Excelente",
   AND(F1074&gt;=0,8, G1074&gt;=70), "Bueno",
   OR(F1074&lt;0,6,  G1074&lt;50),  "Alerta",
   TRUE,           "Revisar")</f>
        <v>Alerta</v>
      </c>
      <c r="J1074" s="28">
        <f t="shared" si="16"/>
        <v>0</v>
      </c>
    </row>
    <row r="1075" spans="1:10" ht="18" customHeight="1" x14ac:dyDescent="0.3">
      <c r="A1075" s="25" t="s">
        <v>2199</v>
      </c>
      <c r="B1075" s="8" t="s">
        <v>2200</v>
      </c>
      <c r="C1075" s="25" t="s">
        <v>71</v>
      </c>
      <c r="D1075" s="25" t="s">
        <v>114</v>
      </c>
      <c r="E1075" s="9">
        <v>10200000</v>
      </c>
      <c r="F1075" s="26">
        <v>0.7</v>
      </c>
      <c r="G1075" s="25">
        <v>46</v>
      </c>
      <c r="H1075" s="27">
        <v>6.4</v>
      </c>
      <c r="I1075" s="24" t="str" cm="1">
        <f t="array" ref="I1075">_xlfn.IFS(
   AND(F1075&gt;=0,9, G1075&gt;=85), "Excelente",
   AND(F1075&gt;=0,8, G1075&gt;=70), "Bueno",
   OR(F1075&lt;0,6,  G1075&lt;50),  "Alerta",
   TRUE,           "Revisar")</f>
        <v>Alerta</v>
      </c>
      <c r="J1075" s="28">
        <f t="shared" si="16"/>
        <v>0</v>
      </c>
    </row>
    <row r="1076" spans="1:10" ht="18" customHeight="1" x14ac:dyDescent="0.3">
      <c r="A1076" s="18" t="s">
        <v>2201</v>
      </c>
      <c r="B1076" s="5" t="s">
        <v>2202</v>
      </c>
      <c r="C1076" s="18" t="s">
        <v>81</v>
      </c>
      <c r="D1076" s="18" t="s">
        <v>88</v>
      </c>
      <c r="E1076" s="6">
        <v>11800000</v>
      </c>
      <c r="F1076" s="19">
        <v>0.7</v>
      </c>
      <c r="G1076" s="18">
        <v>49</v>
      </c>
      <c r="H1076" s="20">
        <v>17</v>
      </c>
      <c r="I1076" s="24" t="str" cm="1">
        <f t="array" ref="I1076">_xlfn.IFS(
   AND(F1076&gt;=0,9, G1076&gt;=85), "Excelente",
   AND(F1076&gt;=0,8, G1076&gt;=70), "Bueno",
   OR(F1076&lt;0,6,  G1076&lt;50),  "Alerta",
   TRUE,           "Revisar")</f>
        <v>Alerta</v>
      </c>
      <c r="J1076" s="28">
        <f t="shared" si="16"/>
        <v>0</v>
      </c>
    </row>
    <row r="1077" spans="1:10" ht="18" customHeight="1" x14ac:dyDescent="0.3">
      <c r="A1077" s="25" t="s">
        <v>2203</v>
      </c>
      <c r="B1077" s="8" t="s">
        <v>2204</v>
      </c>
      <c r="C1077" s="25" t="s">
        <v>91</v>
      </c>
      <c r="D1077" s="25" t="s">
        <v>105</v>
      </c>
      <c r="E1077" s="9">
        <v>5100000</v>
      </c>
      <c r="F1077" s="26">
        <v>0.6</v>
      </c>
      <c r="G1077" s="25">
        <v>90</v>
      </c>
      <c r="H1077" s="27">
        <v>13.2</v>
      </c>
      <c r="I1077" s="24" t="str" cm="1">
        <f t="array" ref="I1077">_xlfn.IFS(
   AND(F1077&gt;=0,9, G1077&gt;=85), "Excelente",
   AND(F1077&gt;=0,8, G1077&gt;=70), "Bueno",
   OR(F1077&lt;0,6,  G1077&lt;50),  "Alerta",
   TRUE,           "Revisar")</f>
        <v>Excelente</v>
      </c>
      <c r="J1077" s="28">
        <f t="shared" si="16"/>
        <v>510000</v>
      </c>
    </row>
    <row r="1078" spans="1:10" ht="18" customHeight="1" x14ac:dyDescent="0.3">
      <c r="A1078" s="18" t="s">
        <v>2205</v>
      </c>
      <c r="B1078" s="5" t="s">
        <v>2206</v>
      </c>
      <c r="C1078" s="18" t="s">
        <v>74</v>
      </c>
      <c r="D1078" s="18" t="s">
        <v>92</v>
      </c>
      <c r="E1078" s="6">
        <v>8300000</v>
      </c>
      <c r="F1078" s="19">
        <v>0.56999999999999995</v>
      </c>
      <c r="G1078" s="18">
        <v>80</v>
      </c>
      <c r="H1078" s="20">
        <v>10</v>
      </c>
      <c r="I1078" s="24" t="str" cm="1">
        <f t="array" ref="I1078">_xlfn.IFS(
   AND(F1078&gt;=0,9, G1078&gt;=85), "Excelente",
   AND(F1078&gt;=0,8, G1078&gt;=70), "Bueno",
   OR(F1078&lt;0,6,  G1078&lt;50),  "Alerta",
   TRUE,           "Revisar")</f>
        <v>Bueno</v>
      </c>
      <c r="J1078" s="28">
        <f t="shared" si="16"/>
        <v>830000</v>
      </c>
    </row>
    <row r="1079" spans="1:10" ht="18" customHeight="1" x14ac:dyDescent="0.3">
      <c r="A1079" s="25" t="s">
        <v>2207</v>
      </c>
      <c r="B1079" s="8" t="s">
        <v>2208</v>
      </c>
      <c r="C1079" s="25" t="s">
        <v>91</v>
      </c>
      <c r="D1079" s="25" t="s">
        <v>105</v>
      </c>
      <c r="E1079" s="9">
        <v>6200000</v>
      </c>
      <c r="F1079" s="26">
        <v>0.65</v>
      </c>
      <c r="G1079" s="25">
        <v>36</v>
      </c>
      <c r="H1079" s="27">
        <v>13</v>
      </c>
      <c r="I1079" s="24" t="str" cm="1">
        <f t="array" ref="I1079">_xlfn.IFS(
   AND(F1079&gt;=0,9, G1079&gt;=85), "Excelente",
   AND(F1079&gt;=0,8, G1079&gt;=70), "Bueno",
   OR(F1079&lt;0,6,  G1079&lt;50),  "Alerta",
   TRUE,           "Revisar")</f>
        <v>Alerta</v>
      </c>
      <c r="J1079" s="28">
        <f t="shared" si="16"/>
        <v>0</v>
      </c>
    </row>
    <row r="1080" spans="1:10" ht="18" customHeight="1" x14ac:dyDescent="0.3">
      <c r="A1080" s="18" t="s">
        <v>2209</v>
      </c>
      <c r="B1080" s="5" t="s">
        <v>2210</v>
      </c>
      <c r="C1080" s="18" t="s">
        <v>77</v>
      </c>
      <c r="D1080" s="18" t="s">
        <v>68</v>
      </c>
      <c r="E1080" s="6">
        <v>4100000</v>
      </c>
      <c r="F1080" s="19">
        <v>0.82</v>
      </c>
      <c r="G1080" s="18">
        <v>61</v>
      </c>
      <c r="H1080" s="20">
        <v>19.2</v>
      </c>
      <c r="I1080" s="24" t="str" cm="1">
        <f t="array" ref="I1080">_xlfn.IFS(
   AND(F1080&gt;=0,9, G1080&gt;=85), "Excelente",
   AND(F1080&gt;=0,8, G1080&gt;=70), "Bueno",
   OR(F1080&lt;0,6,  G1080&lt;50),  "Alerta",
   TRUE,           "Revisar")</f>
        <v>Alerta</v>
      </c>
      <c r="J1080" s="28">
        <f t="shared" si="16"/>
        <v>0</v>
      </c>
    </row>
    <row r="1081" spans="1:10" ht="18" customHeight="1" x14ac:dyDescent="0.3">
      <c r="A1081" s="25" t="s">
        <v>2211</v>
      </c>
      <c r="B1081" s="8" t="s">
        <v>2212</v>
      </c>
      <c r="C1081" s="25" t="s">
        <v>67</v>
      </c>
      <c r="D1081" s="25" t="s">
        <v>88</v>
      </c>
      <c r="E1081" s="9">
        <v>9100000</v>
      </c>
      <c r="F1081" s="26">
        <v>0.56000000000000005</v>
      </c>
      <c r="G1081" s="25">
        <v>56</v>
      </c>
      <c r="H1081" s="27">
        <v>7</v>
      </c>
      <c r="I1081" s="24" t="str" cm="1">
        <f t="array" ref="I1081">_xlfn.IFS(
   AND(F1081&gt;=0,9, G1081&gt;=85), "Excelente",
   AND(F1081&gt;=0,8, G1081&gt;=70), "Bueno",
   OR(F1081&lt;0,6,  G1081&lt;50),  "Alerta",
   TRUE,           "Revisar")</f>
        <v>Alerta</v>
      </c>
      <c r="J1081" s="28">
        <f t="shared" si="16"/>
        <v>0</v>
      </c>
    </row>
    <row r="1082" spans="1:10" ht="18" customHeight="1" x14ac:dyDescent="0.3">
      <c r="A1082" s="18" t="s">
        <v>2213</v>
      </c>
      <c r="B1082" s="5" t="s">
        <v>2214</v>
      </c>
      <c r="C1082" s="18" t="s">
        <v>59</v>
      </c>
      <c r="D1082" s="18" t="s">
        <v>60</v>
      </c>
      <c r="E1082" s="6">
        <v>4900000</v>
      </c>
      <c r="F1082" s="19">
        <v>0.62</v>
      </c>
      <c r="G1082" s="18">
        <v>38</v>
      </c>
      <c r="H1082" s="20">
        <v>3.3</v>
      </c>
      <c r="I1082" s="24" t="str" cm="1">
        <f t="array" ref="I1082">_xlfn.IFS(
   AND(F1082&gt;=0,9, G1082&gt;=85), "Excelente",
   AND(F1082&gt;=0,8, G1082&gt;=70), "Bueno",
   OR(F1082&lt;0,6,  G1082&lt;50),  "Alerta",
   TRUE,           "Revisar")</f>
        <v>Alerta</v>
      </c>
      <c r="J1082" s="28">
        <f t="shared" si="16"/>
        <v>0</v>
      </c>
    </row>
    <row r="1083" spans="1:10" ht="18" customHeight="1" x14ac:dyDescent="0.3">
      <c r="A1083" s="25" t="s">
        <v>2215</v>
      </c>
      <c r="B1083" s="8" t="s">
        <v>2216</v>
      </c>
      <c r="C1083" s="25" t="s">
        <v>81</v>
      </c>
      <c r="D1083" s="25" t="s">
        <v>64</v>
      </c>
      <c r="E1083" s="9">
        <v>5000000</v>
      </c>
      <c r="F1083" s="26">
        <v>0.99</v>
      </c>
      <c r="G1083" s="25">
        <v>39</v>
      </c>
      <c r="H1083" s="27">
        <v>3.4</v>
      </c>
      <c r="I1083" s="24" t="str" cm="1">
        <f t="array" ref="I1083">_xlfn.IFS(
   AND(F1083&gt;=0,9, G1083&gt;=85), "Excelente",
   AND(F1083&gt;=0,8, G1083&gt;=70), "Bueno",
   OR(F1083&lt;0,6,  G1083&lt;50),  "Alerta",
   TRUE,           "Revisar")</f>
        <v>Alerta</v>
      </c>
      <c r="J1083" s="28">
        <f t="shared" si="16"/>
        <v>0</v>
      </c>
    </row>
    <row r="1084" spans="1:10" ht="18" customHeight="1" x14ac:dyDescent="0.3">
      <c r="A1084" s="18" t="s">
        <v>2217</v>
      </c>
      <c r="B1084" s="5" t="s">
        <v>2218</v>
      </c>
      <c r="C1084" s="18" t="s">
        <v>71</v>
      </c>
      <c r="D1084" s="18" t="s">
        <v>78</v>
      </c>
      <c r="E1084" s="6">
        <v>4000000</v>
      </c>
      <c r="F1084" s="19">
        <v>0.62</v>
      </c>
      <c r="G1084" s="18">
        <v>72</v>
      </c>
      <c r="H1084" s="20">
        <v>9.1</v>
      </c>
      <c r="I1084" s="24" t="str" cm="1">
        <f t="array" ref="I1084">_xlfn.IFS(
   AND(F1084&gt;=0,9, G1084&gt;=85), "Excelente",
   AND(F1084&gt;=0,8, G1084&gt;=70), "Bueno",
   OR(F1084&lt;0,6,  G1084&lt;50),  "Alerta",
   TRUE,           "Revisar")</f>
        <v>Bueno</v>
      </c>
      <c r="J1084" s="28">
        <f t="shared" si="16"/>
        <v>400000</v>
      </c>
    </row>
    <row r="1085" spans="1:10" ht="18" customHeight="1" x14ac:dyDescent="0.3">
      <c r="A1085" s="25" t="s">
        <v>2219</v>
      </c>
      <c r="B1085" s="8" t="s">
        <v>2220</v>
      </c>
      <c r="C1085" s="25" t="s">
        <v>77</v>
      </c>
      <c r="D1085" s="25" t="s">
        <v>114</v>
      </c>
      <c r="E1085" s="9">
        <v>6100000</v>
      </c>
      <c r="F1085" s="26">
        <v>0.95</v>
      </c>
      <c r="G1085" s="25">
        <v>74</v>
      </c>
      <c r="H1085" s="27">
        <v>17.8</v>
      </c>
      <c r="I1085" s="24" t="str" cm="1">
        <f t="array" ref="I1085">_xlfn.IFS(
   AND(F1085&gt;=0,9, G1085&gt;=85), "Excelente",
   AND(F1085&gt;=0,8, G1085&gt;=70), "Bueno",
   OR(F1085&lt;0,6,  G1085&lt;50),  "Alerta",
   TRUE,           "Revisar")</f>
        <v>Bueno</v>
      </c>
      <c r="J1085" s="28">
        <f t="shared" si="16"/>
        <v>610000</v>
      </c>
    </row>
    <row r="1086" spans="1:10" ht="18" customHeight="1" x14ac:dyDescent="0.3">
      <c r="A1086" s="18" t="s">
        <v>2221</v>
      </c>
      <c r="B1086" s="5" t="s">
        <v>2222</v>
      </c>
      <c r="C1086" s="18" t="s">
        <v>59</v>
      </c>
      <c r="D1086" s="18" t="s">
        <v>114</v>
      </c>
      <c r="E1086" s="6">
        <v>6600000</v>
      </c>
      <c r="F1086" s="19">
        <v>0.72</v>
      </c>
      <c r="G1086" s="18">
        <v>38</v>
      </c>
      <c r="H1086" s="20">
        <v>16</v>
      </c>
      <c r="I1086" s="24" t="str" cm="1">
        <f t="array" ref="I1086">_xlfn.IFS(
   AND(F1086&gt;=0,9, G1086&gt;=85), "Excelente",
   AND(F1086&gt;=0,8, G1086&gt;=70), "Bueno",
   OR(F1086&lt;0,6,  G1086&lt;50),  "Alerta",
   TRUE,           "Revisar")</f>
        <v>Alerta</v>
      </c>
      <c r="J1086" s="28">
        <f t="shared" si="16"/>
        <v>0</v>
      </c>
    </row>
    <row r="1087" spans="1:10" ht="18" customHeight="1" x14ac:dyDescent="0.3">
      <c r="A1087" s="25" t="s">
        <v>2223</v>
      </c>
      <c r="B1087" s="8" t="s">
        <v>2224</v>
      </c>
      <c r="C1087" s="25" t="s">
        <v>59</v>
      </c>
      <c r="D1087" s="25" t="s">
        <v>64</v>
      </c>
      <c r="E1087" s="9">
        <v>8300000</v>
      </c>
      <c r="F1087" s="26">
        <v>0.64</v>
      </c>
      <c r="G1087" s="25">
        <v>30</v>
      </c>
      <c r="H1087" s="27">
        <v>1</v>
      </c>
      <c r="I1087" s="24" t="str" cm="1">
        <f t="array" ref="I1087">_xlfn.IFS(
   AND(F1087&gt;=0,9, G1087&gt;=85), "Excelente",
   AND(F1087&gt;=0,8, G1087&gt;=70), "Bueno",
   OR(F1087&lt;0,6,  G1087&lt;50),  "Alerta",
   TRUE,           "Revisar")</f>
        <v>Alerta</v>
      </c>
      <c r="J1087" s="28">
        <f t="shared" si="16"/>
        <v>0</v>
      </c>
    </row>
    <row r="1088" spans="1:10" ht="18" customHeight="1" x14ac:dyDescent="0.3">
      <c r="A1088" s="18" t="s">
        <v>2225</v>
      </c>
      <c r="B1088" s="5" t="s">
        <v>2226</v>
      </c>
      <c r="C1088" s="18" t="s">
        <v>71</v>
      </c>
      <c r="D1088" s="18" t="s">
        <v>78</v>
      </c>
      <c r="E1088" s="6">
        <v>11900000</v>
      </c>
      <c r="F1088" s="19">
        <v>0.6</v>
      </c>
      <c r="G1088" s="18">
        <v>55</v>
      </c>
      <c r="H1088" s="20">
        <v>8.6</v>
      </c>
      <c r="I1088" s="24" t="str" cm="1">
        <f t="array" ref="I1088">_xlfn.IFS(
   AND(F1088&gt;=0,9, G1088&gt;=85), "Excelente",
   AND(F1088&gt;=0,8, G1088&gt;=70), "Bueno",
   OR(F1088&lt;0,6,  G1088&lt;50),  "Alerta",
   TRUE,           "Revisar")</f>
        <v>Alerta</v>
      </c>
      <c r="J1088" s="28">
        <f t="shared" si="16"/>
        <v>0</v>
      </c>
    </row>
    <row r="1089" spans="1:10" ht="18" customHeight="1" x14ac:dyDescent="0.3">
      <c r="A1089" s="25" t="s">
        <v>2227</v>
      </c>
      <c r="B1089" s="8" t="s">
        <v>2228</v>
      </c>
      <c r="C1089" s="25" t="s">
        <v>77</v>
      </c>
      <c r="D1089" s="25" t="s">
        <v>114</v>
      </c>
      <c r="E1089" s="9">
        <v>7600000</v>
      </c>
      <c r="F1089" s="26">
        <v>0.88</v>
      </c>
      <c r="G1089" s="25">
        <v>85</v>
      </c>
      <c r="H1089" s="27">
        <v>1.9</v>
      </c>
      <c r="I1089" s="24" t="str" cm="1">
        <f t="array" ref="I1089">_xlfn.IFS(
   AND(F1089&gt;=0,9, G1089&gt;=85), "Excelente",
   AND(F1089&gt;=0,8, G1089&gt;=70), "Bueno",
   OR(F1089&lt;0,6,  G1089&lt;50),  "Alerta",
   TRUE,           "Revisar")</f>
        <v>Excelente</v>
      </c>
      <c r="J1089" s="28">
        <f t="shared" si="16"/>
        <v>760000</v>
      </c>
    </row>
    <row r="1090" spans="1:10" ht="18" customHeight="1" x14ac:dyDescent="0.3">
      <c r="A1090" s="18" t="s">
        <v>2229</v>
      </c>
      <c r="B1090" s="5" t="s">
        <v>2230</v>
      </c>
      <c r="C1090" s="18" t="s">
        <v>63</v>
      </c>
      <c r="D1090" s="18" t="s">
        <v>78</v>
      </c>
      <c r="E1090" s="6">
        <v>4500000</v>
      </c>
      <c r="F1090" s="19">
        <v>0.79</v>
      </c>
      <c r="G1090" s="18">
        <v>68</v>
      </c>
      <c r="H1090" s="20">
        <v>15.7</v>
      </c>
      <c r="I1090" s="24" t="str" cm="1">
        <f t="array" ref="I1090">_xlfn.IFS(
   AND(F1090&gt;=0,9, G1090&gt;=85), "Excelente",
   AND(F1090&gt;=0,8, G1090&gt;=70), "Bueno",
   OR(F1090&lt;0,6,  G1090&lt;50),  "Alerta",
   TRUE,           "Revisar")</f>
        <v>Alerta</v>
      </c>
      <c r="J1090" s="28">
        <f t="shared" si="16"/>
        <v>0</v>
      </c>
    </row>
    <row r="1091" spans="1:10" ht="18" customHeight="1" x14ac:dyDescent="0.3">
      <c r="A1091" s="25" t="s">
        <v>2231</v>
      </c>
      <c r="B1091" s="8" t="s">
        <v>2232</v>
      </c>
      <c r="C1091" s="25" t="s">
        <v>59</v>
      </c>
      <c r="D1091" s="25" t="s">
        <v>64</v>
      </c>
      <c r="E1091" s="9">
        <v>7800000</v>
      </c>
      <c r="F1091" s="26">
        <v>0.52</v>
      </c>
      <c r="G1091" s="25">
        <v>30</v>
      </c>
      <c r="H1091" s="27">
        <v>9.3000000000000007</v>
      </c>
      <c r="I1091" s="24" t="str" cm="1">
        <f t="array" ref="I1091">_xlfn.IFS(
   AND(F1091&gt;=0,9, G1091&gt;=85), "Excelente",
   AND(F1091&gt;=0,8, G1091&gt;=70), "Bueno",
   OR(F1091&lt;0,6,  G1091&lt;50),  "Alerta",
   TRUE,           "Revisar")</f>
        <v>Alerta</v>
      </c>
      <c r="J1091" s="28">
        <f t="shared" si="16"/>
        <v>0</v>
      </c>
    </row>
    <row r="1092" spans="1:10" ht="18" customHeight="1" x14ac:dyDescent="0.3">
      <c r="A1092" s="18" t="s">
        <v>2233</v>
      </c>
      <c r="B1092" s="5" t="s">
        <v>2234</v>
      </c>
      <c r="C1092" s="18" t="s">
        <v>91</v>
      </c>
      <c r="D1092" s="18" t="s">
        <v>88</v>
      </c>
      <c r="E1092" s="6">
        <v>11100000</v>
      </c>
      <c r="F1092" s="19">
        <v>0.51</v>
      </c>
      <c r="G1092" s="18">
        <v>42</v>
      </c>
      <c r="H1092" s="20">
        <v>16.399999999999999</v>
      </c>
      <c r="I1092" s="24" t="str" cm="1">
        <f t="array" ref="I1092">_xlfn.IFS(
   AND(F1092&gt;=0,9, G1092&gt;=85), "Excelente",
   AND(F1092&gt;=0,8, G1092&gt;=70), "Bueno",
   OR(F1092&lt;0,6,  G1092&lt;50),  "Alerta",
   TRUE,           "Revisar")</f>
        <v>Alerta</v>
      </c>
      <c r="J1092" s="28">
        <f t="shared" si="16"/>
        <v>0</v>
      </c>
    </row>
    <row r="1093" spans="1:10" ht="18" customHeight="1" x14ac:dyDescent="0.3">
      <c r="A1093" s="25" t="s">
        <v>2235</v>
      </c>
      <c r="B1093" s="8" t="s">
        <v>2236</v>
      </c>
      <c r="C1093" s="25" t="s">
        <v>71</v>
      </c>
      <c r="D1093" s="25" t="s">
        <v>78</v>
      </c>
      <c r="E1093" s="9">
        <v>9400000</v>
      </c>
      <c r="F1093" s="26">
        <v>0.5</v>
      </c>
      <c r="G1093" s="25">
        <v>56</v>
      </c>
      <c r="H1093" s="27">
        <v>2.1</v>
      </c>
      <c r="I1093" s="24" t="str" cm="1">
        <f t="array" ref="I1093">_xlfn.IFS(
   AND(F1093&gt;=0,9, G1093&gt;=85), "Excelente",
   AND(F1093&gt;=0,8, G1093&gt;=70), "Bueno",
   OR(F1093&lt;0,6,  G1093&lt;50),  "Alerta",
   TRUE,           "Revisar")</f>
        <v>Alerta</v>
      </c>
      <c r="J1093" s="28">
        <f t="shared" si="16"/>
        <v>0</v>
      </c>
    </row>
    <row r="1094" spans="1:10" ht="18" customHeight="1" x14ac:dyDescent="0.3">
      <c r="A1094" s="18" t="s">
        <v>2237</v>
      </c>
      <c r="B1094" s="5" t="s">
        <v>2238</v>
      </c>
      <c r="C1094" s="18" t="s">
        <v>77</v>
      </c>
      <c r="D1094" s="18" t="s">
        <v>68</v>
      </c>
      <c r="E1094" s="6">
        <v>3500000</v>
      </c>
      <c r="F1094" s="19">
        <v>0.96</v>
      </c>
      <c r="G1094" s="18">
        <v>68</v>
      </c>
      <c r="H1094" s="20">
        <v>8.1</v>
      </c>
      <c r="I1094" s="24" t="str" cm="1">
        <f t="array" ref="I1094">_xlfn.IFS(
   AND(F1094&gt;=0,9, G1094&gt;=85), "Excelente",
   AND(F1094&gt;=0,8, G1094&gt;=70), "Bueno",
   OR(F1094&lt;0,6,  G1094&lt;50),  "Alerta",
   TRUE,           "Revisar")</f>
        <v>Alerta</v>
      </c>
      <c r="J1094" s="28">
        <f t="shared" si="16"/>
        <v>0</v>
      </c>
    </row>
    <row r="1095" spans="1:10" ht="18" customHeight="1" x14ac:dyDescent="0.3">
      <c r="A1095" s="25" t="s">
        <v>2239</v>
      </c>
      <c r="B1095" s="8" t="s">
        <v>2240</v>
      </c>
      <c r="C1095" s="25" t="s">
        <v>77</v>
      </c>
      <c r="D1095" s="25" t="s">
        <v>78</v>
      </c>
      <c r="E1095" s="9">
        <v>8300000</v>
      </c>
      <c r="F1095" s="26">
        <v>0.53</v>
      </c>
      <c r="G1095" s="25">
        <v>32</v>
      </c>
      <c r="H1095" s="27">
        <v>3.7</v>
      </c>
      <c r="I1095" s="24" t="str" cm="1">
        <f t="array" ref="I1095">_xlfn.IFS(
   AND(F1095&gt;=0,9, G1095&gt;=85), "Excelente",
   AND(F1095&gt;=0,8, G1095&gt;=70), "Bueno",
   OR(F1095&lt;0,6,  G1095&lt;50),  "Alerta",
   TRUE,           "Revisar")</f>
        <v>Alerta</v>
      </c>
      <c r="J1095" s="28">
        <f t="shared" si="16"/>
        <v>0</v>
      </c>
    </row>
    <row r="1096" spans="1:10" ht="18" customHeight="1" x14ac:dyDescent="0.3">
      <c r="A1096" s="18" t="s">
        <v>2241</v>
      </c>
      <c r="B1096" s="5" t="s">
        <v>2242</v>
      </c>
      <c r="C1096" s="18" t="s">
        <v>77</v>
      </c>
      <c r="D1096" s="18" t="s">
        <v>114</v>
      </c>
      <c r="E1096" s="6">
        <v>10100000</v>
      </c>
      <c r="F1096" s="19">
        <v>0.84</v>
      </c>
      <c r="G1096" s="18">
        <v>94</v>
      </c>
      <c r="H1096" s="20">
        <v>15.5</v>
      </c>
      <c r="I1096" s="24" t="str" cm="1">
        <f t="array" ref="I1096">_xlfn.IFS(
   AND(F1096&gt;=0,9, G1096&gt;=85), "Excelente",
   AND(F1096&gt;=0,8, G1096&gt;=70), "Bueno",
   OR(F1096&lt;0,6,  G1096&lt;50),  "Alerta",
   TRUE,           "Revisar")</f>
        <v>Excelente</v>
      </c>
      <c r="J1096" s="28">
        <f t="shared" si="16"/>
        <v>1010000</v>
      </c>
    </row>
    <row r="1097" spans="1:10" ht="18" customHeight="1" x14ac:dyDescent="0.3">
      <c r="A1097" s="25" t="s">
        <v>2243</v>
      </c>
      <c r="B1097" s="8" t="s">
        <v>2244</v>
      </c>
      <c r="C1097" s="25" t="s">
        <v>71</v>
      </c>
      <c r="D1097" s="25" t="s">
        <v>92</v>
      </c>
      <c r="E1097" s="9">
        <v>10300000</v>
      </c>
      <c r="F1097" s="26">
        <v>0.98</v>
      </c>
      <c r="G1097" s="25">
        <v>74</v>
      </c>
      <c r="H1097" s="27">
        <v>11.7</v>
      </c>
      <c r="I1097" s="24" t="str" cm="1">
        <f t="array" ref="I1097">_xlfn.IFS(
   AND(F1097&gt;=0,9, G1097&gt;=85), "Excelente",
   AND(F1097&gt;=0,8, G1097&gt;=70), "Bueno",
   OR(F1097&lt;0,6,  G1097&lt;50),  "Alerta",
   TRUE,           "Revisar")</f>
        <v>Bueno</v>
      </c>
      <c r="J1097" s="28">
        <f t="shared" si="16"/>
        <v>1030000</v>
      </c>
    </row>
    <row r="1098" spans="1:10" ht="18" customHeight="1" x14ac:dyDescent="0.3">
      <c r="A1098" s="18" t="s">
        <v>2245</v>
      </c>
      <c r="B1098" s="5" t="s">
        <v>2246</v>
      </c>
      <c r="C1098" s="18" t="s">
        <v>67</v>
      </c>
      <c r="D1098" s="18" t="s">
        <v>78</v>
      </c>
      <c r="E1098" s="6">
        <v>10200000</v>
      </c>
      <c r="F1098" s="19">
        <v>0.46</v>
      </c>
      <c r="G1098" s="18">
        <v>42</v>
      </c>
      <c r="H1098" s="20">
        <v>4.0999999999999996</v>
      </c>
      <c r="I1098" s="24" t="str" cm="1">
        <f t="array" ref="I1098">_xlfn.IFS(
   AND(F1098&gt;=0,9, G1098&gt;=85), "Excelente",
   AND(F1098&gt;=0,8, G1098&gt;=70), "Bueno",
   OR(F1098&lt;0,6,  G1098&lt;50),  "Alerta",
   TRUE,           "Revisar")</f>
        <v>Alerta</v>
      </c>
      <c r="J1098" s="28">
        <f t="shared" si="16"/>
        <v>0</v>
      </c>
    </row>
    <row r="1099" spans="1:10" ht="18" customHeight="1" x14ac:dyDescent="0.3">
      <c r="A1099" s="25" t="s">
        <v>2247</v>
      </c>
      <c r="B1099" s="8" t="s">
        <v>2248</v>
      </c>
      <c r="C1099" s="25" t="s">
        <v>59</v>
      </c>
      <c r="D1099" s="25" t="s">
        <v>68</v>
      </c>
      <c r="E1099" s="9">
        <v>11800000</v>
      </c>
      <c r="F1099" s="26">
        <v>0.65</v>
      </c>
      <c r="G1099" s="25">
        <v>50</v>
      </c>
      <c r="H1099" s="27">
        <v>19.399999999999999</v>
      </c>
      <c r="I1099" s="24" t="str" cm="1">
        <f t="array" ref="I1099">_xlfn.IFS(
   AND(F1099&gt;=0,9, G1099&gt;=85), "Excelente",
   AND(F1099&gt;=0,8, G1099&gt;=70), "Bueno",
   OR(F1099&lt;0,6,  G1099&lt;50),  "Alerta",
   TRUE,           "Revisar")</f>
        <v>Alerta</v>
      </c>
      <c r="J1099" s="28">
        <f t="shared" si="16"/>
        <v>0</v>
      </c>
    </row>
    <row r="1100" spans="1:10" ht="18" customHeight="1" x14ac:dyDescent="0.3">
      <c r="A1100" s="18" t="s">
        <v>2249</v>
      </c>
      <c r="B1100" s="5" t="s">
        <v>2250</v>
      </c>
      <c r="C1100" s="18" t="s">
        <v>67</v>
      </c>
      <c r="D1100" s="18" t="s">
        <v>68</v>
      </c>
      <c r="E1100" s="6">
        <v>11500000</v>
      </c>
      <c r="F1100" s="19">
        <v>0.83</v>
      </c>
      <c r="G1100" s="18">
        <v>32</v>
      </c>
      <c r="H1100" s="20">
        <v>11</v>
      </c>
      <c r="I1100" s="24" t="str" cm="1">
        <f t="array" ref="I1100">_xlfn.IFS(
   AND(F1100&gt;=0,9, G1100&gt;=85), "Excelente",
   AND(F1100&gt;=0,8, G1100&gt;=70), "Bueno",
   OR(F1100&lt;0,6,  G1100&lt;50),  "Alerta",
   TRUE,           "Revisar")</f>
        <v>Alerta</v>
      </c>
      <c r="J1100" s="28">
        <f t="shared" ref="J1100:J1163" si="17">IF(OR(I1100="Excelente",I1100="Bueno"),E1100*0.1,0)</f>
        <v>0</v>
      </c>
    </row>
    <row r="1101" spans="1:10" ht="18" customHeight="1" x14ac:dyDescent="0.3">
      <c r="A1101" s="25" t="s">
        <v>2251</v>
      </c>
      <c r="B1101" s="8" t="s">
        <v>2252</v>
      </c>
      <c r="C1101" s="25" t="s">
        <v>81</v>
      </c>
      <c r="D1101" s="25" t="s">
        <v>92</v>
      </c>
      <c r="E1101" s="9">
        <v>5200000</v>
      </c>
      <c r="F1101" s="26">
        <v>0.64</v>
      </c>
      <c r="G1101" s="25">
        <v>37</v>
      </c>
      <c r="H1101" s="27">
        <v>4.8</v>
      </c>
      <c r="I1101" s="24" t="str" cm="1">
        <f t="array" ref="I1101">_xlfn.IFS(
   AND(F1101&gt;=0,9, G1101&gt;=85), "Excelente",
   AND(F1101&gt;=0,8, G1101&gt;=70), "Bueno",
   OR(F1101&lt;0,6,  G1101&lt;50),  "Alerta",
   TRUE,           "Revisar")</f>
        <v>Alerta</v>
      </c>
      <c r="J1101" s="28">
        <f t="shared" si="17"/>
        <v>0</v>
      </c>
    </row>
    <row r="1102" spans="1:10" ht="18" customHeight="1" x14ac:dyDescent="0.3">
      <c r="A1102" s="18" t="s">
        <v>2253</v>
      </c>
      <c r="B1102" s="5" t="s">
        <v>2254</v>
      </c>
      <c r="C1102" s="18" t="s">
        <v>91</v>
      </c>
      <c r="D1102" s="18" t="s">
        <v>60</v>
      </c>
      <c r="E1102" s="6">
        <v>3500000</v>
      </c>
      <c r="F1102" s="19">
        <v>0.49</v>
      </c>
      <c r="G1102" s="18">
        <v>46</v>
      </c>
      <c r="H1102" s="20">
        <v>8.8000000000000007</v>
      </c>
      <c r="I1102" s="24" t="str" cm="1">
        <f t="array" ref="I1102">_xlfn.IFS(
   AND(F1102&gt;=0,9, G1102&gt;=85), "Excelente",
   AND(F1102&gt;=0,8, G1102&gt;=70), "Bueno",
   OR(F1102&lt;0,6,  G1102&lt;50),  "Alerta",
   TRUE,           "Revisar")</f>
        <v>Alerta</v>
      </c>
      <c r="J1102" s="28">
        <f t="shared" si="17"/>
        <v>0</v>
      </c>
    </row>
    <row r="1103" spans="1:10" ht="18" customHeight="1" x14ac:dyDescent="0.3">
      <c r="A1103" s="25" t="s">
        <v>2255</v>
      </c>
      <c r="B1103" s="8" t="s">
        <v>2256</v>
      </c>
      <c r="C1103" s="25" t="s">
        <v>81</v>
      </c>
      <c r="D1103" s="25" t="s">
        <v>92</v>
      </c>
      <c r="E1103" s="9">
        <v>10500000</v>
      </c>
      <c r="F1103" s="26">
        <v>0.81</v>
      </c>
      <c r="G1103" s="25">
        <v>61</v>
      </c>
      <c r="H1103" s="27">
        <v>20</v>
      </c>
      <c r="I1103" s="24" t="str" cm="1">
        <f t="array" ref="I1103">_xlfn.IFS(
   AND(F1103&gt;=0,9, G1103&gt;=85), "Excelente",
   AND(F1103&gt;=0,8, G1103&gt;=70), "Bueno",
   OR(F1103&lt;0,6,  G1103&lt;50),  "Alerta",
   TRUE,           "Revisar")</f>
        <v>Alerta</v>
      </c>
      <c r="J1103" s="28">
        <f t="shared" si="17"/>
        <v>0</v>
      </c>
    </row>
    <row r="1104" spans="1:10" ht="18" customHeight="1" x14ac:dyDescent="0.3">
      <c r="A1104" s="18" t="s">
        <v>2257</v>
      </c>
      <c r="B1104" s="5" t="s">
        <v>2258</v>
      </c>
      <c r="C1104" s="18" t="s">
        <v>63</v>
      </c>
      <c r="D1104" s="18" t="s">
        <v>105</v>
      </c>
      <c r="E1104" s="6">
        <v>11200000</v>
      </c>
      <c r="F1104" s="19">
        <v>0.52</v>
      </c>
      <c r="G1104" s="18">
        <v>39</v>
      </c>
      <c r="H1104" s="20">
        <v>1.5</v>
      </c>
      <c r="I1104" s="24" t="str" cm="1">
        <f t="array" ref="I1104">_xlfn.IFS(
   AND(F1104&gt;=0,9, G1104&gt;=85), "Excelente",
   AND(F1104&gt;=0,8, G1104&gt;=70), "Bueno",
   OR(F1104&lt;0,6,  G1104&lt;50),  "Alerta",
   TRUE,           "Revisar")</f>
        <v>Alerta</v>
      </c>
      <c r="J1104" s="28">
        <f t="shared" si="17"/>
        <v>0</v>
      </c>
    </row>
    <row r="1105" spans="1:10" ht="18" customHeight="1" x14ac:dyDescent="0.3">
      <c r="A1105" s="25" t="s">
        <v>2259</v>
      </c>
      <c r="B1105" s="8" t="s">
        <v>2260</v>
      </c>
      <c r="C1105" s="25" t="s">
        <v>67</v>
      </c>
      <c r="D1105" s="25" t="s">
        <v>88</v>
      </c>
      <c r="E1105" s="9">
        <v>6800000</v>
      </c>
      <c r="F1105" s="26">
        <v>0.83</v>
      </c>
      <c r="G1105" s="25">
        <v>94</v>
      </c>
      <c r="H1105" s="27">
        <v>2.1</v>
      </c>
      <c r="I1105" s="24" t="str" cm="1">
        <f t="array" ref="I1105">_xlfn.IFS(
   AND(F1105&gt;=0,9, G1105&gt;=85), "Excelente",
   AND(F1105&gt;=0,8, G1105&gt;=70), "Bueno",
   OR(F1105&lt;0,6,  G1105&lt;50),  "Alerta",
   TRUE,           "Revisar")</f>
        <v>Excelente</v>
      </c>
      <c r="J1105" s="28">
        <f t="shared" si="17"/>
        <v>680000</v>
      </c>
    </row>
    <row r="1106" spans="1:10" ht="18" customHeight="1" x14ac:dyDescent="0.3">
      <c r="A1106" s="18" t="s">
        <v>2261</v>
      </c>
      <c r="B1106" s="5" t="s">
        <v>2262</v>
      </c>
      <c r="C1106" s="18" t="s">
        <v>77</v>
      </c>
      <c r="D1106" s="18" t="s">
        <v>88</v>
      </c>
      <c r="E1106" s="6">
        <v>3800000</v>
      </c>
      <c r="F1106" s="19">
        <v>0.56000000000000005</v>
      </c>
      <c r="G1106" s="18">
        <v>47</v>
      </c>
      <c r="H1106" s="20">
        <v>16.8</v>
      </c>
      <c r="I1106" s="24" t="str" cm="1">
        <f t="array" ref="I1106">_xlfn.IFS(
   AND(F1106&gt;=0,9, G1106&gt;=85), "Excelente",
   AND(F1106&gt;=0,8, G1106&gt;=70), "Bueno",
   OR(F1106&lt;0,6,  G1106&lt;50),  "Alerta",
   TRUE,           "Revisar")</f>
        <v>Alerta</v>
      </c>
      <c r="J1106" s="28">
        <f t="shared" si="17"/>
        <v>0</v>
      </c>
    </row>
    <row r="1107" spans="1:10" ht="18" customHeight="1" x14ac:dyDescent="0.3">
      <c r="A1107" s="25" t="s">
        <v>2263</v>
      </c>
      <c r="B1107" s="8" t="s">
        <v>2264</v>
      </c>
      <c r="C1107" s="25" t="s">
        <v>67</v>
      </c>
      <c r="D1107" s="25" t="s">
        <v>60</v>
      </c>
      <c r="E1107" s="9">
        <v>7600000</v>
      </c>
      <c r="F1107" s="26">
        <v>0.55000000000000004</v>
      </c>
      <c r="G1107" s="25">
        <v>85</v>
      </c>
      <c r="H1107" s="27">
        <v>10.6</v>
      </c>
      <c r="I1107" s="24" t="str" cm="1">
        <f t="array" ref="I1107">_xlfn.IFS(
   AND(F1107&gt;=0,9, G1107&gt;=85), "Excelente",
   AND(F1107&gt;=0,8, G1107&gt;=70), "Bueno",
   OR(F1107&lt;0,6,  G1107&lt;50),  "Alerta",
   TRUE,           "Revisar")</f>
        <v>Excelente</v>
      </c>
      <c r="J1107" s="28">
        <f t="shared" si="17"/>
        <v>760000</v>
      </c>
    </row>
    <row r="1108" spans="1:10" ht="18" customHeight="1" x14ac:dyDescent="0.3">
      <c r="A1108" s="18" t="s">
        <v>2265</v>
      </c>
      <c r="B1108" s="5" t="s">
        <v>2266</v>
      </c>
      <c r="C1108" s="18" t="s">
        <v>91</v>
      </c>
      <c r="D1108" s="18" t="s">
        <v>92</v>
      </c>
      <c r="E1108" s="6">
        <v>6100000</v>
      </c>
      <c r="F1108" s="19">
        <v>0.9</v>
      </c>
      <c r="G1108" s="18">
        <v>57</v>
      </c>
      <c r="H1108" s="20">
        <v>15.1</v>
      </c>
      <c r="I1108" s="24" t="str" cm="1">
        <f t="array" ref="I1108">_xlfn.IFS(
   AND(F1108&gt;=0,9, G1108&gt;=85), "Excelente",
   AND(F1108&gt;=0,8, G1108&gt;=70), "Bueno",
   OR(F1108&lt;0,6,  G1108&lt;50),  "Alerta",
   TRUE,           "Revisar")</f>
        <v>Alerta</v>
      </c>
      <c r="J1108" s="28">
        <f t="shared" si="17"/>
        <v>0</v>
      </c>
    </row>
    <row r="1109" spans="1:10" ht="18" customHeight="1" x14ac:dyDescent="0.3">
      <c r="A1109" s="25" t="s">
        <v>2267</v>
      </c>
      <c r="B1109" s="8" t="s">
        <v>2268</v>
      </c>
      <c r="C1109" s="25" t="s">
        <v>63</v>
      </c>
      <c r="D1109" s="25" t="s">
        <v>88</v>
      </c>
      <c r="E1109" s="9">
        <v>9600000</v>
      </c>
      <c r="F1109" s="26">
        <v>0.7</v>
      </c>
      <c r="G1109" s="25">
        <v>96</v>
      </c>
      <c r="H1109" s="27">
        <v>5.2</v>
      </c>
      <c r="I1109" s="24" t="str" cm="1">
        <f t="array" ref="I1109">_xlfn.IFS(
   AND(F1109&gt;=0,9, G1109&gt;=85), "Excelente",
   AND(F1109&gt;=0,8, G1109&gt;=70), "Bueno",
   OR(F1109&lt;0,6,  G1109&lt;50),  "Alerta",
   TRUE,           "Revisar")</f>
        <v>Excelente</v>
      </c>
      <c r="J1109" s="28">
        <f t="shared" si="17"/>
        <v>960000</v>
      </c>
    </row>
    <row r="1110" spans="1:10" ht="18" customHeight="1" x14ac:dyDescent="0.3">
      <c r="A1110" s="18" t="s">
        <v>2269</v>
      </c>
      <c r="B1110" s="5" t="s">
        <v>2270</v>
      </c>
      <c r="C1110" s="18" t="s">
        <v>59</v>
      </c>
      <c r="D1110" s="18" t="s">
        <v>78</v>
      </c>
      <c r="E1110" s="6">
        <v>5900000</v>
      </c>
      <c r="F1110" s="19">
        <v>0.87</v>
      </c>
      <c r="G1110" s="18">
        <v>67</v>
      </c>
      <c r="H1110" s="20">
        <v>6.8</v>
      </c>
      <c r="I1110" s="24" t="str" cm="1">
        <f t="array" ref="I1110">_xlfn.IFS(
   AND(F1110&gt;=0,9, G1110&gt;=85), "Excelente",
   AND(F1110&gt;=0,8, G1110&gt;=70), "Bueno",
   OR(F1110&lt;0,6,  G1110&lt;50),  "Alerta",
   TRUE,           "Revisar")</f>
        <v>Alerta</v>
      </c>
      <c r="J1110" s="28">
        <f t="shared" si="17"/>
        <v>0</v>
      </c>
    </row>
    <row r="1111" spans="1:10" ht="18" customHeight="1" x14ac:dyDescent="0.3">
      <c r="A1111" s="25" t="s">
        <v>2271</v>
      </c>
      <c r="B1111" s="8" t="s">
        <v>2272</v>
      </c>
      <c r="C1111" s="25" t="s">
        <v>77</v>
      </c>
      <c r="D1111" s="25" t="s">
        <v>64</v>
      </c>
      <c r="E1111" s="9">
        <v>7300000</v>
      </c>
      <c r="F1111" s="26">
        <v>0.71</v>
      </c>
      <c r="G1111" s="25">
        <v>57</v>
      </c>
      <c r="H1111" s="27">
        <v>8.1999999999999993</v>
      </c>
      <c r="I1111" s="24" t="str" cm="1">
        <f t="array" ref="I1111">_xlfn.IFS(
   AND(F1111&gt;=0,9, G1111&gt;=85), "Excelente",
   AND(F1111&gt;=0,8, G1111&gt;=70), "Bueno",
   OR(F1111&lt;0,6,  G1111&lt;50),  "Alerta",
   TRUE,           "Revisar")</f>
        <v>Alerta</v>
      </c>
      <c r="J1111" s="28">
        <f t="shared" si="17"/>
        <v>0</v>
      </c>
    </row>
    <row r="1112" spans="1:10" ht="18" customHeight="1" x14ac:dyDescent="0.3">
      <c r="A1112" s="18" t="s">
        <v>2273</v>
      </c>
      <c r="B1112" s="5" t="s">
        <v>2274</v>
      </c>
      <c r="C1112" s="18" t="s">
        <v>81</v>
      </c>
      <c r="D1112" s="18" t="s">
        <v>78</v>
      </c>
      <c r="E1112" s="6">
        <v>8400000</v>
      </c>
      <c r="F1112" s="19">
        <v>0.55000000000000004</v>
      </c>
      <c r="G1112" s="18">
        <v>65</v>
      </c>
      <c r="H1112" s="20">
        <v>5.2</v>
      </c>
      <c r="I1112" s="24" t="str" cm="1">
        <f t="array" ref="I1112">_xlfn.IFS(
   AND(F1112&gt;=0,9, G1112&gt;=85), "Excelente",
   AND(F1112&gt;=0,8, G1112&gt;=70), "Bueno",
   OR(F1112&lt;0,6,  G1112&lt;50),  "Alerta",
   TRUE,           "Revisar")</f>
        <v>Alerta</v>
      </c>
      <c r="J1112" s="28">
        <f t="shared" si="17"/>
        <v>0</v>
      </c>
    </row>
    <row r="1113" spans="1:10" ht="18" customHeight="1" x14ac:dyDescent="0.3">
      <c r="A1113" s="25" t="s">
        <v>2275</v>
      </c>
      <c r="B1113" s="8" t="s">
        <v>2276</v>
      </c>
      <c r="C1113" s="25" t="s">
        <v>63</v>
      </c>
      <c r="D1113" s="25" t="s">
        <v>88</v>
      </c>
      <c r="E1113" s="9">
        <v>4600000</v>
      </c>
      <c r="F1113" s="26">
        <v>0.46</v>
      </c>
      <c r="G1113" s="25">
        <v>76</v>
      </c>
      <c r="H1113" s="27">
        <v>6.7</v>
      </c>
      <c r="I1113" s="24" t="str" cm="1">
        <f t="array" ref="I1113">_xlfn.IFS(
   AND(F1113&gt;=0,9, G1113&gt;=85), "Excelente",
   AND(F1113&gt;=0,8, G1113&gt;=70), "Bueno",
   OR(F1113&lt;0,6,  G1113&lt;50),  "Alerta",
   TRUE,           "Revisar")</f>
        <v>Bueno</v>
      </c>
      <c r="J1113" s="28">
        <f t="shared" si="17"/>
        <v>460000</v>
      </c>
    </row>
    <row r="1114" spans="1:10" ht="18" customHeight="1" x14ac:dyDescent="0.3">
      <c r="A1114" s="18" t="s">
        <v>2277</v>
      </c>
      <c r="B1114" s="5" t="s">
        <v>2278</v>
      </c>
      <c r="C1114" s="18" t="s">
        <v>59</v>
      </c>
      <c r="D1114" s="18" t="s">
        <v>64</v>
      </c>
      <c r="E1114" s="6">
        <v>4800000</v>
      </c>
      <c r="F1114" s="19">
        <v>0.65</v>
      </c>
      <c r="G1114" s="18">
        <v>67</v>
      </c>
      <c r="H1114" s="20">
        <v>18.600000000000001</v>
      </c>
      <c r="I1114" s="24" t="str" cm="1">
        <f t="array" ref="I1114">_xlfn.IFS(
   AND(F1114&gt;=0,9, G1114&gt;=85), "Excelente",
   AND(F1114&gt;=0,8, G1114&gt;=70), "Bueno",
   OR(F1114&lt;0,6,  G1114&lt;50),  "Alerta",
   TRUE,           "Revisar")</f>
        <v>Alerta</v>
      </c>
      <c r="J1114" s="28">
        <f t="shared" si="17"/>
        <v>0</v>
      </c>
    </row>
    <row r="1115" spans="1:10" ht="18" customHeight="1" x14ac:dyDescent="0.3">
      <c r="A1115" s="25" t="s">
        <v>2279</v>
      </c>
      <c r="B1115" s="8" t="s">
        <v>2280</v>
      </c>
      <c r="C1115" s="25" t="s">
        <v>91</v>
      </c>
      <c r="D1115" s="25" t="s">
        <v>114</v>
      </c>
      <c r="E1115" s="9">
        <v>7600000</v>
      </c>
      <c r="F1115" s="26">
        <v>0.87</v>
      </c>
      <c r="G1115" s="25">
        <v>40</v>
      </c>
      <c r="H1115" s="27">
        <v>19.100000000000001</v>
      </c>
      <c r="I1115" s="24" t="str" cm="1">
        <f t="array" ref="I1115">_xlfn.IFS(
   AND(F1115&gt;=0,9, G1115&gt;=85), "Excelente",
   AND(F1115&gt;=0,8, G1115&gt;=70), "Bueno",
   OR(F1115&lt;0,6,  G1115&lt;50),  "Alerta",
   TRUE,           "Revisar")</f>
        <v>Alerta</v>
      </c>
      <c r="J1115" s="28">
        <f t="shared" si="17"/>
        <v>0</v>
      </c>
    </row>
    <row r="1116" spans="1:10" ht="18" customHeight="1" x14ac:dyDescent="0.3">
      <c r="A1116" s="18" t="s">
        <v>2281</v>
      </c>
      <c r="B1116" s="5" t="s">
        <v>2282</v>
      </c>
      <c r="C1116" s="18" t="s">
        <v>67</v>
      </c>
      <c r="D1116" s="18" t="s">
        <v>92</v>
      </c>
      <c r="E1116" s="6">
        <v>5700000</v>
      </c>
      <c r="F1116" s="19">
        <v>0.7</v>
      </c>
      <c r="G1116" s="18">
        <v>44</v>
      </c>
      <c r="H1116" s="20">
        <v>13.9</v>
      </c>
      <c r="I1116" s="24" t="str" cm="1">
        <f t="array" ref="I1116">_xlfn.IFS(
   AND(F1116&gt;=0,9, G1116&gt;=85), "Excelente",
   AND(F1116&gt;=0,8, G1116&gt;=70), "Bueno",
   OR(F1116&lt;0,6,  G1116&lt;50),  "Alerta",
   TRUE,           "Revisar")</f>
        <v>Alerta</v>
      </c>
      <c r="J1116" s="28">
        <f t="shared" si="17"/>
        <v>0</v>
      </c>
    </row>
    <row r="1117" spans="1:10" ht="18" customHeight="1" x14ac:dyDescent="0.3">
      <c r="A1117" s="25" t="s">
        <v>2283</v>
      </c>
      <c r="B1117" s="8" t="s">
        <v>2284</v>
      </c>
      <c r="C1117" s="25" t="s">
        <v>77</v>
      </c>
      <c r="D1117" s="25" t="s">
        <v>60</v>
      </c>
      <c r="E1117" s="9">
        <v>5100000</v>
      </c>
      <c r="F1117" s="26">
        <v>0.93</v>
      </c>
      <c r="G1117" s="25">
        <v>31</v>
      </c>
      <c r="H1117" s="27">
        <v>3.3</v>
      </c>
      <c r="I1117" s="24" t="str" cm="1">
        <f t="array" ref="I1117">_xlfn.IFS(
   AND(F1117&gt;=0,9, G1117&gt;=85), "Excelente",
   AND(F1117&gt;=0,8, G1117&gt;=70), "Bueno",
   OR(F1117&lt;0,6,  G1117&lt;50),  "Alerta",
   TRUE,           "Revisar")</f>
        <v>Alerta</v>
      </c>
      <c r="J1117" s="28">
        <f t="shared" si="17"/>
        <v>0</v>
      </c>
    </row>
    <row r="1118" spans="1:10" ht="18" customHeight="1" x14ac:dyDescent="0.3">
      <c r="A1118" s="18" t="s">
        <v>2285</v>
      </c>
      <c r="B1118" s="5" t="s">
        <v>2286</v>
      </c>
      <c r="C1118" s="18" t="s">
        <v>63</v>
      </c>
      <c r="D1118" s="18" t="s">
        <v>92</v>
      </c>
      <c r="E1118" s="6">
        <v>4400000</v>
      </c>
      <c r="F1118" s="19">
        <v>0.67</v>
      </c>
      <c r="G1118" s="18">
        <v>60</v>
      </c>
      <c r="H1118" s="20">
        <v>14.2</v>
      </c>
      <c r="I1118" s="24" t="str" cm="1">
        <f t="array" ref="I1118">_xlfn.IFS(
   AND(F1118&gt;=0,9, G1118&gt;=85), "Excelente",
   AND(F1118&gt;=0,8, G1118&gt;=70), "Bueno",
   OR(F1118&lt;0,6,  G1118&lt;50),  "Alerta",
   TRUE,           "Revisar")</f>
        <v>Alerta</v>
      </c>
      <c r="J1118" s="28">
        <f t="shared" si="17"/>
        <v>0</v>
      </c>
    </row>
    <row r="1119" spans="1:10" ht="18" customHeight="1" x14ac:dyDescent="0.3">
      <c r="A1119" s="25" t="s">
        <v>2287</v>
      </c>
      <c r="B1119" s="8" t="s">
        <v>2288</v>
      </c>
      <c r="C1119" s="25" t="s">
        <v>63</v>
      </c>
      <c r="D1119" s="25" t="s">
        <v>88</v>
      </c>
      <c r="E1119" s="9">
        <v>6900000</v>
      </c>
      <c r="F1119" s="26">
        <v>0.66</v>
      </c>
      <c r="G1119" s="25">
        <v>52</v>
      </c>
      <c r="H1119" s="27">
        <v>19.100000000000001</v>
      </c>
      <c r="I1119" s="24" t="str" cm="1">
        <f t="array" ref="I1119">_xlfn.IFS(
   AND(F1119&gt;=0,9, G1119&gt;=85), "Excelente",
   AND(F1119&gt;=0,8, G1119&gt;=70), "Bueno",
   OR(F1119&lt;0,6,  G1119&lt;50),  "Alerta",
   TRUE,           "Revisar")</f>
        <v>Alerta</v>
      </c>
      <c r="J1119" s="28">
        <f t="shared" si="17"/>
        <v>0</v>
      </c>
    </row>
    <row r="1120" spans="1:10" ht="18" customHeight="1" x14ac:dyDescent="0.3">
      <c r="A1120" s="18" t="s">
        <v>2289</v>
      </c>
      <c r="B1120" s="5" t="s">
        <v>2290</v>
      </c>
      <c r="C1120" s="18" t="s">
        <v>59</v>
      </c>
      <c r="D1120" s="18" t="s">
        <v>114</v>
      </c>
      <c r="E1120" s="6">
        <v>4300000</v>
      </c>
      <c r="F1120" s="19">
        <v>0.61</v>
      </c>
      <c r="G1120" s="18">
        <v>92</v>
      </c>
      <c r="H1120" s="20">
        <v>8.8000000000000007</v>
      </c>
      <c r="I1120" s="24" t="str" cm="1">
        <f t="array" ref="I1120">_xlfn.IFS(
   AND(F1120&gt;=0,9, G1120&gt;=85), "Excelente",
   AND(F1120&gt;=0,8, G1120&gt;=70), "Bueno",
   OR(F1120&lt;0,6,  G1120&lt;50),  "Alerta",
   TRUE,           "Revisar")</f>
        <v>Excelente</v>
      </c>
      <c r="J1120" s="28">
        <f t="shared" si="17"/>
        <v>430000</v>
      </c>
    </row>
    <row r="1121" spans="1:10" ht="18" customHeight="1" x14ac:dyDescent="0.3">
      <c r="A1121" s="25" t="s">
        <v>2291</v>
      </c>
      <c r="B1121" s="8" t="s">
        <v>2292</v>
      </c>
      <c r="C1121" s="25" t="s">
        <v>74</v>
      </c>
      <c r="D1121" s="25" t="s">
        <v>60</v>
      </c>
      <c r="E1121" s="9">
        <v>11300000</v>
      </c>
      <c r="F1121" s="26">
        <v>0.6</v>
      </c>
      <c r="G1121" s="25">
        <v>42</v>
      </c>
      <c r="H1121" s="27">
        <v>4.0999999999999996</v>
      </c>
      <c r="I1121" s="24" t="str" cm="1">
        <f t="array" ref="I1121">_xlfn.IFS(
   AND(F1121&gt;=0,9, G1121&gt;=85), "Excelente",
   AND(F1121&gt;=0,8, G1121&gt;=70), "Bueno",
   OR(F1121&lt;0,6,  G1121&lt;50),  "Alerta",
   TRUE,           "Revisar")</f>
        <v>Alerta</v>
      </c>
      <c r="J1121" s="28">
        <f t="shared" si="17"/>
        <v>0</v>
      </c>
    </row>
    <row r="1122" spans="1:10" ht="18" customHeight="1" x14ac:dyDescent="0.3">
      <c r="A1122" s="18" t="s">
        <v>2293</v>
      </c>
      <c r="B1122" s="5" t="s">
        <v>2294</v>
      </c>
      <c r="C1122" s="18" t="s">
        <v>67</v>
      </c>
      <c r="D1122" s="18" t="s">
        <v>88</v>
      </c>
      <c r="E1122" s="6">
        <v>10100000</v>
      </c>
      <c r="F1122" s="19">
        <v>0.68</v>
      </c>
      <c r="G1122" s="18">
        <v>86</v>
      </c>
      <c r="H1122" s="20">
        <v>10.4</v>
      </c>
      <c r="I1122" s="24" t="str" cm="1">
        <f t="array" ref="I1122">_xlfn.IFS(
   AND(F1122&gt;=0,9, G1122&gt;=85), "Excelente",
   AND(F1122&gt;=0,8, G1122&gt;=70), "Bueno",
   OR(F1122&lt;0,6,  G1122&lt;50),  "Alerta",
   TRUE,           "Revisar")</f>
        <v>Excelente</v>
      </c>
      <c r="J1122" s="28">
        <f t="shared" si="17"/>
        <v>1010000</v>
      </c>
    </row>
    <row r="1123" spans="1:10" ht="18" customHeight="1" x14ac:dyDescent="0.3">
      <c r="A1123" s="25" t="s">
        <v>2295</v>
      </c>
      <c r="B1123" s="8" t="s">
        <v>2296</v>
      </c>
      <c r="C1123" s="25" t="s">
        <v>71</v>
      </c>
      <c r="D1123" s="25" t="s">
        <v>88</v>
      </c>
      <c r="E1123" s="9">
        <v>11300000</v>
      </c>
      <c r="F1123" s="26">
        <v>0.51</v>
      </c>
      <c r="G1123" s="25">
        <v>75</v>
      </c>
      <c r="H1123" s="27">
        <v>16.100000000000001</v>
      </c>
      <c r="I1123" s="24" t="str" cm="1">
        <f t="array" ref="I1123">_xlfn.IFS(
   AND(F1123&gt;=0,9, G1123&gt;=85), "Excelente",
   AND(F1123&gt;=0,8, G1123&gt;=70), "Bueno",
   OR(F1123&lt;0,6,  G1123&lt;50),  "Alerta",
   TRUE,           "Revisar")</f>
        <v>Bueno</v>
      </c>
      <c r="J1123" s="28">
        <f t="shared" si="17"/>
        <v>1130000</v>
      </c>
    </row>
    <row r="1124" spans="1:10" ht="18" customHeight="1" x14ac:dyDescent="0.3">
      <c r="A1124" s="18" t="s">
        <v>2297</v>
      </c>
      <c r="B1124" s="5" t="s">
        <v>2298</v>
      </c>
      <c r="C1124" s="18" t="s">
        <v>74</v>
      </c>
      <c r="D1124" s="18" t="s">
        <v>92</v>
      </c>
      <c r="E1124" s="6">
        <v>5200000</v>
      </c>
      <c r="F1124" s="19">
        <v>0.91</v>
      </c>
      <c r="G1124" s="18">
        <v>34</v>
      </c>
      <c r="H1124" s="20">
        <v>19</v>
      </c>
      <c r="I1124" s="24" t="str" cm="1">
        <f t="array" ref="I1124">_xlfn.IFS(
   AND(F1124&gt;=0,9, G1124&gt;=85), "Excelente",
   AND(F1124&gt;=0,8, G1124&gt;=70), "Bueno",
   OR(F1124&lt;0,6,  G1124&lt;50),  "Alerta",
   TRUE,           "Revisar")</f>
        <v>Alerta</v>
      </c>
      <c r="J1124" s="28">
        <f t="shared" si="17"/>
        <v>0</v>
      </c>
    </row>
    <row r="1125" spans="1:10" ht="18" customHeight="1" x14ac:dyDescent="0.3">
      <c r="A1125" s="25" t="s">
        <v>2299</v>
      </c>
      <c r="B1125" s="8" t="s">
        <v>2300</v>
      </c>
      <c r="C1125" s="25" t="s">
        <v>63</v>
      </c>
      <c r="D1125" s="25" t="s">
        <v>60</v>
      </c>
      <c r="E1125" s="9">
        <v>11400000</v>
      </c>
      <c r="F1125" s="26">
        <v>0.56000000000000005</v>
      </c>
      <c r="G1125" s="25">
        <v>90</v>
      </c>
      <c r="H1125" s="27">
        <v>3</v>
      </c>
      <c r="I1125" s="24" t="str" cm="1">
        <f t="array" ref="I1125">_xlfn.IFS(
   AND(F1125&gt;=0,9, G1125&gt;=85), "Excelente",
   AND(F1125&gt;=0,8, G1125&gt;=70), "Bueno",
   OR(F1125&lt;0,6,  G1125&lt;50),  "Alerta",
   TRUE,           "Revisar")</f>
        <v>Excelente</v>
      </c>
      <c r="J1125" s="28">
        <f t="shared" si="17"/>
        <v>1140000</v>
      </c>
    </row>
    <row r="1126" spans="1:10" ht="18" customHeight="1" x14ac:dyDescent="0.3">
      <c r="A1126" s="18" t="s">
        <v>2301</v>
      </c>
      <c r="B1126" s="5" t="s">
        <v>2302</v>
      </c>
      <c r="C1126" s="18" t="s">
        <v>77</v>
      </c>
      <c r="D1126" s="18" t="s">
        <v>60</v>
      </c>
      <c r="E1126" s="6">
        <v>11800000</v>
      </c>
      <c r="F1126" s="19">
        <v>0.55000000000000004</v>
      </c>
      <c r="G1126" s="18">
        <v>83</v>
      </c>
      <c r="H1126" s="20">
        <v>13.8</v>
      </c>
      <c r="I1126" s="24" t="str" cm="1">
        <f t="array" ref="I1126">_xlfn.IFS(
   AND(F1126&gt;=0,9, G1126&gt;=85), "Excelente",
   AND(F1126&gt;=0,8, G1126&gt;=70), "Bueno",
   OR(F1126&lt;0,6,  G1126&lt;50),  "Alerta",
   TRUE,           "Revisar")</f>
        <v>Bueno</v>
      </c>
      <c r="J1126" s="28">
        <f t="shared" si="17"/>
        <v>1180000</v>
      </c>
    </row>
    <row r="1127" spans="1:10" ht="18" customHeight="1" x14ac:dyDescent="0.3">
      <c r="A1127" s="25" t="s">
        <v>2303</v>
      </c>
      <c r="B1127" s="8" t="s">
        <v>2304</v>
      </c>
      <c r="C1127" s="25" t="s">
        <v>59</v>
      </c>
      <c r="D1127" s="25" t="s">
        <v>68</v>
      </c>
      <c r="E1127" s="9">
        <v>8500000</v>
      </c>
      <c r="F1127" s="26">
        <v>0.63</v>
      </c>
      <c r="G1127" s="25">
        <v>84</v>
      </c>
      <c r="H1127" s="27">
        <v>2.2999999999999998</v>
      </c>
      <c r="I1127" s="24" t="str" cm="1">
        <f t="array" ref="I1127">_xlfn.IFS(
   AND(F1127&gt;=0,9, G1127&gt;=85), "Excelente",
   AND(F1127&gt;=0,8, G1127&gt;=70), "Bueno",
   OR(F1127&lt;0,6,  G1127&lt;50),  "Alerta",
   TRUE,           "Revisar")</f>
        <v>Bueno</v>
      </c>
      <c r="J1127" s="28">
        <f t="shared" si="17"/>
        <v>850000</v>
      </c>
    </row>
    <row r="1128" spans="1:10" ht="18" customHeight="1" x14ac:dyDescent="0.3">
      <c r="A1128" s="18" t="s">
        <v>2305</v>
      </c>
      <c r="B1128" s="5" t="s">
        <v>2306</v>
      </c>
      <c r="C1128" s="18" t="s">
        <v>81</v>
      </c>
      <c r="D1128" s="18" t="s">
        <v>114</v>
      </c>
      <c r="E1128" s="6">
        <v>10500000</v>
      </c>
      <c r="F1128" s="19">
        <v>0.75</v>
      </c>
      <c r="G1128" s="18">
        <v>32</v>
      </c>
      <c r="H1128" s="20">
        <v>16</v>
      </c>
      <c r="I1128" s="24" t="str" cm="1">
        <f t="array" ref="I1128">_xlfn.IFS(
   AND(F1128&gt;=0,9, G1128&gt;=85), "Excelente",
   AND(F1128&gt;=0,8, G1128&gt;=70), "Bueno",
   OR(F1128&lt;0,6,  G1128&lt;50),  "Alerta",
   TRUE,           "Revisar")</f>
        <v>Alerta</v>
      </c>
      <c r="J1128" s="28">
        <f t="shared" si="17"/>
        <v>0</v>
      </c>
    </row>
    <row r="1129" spans="1:10" ht="18" customHeight="1" x14ac:dyDescent="0.3">
      <c r="A1129" s="25" t="s">
        <v>2307</v>
      </c>
      <c r="B1129" s="8" t="s">
        <v>2308</v>
      </c>
      <c r="C1129" s="25" t="s">
        <v>67</v>
      </c>
      <c r="D1129" s="25" t="s">
        <v>114</v>
      </c>
      <c r="E1129" s="9">
        <v>9600000</v>
      </c>
      <c r="F1129" s="26">
        <v>0.67</v>
      </c>
      <c r="G1129" s="25">
        <v>59</v>
      </c>
      <c r="H1129" s="27">
        <v>5.8</v>
      </c>
      <c r="I1129" s="24" t="str" cm="1">
        <f t="array" ref="I1129">_xlfn.IFS(
   AND(F1129&gt;=0,9, G1129&gt;=85), "Excelente",
   AND(F1129&gt;=0,8, G1129&gt;=70), "Bueno",
   OR(F1129&lt;0,6,  G1129&lt;50),  "Alerta",
   TRUE,           "Revisar")</f>
        <v>Alerta</v>
      </c>
      <c r="J1129" s="28">
        <f t="shared" si="17"/>
        <v>0</v>
      </c>
    </row>
    <row r="1130" spans="1:10" ht="18" customHeight="1" x14ac:dyDescent="0.3">
      <c r="A1130" s="18" t="s">
        <v>2309</v>
      </c>
      <c r="B1130" s="5" t="s">
        <v>2310</v>
      </c>
      <c r="C1130" s="18" t="s">
        <v>71</v>
      </c>
      <c r="D1130" s="18" t="s">
        <v>78</v>
      </c>
      <c r="E1130" s="6">
        <v>10300000</v>
      </c>
      <c r="F1130" s="19">
        <v>0.89</v>
      </c>
      <c r="G1130" s="18">
        <v>54</v>
      </c>
      <c r="H1130" s="20">
        <v>16.600000000000001</v>
      </c>
      <c r="I1130" s="24" t="str" cm="1">
        <f t="array" ref="I1130">_xlfn.IFS(
   AND(F1130&gt;=0,9, G1130&gt;=85), "Excelente",
   AND(F1130&gt;=0,8, G1130&gt;=70), "Bueno",
   OR(F1130&lt;0,6,  G1130&lt;50),  "Alerta",
   TRUE,           "Revisar")</f>
        <v>Alerta</v>
      </c>
      <c r="J1130" s="28">
        <f t="shared" si="17"/>
        <v>0</v>
      </c>
    </row>
    <row r="1131" spans="1:10" ht="18" customHeight="1" x14ac:dyDescent="0.3">
      <c r="A1131" s="25" t="s">
        <v>2311</v>
      </c>
      <c r="B1131" s="8" t="s">
        <v>2312</v>
      </c>
      <c r="C1131" s="25" t="s">
        <v>77</v>
      </c>
      <c r="D1131" s="25" t="s">
        <v>88</v>
      </c>
      <c r="E1131" s="9">
        <v>11700000</v>
      </c>
      <c r="F1131" s="26">
        <v>0.74</v>
      </c>
      <c r="G1131" s="25">
        <v>61</v>
      </c>
      <c r="H1131" s="27">
        <v>7.6</v>
      </c>
      <c r="I1131" s="24" t="str" cm="1">
        <f t="array" ref="I1131">_xlfn.IFS(
   AND(F1131&gt;=0,9, G1131&gt;=85), "Excelente",
   AND(F1131&gt;=0,8, G1131&gt;=70), "Bueno",
   OR(F1131&lt;0,6,  G1131&lt;50),  "Alerta",
   TRUE,           "Revisar")</f>
        <v>Alerta</v>
      </c>
      <c r="J1131" s="28">
        <f t="shared" si="17"/>
        <v>0</v>
      </c>
    </row>
    <row r="1132" spans="1:10" ht="18" customHeight="1" x14ac:dyDescent="0.3">
      <c r="A1132" s="18" t="s">
        <v>2313</v>
      </c>
      <c r="B1132" s="5" t="s">
        <v>2314</v>
      </c>
      <c r="C1132" s="18" t="s">
        <v>63</v>
      </c>
      <c r="D1132" s="18" t="s">
        <v>64</v>
      </c>
      <c r="E1132" s="6">
        <v>6200000</v>
      </c>
      <c r="F1132" s="19">
        <v>0.83</v>
      </c>
      <c r="G1132" s="18">
        <v>92</v>
      </c>
      <c r="H1132" s="20">
        <v>10.9</v>
      </c>
      <c r="I1132" s="24" t="str" cm="1">
        <f t="array" ref="I1132">_xlfn.IFS(
   AND(F1132&gt;=0,9, G1132&gt;=85), "Excelente",
   AND(F1132&gt;=0,8, G1132&gt;=70), "Bueno",
   OR(F1132&lt;0,6,  G1132&lt;50),  "Alerta",
   TRUE,           "Revisar")</f>
        <v>Excelente</v>
      </c>
      <c r="J1132" s="28">
        <f t="shared" si="17"/>
        <v>620000</v>
      </c>
    </row>
    <row r="1133" spans="1:10" ht="18" customHeight="1" x14ac:dyDescent="0.3">
      <c r="A1133" s="25" t="s">
        <v>2315</v>
      </c>
      <c r="B1133" s="8" t="s">
        <v>2316</v>
      </c>
      <c r="C1133" s="25" t="s">
        <v>63</v>
      </c>
      <c r="D1133" s="25" t="s">
        <v>88</v>
      </c>
      <c r="E1133" s="9">
        <v>12000000</v>
      </c>
      <c r="F1133" s="26">
        <v>0.96</v>
      </c>
      <c r="G1133" s="25">
        <v>64</v>
      </c>
      <c r="H1133" s="27">
        <v>10.4</v>
      </c>
      <c r="I1133" s="24" t="str" cm="1">
        <f t="array" ref="I1133">_xlfn.IFS(
   AND(F1133&gt;=0,9, G1133&gt;=85), "Excelente",
   AND(F1133&gt;=0,8, G1133&gt;=70), "Bueno",
   OR(F1133&lt;0,6,  G1133&lt;50),  "Alerta",
   TRUE,           "Revisar")</f>
        <v>Alerta</v>
      </c>
      <c r="J1133" s="28">
        <f t="shared" si="17"/>
        <v>0</v>
      </c>
    </row>
    <row r="1134" spans="1:10" ht="18" customHeight="1" x14ac:dyDescent="0.3">
      <c r="A1134" s="18" t="s">
        <v>2317</v>
      </c>
      <c r="B1134" s="5" t="s">
        <v>2318</v>
      </c>
      <c r="C1134" s="18" t="s">
        <v>67</v>
      </c>
      <c r="D1134" s="18" t="s">
        <v>92</v>
      </c>
      <c r="E1134" s="6">
        <v>9400000</v>
      </c>
      <c r="F1134" s="19">
        <v>0.78</v>
      </c>
      <c r="G1134" s="18">
        <v>90</v>
      </c>
      <c r="H1134" s="20">
        <v>9.3000000000000007</v>
      </c>
      <c r="I1134" s="24" t="str" cm="1">
        <f t="array" ref="I1134">_xlfn.IFS(
   AND(F1134&gt;=0,9, G1134&gt;=85), "Excelente",
   AND(F1134&gt;=0,8, G1134&gt;=70), "Bueno",
   OR(F1134&lt;0,6,  G1134&lt;50),  "Alerta",
   TRUE,           "Revisar")</f>
        <v>Excelente</v>
      </c>
      <c r="J1134" s="28">
        <f t="shared" si="17"/>
        <v>940000</v>
      </c>
    </row>
    <row r="1135" spans="1:10" ht="18" customHeight="1" x14ac:dyDescent="0.3">
      <c r="A1135" s="25" t="s">
        <v>2319</v>
      </c>
      <c r="B1135" s="8" t="s">
        <v>2320</v>
      </c>
      <c r="C1135" s="25" t="s">
        <v>77</v>
      </c>
      <c r="D1135" s="25" t="s">
        <v>64</v>
      </c>
      <c r="E1135" s="9">
        <v>6800000</v>
      </c>
      <c r="F1135" s="26">
        <v>0.68</v>
      </c>
      <c r="G1135" s="25">
        <v>49</v>
      </c>
      <c r="H1135" s="27">
        <v>9.4</v>
      </c>
      <c r="I1135" s="24" t="str" cm="1">
        <f t="array" ref="I1135">_xlfn.IFS(
   AND(F1135&gt;=0,9, G1135&gt;=85), "Excelente",
   AND(F1135&gt;=0,8, G1135&gt;=70), "Bueno",
   OR(F1135&lt;0,6,  G1135&lt;50),  "Alerta",
   TRUE,           "Revisar")</f>
        <v>Alerta</v>
      </c>
      <c r="J1135" s="28">
        <f t="shared" si="17"/>
        <v>0</v>
      </c>
    </row>
    <row r="1136" spans="1:10" ht="18" customHeight="1" x14ac:dyDescent="0.3">
      <c r="A1136" s="18" t="s">
        <v>2321</v>
      </c>
      <c r="B1136" s="5" t="s">
        <v>2322</v>
      </c>
      <c r="C1136" s="18" t="s">
        <v>63</v>
      </c>
      <c r="D1136" s="18" t="s">
        <v>88</v>
      </c>
      <c r="E1136" s="6">
        <v>9900000</v>
      </c>
      <c r="F1136" s="19">
        <v>0.75</v>
      </c>
      <c r="G1136" s="18">
        <v>55</v>
      </c>
      <c r="H1136" s="20">
        <v>1.5</v>
      </c>
      <c r="I1136" s="24" t="str" cm="1">
        <f t="array" ref="I1136">_xlfn.IFS(
   AND(F1136&gt;=0,9, G1136&gt;=85), "Excelente",
   AND(F1136&gt;=0,8, G1136&gt;=70), "Bueno",
   OR(F1136&lt;0,6,  G1136&lt;50),  "Alerta",
   TRUE,           "Revisar")</f>
        <v>Alerta</v>
      </c>
      <c r="J1136" s="28">
        <f t="shared" si="17"/>
        <v>0</v>
      </c>
    </row>
    <row r="1137" spans="1:10" ht="18" customHeight="1" x14ac:dyDescent="0.3">
      <c r="A1137" s="25" t="s">
        <v>2323</v>
      </c>
      <c r="B1137" s="8" t="s">
        <v>2324</v>
      </c>
      <c r="C1137" s="25" t="s">
        <v>74</v>
      </c>
      <c r="D1137" s="25" t="s">
        <v>114</v>
      </c>
      <c r="E1137" s="9">
        <v>4600000</v>
      </c>
      <c r="F1137" s="26">
        <v>0.54</v>
      </c>
      <c r="G1137" s="25">
        <v>30</v>
      </c>
      <c r="H1137" s="27">
        <v>6.5</v>
      </c>
      <c r="I1137" s="24" t="str" cm="1">
        <f t="array" ref="I1137">_xlfn.IFS(
   AND(F1137&gt;=0,9, G1137&gt;=85), "Excelente",
   AND(F1137&gt;=0,8, G1137&gt;=70), "Bueno",
   OR(F1137&lt;0,6,  G1137&lt;50),  "Alerta",
   TRUE,           "Revisar")</f>
        <v>Alerta</v>
      </c>
      <c r="J1137" s="28">
        <f t="shared" si="17"/>
        <v>0</v>
      </c>
    </row>
    <row r="1138" spans="1:10" ht="18" customHeight="1" x14ac:dyDescent="0.3">
      <c r="A1138" s="18" t="s">
        <v>2325</v>
      </c>
      <c r="B1138" s="5" t="s">
        <v>2326</v>
      </c>
      <c r="C1138" s="18" t="s">
        <v>74</v>
      </c>
      <c r="D1138" s="18" t="s">
        <v>60</v>
      </c>
      <c r="E1138" s="6">
        <v>4900000</v>
      </c>
      <c r="F1138" s="19">
        <v>0.97</v>
      </c>
      <c r="G1138" s="18">
        <v>65</v>
      </c>
      <c r="H1138" s="20">
        <v>14.2</v>
      </c>
      <c r="I1138" s="24" t="str" cm="1">
        <f t="array" ref="I1138">_xlfn.IFS(
   AND(F1138&gt;=0,9, G1138&gt;=85), "Excelente",
   AND(F1138&gt;=0,8, G1138&gt;=70), "Bueno",
   OR(F1138&lt;0,6,  G1138&lt;50),  "Alerta",
   TRUE,           "Revisar")</f>
        <v>Alerta</v>
      </c>
      <c r="J1138" s="28">
        <f t="shared" si="17"/>
        <v>0</v>
      </c>
    </row>
    <row r="1139" spans="1:10" ht="18" customHeight="1" x14ac:dyDescent="0.3">
      <c r="A1139" s="25" t="s">
        <v>2327</v>
      </c>
      <c r="B1139" s="8" t="s">
        <v>2328</v>
      </c>
      <c r="C1139" s="25" t="s">
        <v>59</v>
      </c>
      <c r="D1139" s="25" t="s">
        <v>78</v>
      </c>
      <c r="E1139" s="9">
        <v>9900000</v>
      </c>
      <c r="F1139" s="26">
        <v>0.94</v>
      </c>
      <c r="G1139" s="25">
        <v>74</v>
      </c>
      <c r="H1139" s="27">
        <v>3.6</v>
      </c>
      <c r="I1139" s="24" t="str" cm="1">
        <f t="array" ref="I1139">_xlfn.IFS(
   AND(F1139&gt;=0,9, G1139&gt;=85), "Excelente",
   AND(F1139&gt;=0,8, G1139&gt;=70), "Bueno",
   OR(F1139&lt;0,6,  G1139&lt;50),  "Alerta",
   TRUE,           "Revisar")</f>
        <v>Bueno</v>
      </c>
      <c r="J1139" s="28">
        <f t="shared" si="17"/>
        <v>990000</v>
      </c>
    </row>
    <row r="1140" spans="1:10" ht="18" customHeight="1" x14ac:dyDescent="0.3">
      <c r="A1140" s="18" t="s">
        <v>2329</v>
      </c>
      <c r="B1140" s="5" t="s">
        <v>2330</v>
      </c>
      <c r="C1140" s="18" t="s">
        <v>63</v>
      </c>
      <c r="D1140" s="18" t="s">
        <v>60</v>
      </c>
      <c r="E1140" s="6">
        <v>10600000</v>
      </c>
      <c r="F1140" s="19">
        <v>0.76</v>
      </c>
      <c r="G1140" s="18">
        <v>54</v>
      </c>
      <c r="H1140" s="20">
        <v>7.6</v>
      </c>
      <c r="I1140" s="24" t="str" cm="1">
        <f t="array" ref="I1140">_xlfn.IFS(
   AND(F1140&gt;=0,9, G1140&gt;=85), "Excelente",
   AND(F1140&gt;=0,8, G1140&gt;=70), "Bueno",
   OR(F1140&lt;0,6,  G1140&lt;50),  "Alerta",
   TRUE,           "Revisar")</f>
        <v>Alerta</v>
      </c>
      <c r="J1140" s="28">
        <f t="shared" si="17"/>
        <v>0</v>
      </c>
    </row>
    <row r="1141" spans="1:10" ht="18" customHeight="1" x14ac:dyDescent="0.3">
      <c r="A1141" s="25" t="s">
        <v>2331</v>
      </c>
      <c r="B1141" s="8" t="s">
        <v>2332</v>
      </c>
      <c r="C1141" s="25" t="s">
        <v>91</v>
      </c>
      <c r="D1141" s="25" t="s">
        <v>92</v>
      </c>
      <c r="E1141" s="9">
        <v>11400000</v>
      </c>
      <c r="F1141" s="26">
        <v>0.92</v>
      </c>
      <c r="G1141" s="25">
        <v>70</v>
      </c>
      <c r="H1141" s="27">
        <v>18</v>
      </c>
      <c r="I1141" s="24" t="str" cm="1">
        <f t="array" ref="I1141">_xlfn.IFS(
   AND(F1141&gt;=0,9, G1141&gt;=85), "Excelente",
   AND(F1141&gt;=0,8, G1141&gt;=70), "Bueno",
   OR(F1141&lt;0,6,  G1141&lt;50),  "Alerta",
   TRUE,           "Revisar")</f>
        <v>Bueno</v>
      </c>
      <c r="J1141" s="28">
        <f t="shared" si="17"/>
        <v>1140000</v>
      </c>
    </row>
    <row r="1142" spans="1:10" ht="18" customHeight="1" x14ac:dyDescent="0.3">
      <c r="A1142" s="18" t="s">
        <v>2333</v>
      </c>
      <c r="B1142" s="5" t="s">
        <v>2334</v>
      </c>
      <c r="C1142" s="18" t="s">
        <v>81</v>
      </c>
      <c r="D1142" s="18" t="s">
        <v>64</v>
      </c>
      <c r="E1142" s="6">
        <v>11300000</v>
      </c>
      <c r="F1142" s="19">
        <v>0.67</v>
      </c>
      <c r="G1142" s="18">
        <v>37</v>
      </c>
      <c r="H1142" s="20">
        <v>1.3</v>
      </c>
      <c r="I1142" s="24" t="str" cm="1">
        <f t="array" ref="I1142">_xlfn.IFS(
   AND(F1142&gt;=0,9, G1142&gt;=85), "Excelente",
   AND(F1142&gt;=0,8, G1142&gt;=70), "Bueno",
   OR(F1142&lt;0,6,  G1142&lt;50),  "Alerta",
   TRUE,           "Revisar")</f>
        <v>Alerta</v>
      </c>
      <c r="J1142" s="28">
        <f t="shared" si="17"/>
        <v>0</v>
      </c>
    </row>
    <row r="1143" spans="1:10" ht="18" customHeight="1" x14ac:dyDescent="0.3">
      <c r="A1143" s="25" t="s">
        <v>2335</v>
      </c>
      <c r="B1143" s="8" t="s">
        <v>2336</v>
      </c>
      <c r="C1143" s="25" t="s">
        <v>81</v>
      </c>
      <c r="D1143" s="25" t="s">
        <v>78</v>
      </c>
      <c r="E1143" s="9">
        <v>7100000</v>
      </c>
      <c r="F1143" s="26">
        <v>0.71</v>
      </c>
      <c r="G1143" s="25">
        <v>41</v>
      </c>
      <c r="H1143" s="27">
        <v>11.3</v>
      </c>
      <c r="I1143" s="24" t="str" cm="1">
        <f t="array" ref="I1143">_xlfn.IFS(
   AND(F1143&gt;=0,9, G1143&gt;=85), "Excelente",
   AND(F1143&gt;=0,8, G1143&gt;=70), "Bueno",
   OR(F1143&lt;0,6,  G1143&lt;50),  "Alerta",
   TRUE,           "Revisar")</f>
        <v>Alerta</v>
      </c>
      <c r="J1143" s="28">
        <f t="shared" si="17"/>
        <v>0</v>
      </c>
    </row>
    <row r="1144" spans="1:10" ht="18" customHeight="1" x14ac:dyDescent="0.3">
      <c r="A1144" s="18" t="s">
        <v>2337</v>
      </c>
      <c r="B1144" s="5" t="s">
        <v>2338</v>
      </c>
      <c r="C1144" s="18" t="s">
        <v>74</v>
      </c>
      <c r="D1144" s="18" t="s">
        <v>114</v>
      </c>
      <c r="E1144" s="6">
        <v>6800000</v>
      </c>
      <c r="F1144" s="19">
        <v>0.78</v>
      </c>
      <c r="G1144" s="18">
        <v>32</v>
      </c>
      <c r="H1144" s="20">
        <v>15.3</v>
      </c>
      <c r="I1144" s="24" t="str" cm="1">
        <f t="array" ref="I1144">_xlfn.IFS(
   AND(F1144&gt;=0,9, G1144&gt;=85), "Excelente",
   AND(F1144&gt;=0,8, G1144&gt;=70), "Bueno",
   OR(F1144&lt;0,6,  G1144&lt;50),  "Alerta",
   TRUE,           "Revisar")</f>
        <v>Alerta</v>
      </c>
      <c r="J1144" s="28">
        <f t="shared" si="17"/>
        <v>0</v>
      </c>
    </row>
    <row r="1145" spans="1:10" ht="18" customHeight="1" x14ac:dyDescent="0.3">
      <c r="A1145" s="25" t="s">
        <v>2339</v>
      </c>
      <c r="B1145" s="8" t="s">
        <v>2340</v>
      </c>
      <c r="C1145" s="25" t="s">
        <v>74</v>
      </c>
      <c r="D1145" s="25" t="s">
        <v>114</v>
      </c>
      <c r="E1145" s="9">
        <v>7300000</v>
      </c>
      <c r="F1145" s="26">
        <v>0.62</v>
      </c>
      <c r="G1145" s="25">
        <v>89</v>
      </c>
      <c r="H1145" s="27">
        <v>10.9</v>
      </c>
      <c r="I1145" s="24" t="str" cm="1">
        <f t="array" ref="I1145">_xlfn.IFS(
   AND(F1145&gt;=0,9, G1145&gt;=85), "Excelente",
   AND(F1145&gt;=0,8, G1145&gt;=70), "Bueno",
   OR(F1145&lt;0,6,  G1145&lt;50),  "Alerta",
   TRUE,           "Revisar")</f>
        <v>Excelente</v>
      </c>
      <c r="J1145" s="28">
        <f t="shared" si="17"/>
        <v>730000</v>
      </c>
    </row>
    <row r="1146" spans="1:10" ht="18" customHeight="1" x14ac:dyDescent="0.3">
      <c r="A1146" s="18" t="s">
        <v>2341</v>
      </c>
      <c r="B1146" s="5" t="s">
        <v>2342</v>
      </c>
      <c r="C1146" s="18" t="s">
        <v>63</v>
      </c>
      <c r="D1146" s="18" t="s">
        <v>88</v>
      </c>
      <c r="E1146" s="6">
        <v>3300000</v>
      </c>
      <c r="F1146" s="19">
        <v>0.98</v>
      </c>
      <c r="G1146" s="18">
        <v>59</v>
      </c>
      <c r="H1146" s="20">
        <v>15.3</v>
      </c>
      <c r="I1146" s="24" t="str" cm="1">
        <f t="array" ref="I1146">_xlfn.IFS(
   AND(F1146&gt;=0,9, G1146&gt;=85), "Excelente",
   AND(F1146&gt;=0,8, G1146&gt;=70), "Bueno",
   OR(F1146&lt;0,6,  G1146&lt;50),  "Alerta",
   TRUE,           "Revisar")</f>
        <v>Alerta</v>
      </c>
      <c r="J1146" s="28">
        <f t="shared" si="17"/>
        <v>0</v>
      </c>
    </row>
    <row r="1147" spans="1:10" ht="18" customHeight="1" x14ac:dyDescent="0.3">
      <c r="A1147" s="25" t="s">
        <v>2343</v>
      </c>
      <c r="B1147" s="8" t="s">
        <v>2344</v>
      </c>
      <c r="C1147" s="25" t="s">
        <v>63</v>
      </c>
      <c r="D1147" s="25" t="s">
        <v>60</v>
      </c>
      <c r="E1147" s="9">
        <v>8800000</v>
      </c>
      <c r="F1147" s="26">
        <v>0.82</v>
      </c>
      <c r="G1147" s="25">
        <v>89</v>
      </c>
      <c r="H1147" s="27">
        <v>14.1</v>
      </c>
      <c r="I1147" s="24" t="str" cm="1">
        <f t="array" ref="I1147">_xlfn.IFS(
   AND(F1147&gt;=0,9, G1147&gt;=85), "Excelente",
   AND(F1147&gt;=0,8, G1147&gt;=70), "Bueno",
   OR(F1147&lt;0,6,  G1147&lt;50),  "Alerta",
   TRUE,           "Revisar")</f>
        <v>Excelente</v>
      </c>
      <c r="J1147" s="28">
        <f t="shared" si="17"/>
        <v>880000</v>
      </c>
    </row>
    <row r="1148" spans="1:10" ht="18" customHeight="1" x14ac:dyDescent="0.3">
      <c r="A1148" s="18" t="s">
        <v>2345</v>
      </c>
      <c r="B1148" s="5" t="s">
        <v>2346</v>
      </c>
      <c r="C1148" s="18" t="s">
        <v>74</v>
      </c>
      <c r="D1148" s="18" t="s">
        <v>92</v>
      </c>
      <c r="E1148" s="6">
        <v>9000000</v>
      </c>
      <c r="F1148" s="19">
        <v>0.82</v>
      </c>
      <c r="G1148" s="18">
        <v>33</v>
      </c>
      <c r="H1148" s="20">
        <v>4.4000000000000004</v>
      </c>
      <c r="I1148" s="24" t="str" cm="1">
        <f t="array" ref="I1148">_xlfn.IFS(
   AND(F1148&gt;=0,9, G1148&gt;=85), "Excelente",
   AND(F1148&gt;=0,8, G1148&gt;=70), "Bueno",
   OR(F1148&lt;0,6,  G1148&lt;50),  "Alerta",
   TRUE,           "Revisar")</f>
        <v>Alerta</v>
      </c>
      <c r="J1148" s="28">
        <f t="shared" si="17"/>
        <v>0</v>
      </c>
    </row>
    <row r="1149" spans="1:10" ht="18" customHeight="1" x14ac:dyDescent="0.3">
      <c r="A1149" s="25" t="s">
        <v>2347</v>
      </c>
      <c r="B1149" s="8" t="s">
        <v>2348</v>
      </c>
      <c r="C1149" s="25" t="s">
        <v>74</v>
      </c>
      <c r="D1149" s="25" t="s">
        <v>60</v>
      </c>
      <c r="E1149" s="9">
        <v>4500000</v>
      </c>
      <c r="F1149" s="26">
        <v>0.72</v>
      </c>
      <c r="G1149" s="25">
        <v>35</v>
      </c>
      <c r="H1149" s="27">
        <v>4.2</v>
      </c>
      <c r="I1149" s="24" t="str" cm="1">
        <f t="array" ref="I1149">_xlfn.IFS(
   AND(F1149&gt;=0,9, G1149&gt;=85), "Excelente",
   AND(F1149&gt;=0,8, G1149&gt;=70), "Bueno",
   OR(F1149&lt;0,6,  G1149&lt;50),  "Alerta",
   TRUE,           "Revisar")</f>
        <v>Alerta</v>
      </c>
      <c r="J1149" s="28">
        <f t="shared" si="17"/>
        <v>0</v>
      </c>
    </row>
    <row r="1150" spans="1:10" ht="18" customHeight="1" x14ac:dyDescent="0.3">
      <c r="A1150" s="18" t="s">
        <v>2349</v>
      </c>
      <c r="B1150" s="5" t="s">
        <v>2350</v>
      </c>
      <c r="C1150" s="18" t="s">
        <v>71</v>
      </c>
      <c r="D1150" s="18" t="s">
        <v>114</v>
      </c>
      <c r="E1150" s="6">
        <v>7800000</v>
      </c>
      <c r="F1150" s="19">
        <v>0.83</v>
      </c>
      <c r="G1150" s="18">
        <v>43</v>
      </c>
      <c r="H1150" s="20">
        <v>9.3000000000000007</v>
      </c>
      <c r="I1150" s="24" t="str" cm="1">
        <f t="array" ref="I1150">_xlfn.IFS(
   AND(F1150&gt;=0,9, G1150&gt;=85), "Excelente",
   AND(F1150&gt;=0,8, G1150&gt;=70), "Bueno",
   OR(F1150&lt;0,6,  G1150&lt;50),  "Alerta",
   TRUE,           "Revisar")</f>
        <v>Alerta</v>
      </c>
      <c r="J1150" s="28">
        <f t="shared" si="17"/>
        <v>0</v>
      </c>
    </row>
    <row r="1151" spans="1:10" ht="18" customHeight="1" x14ac:dyDescent="0.3">
      <c r="A1151" s="25" t="s">
        <v>2351</v>
      </c>
      <c r="B1151" s="8" t="s">
        <v>2352</v>
      </c>
      <c r="C1151" s="25" t="s">
        <v>81</v>
      </c>
      <c r="D1151" s="25" t="s">
        <v>105</v>
      </c>
      <c r="E1151" s="9">
        <v>11900000</v>
      </c>
      <c r="F1151" s="26">
        <v>0.63</v>
      </c>
      <c r="G1151" s="25">
        <v>98</v>
      </c>
      <c r="H1151" s="27">
        <v>19.399999999999999</v>
      </c>
      <c r="I1151" s="24" t="str" cm="1">
        <f t="array" ref="I1151">_xlfn.IFS(
   AND(F1151&gt;=0,9, G1151&gt;=85), "Excelente",
   AND(F1151&gt;=0,8, G1151&gt;=70), "Bueno",
   OR(F1151&lt;0,6,  G1151&lt;50),  "Alerta",
   TRUE,           "Revisar")</f>
        <v>Excelente</v>
      </c>
      <c r="J1151" s="28">
        <f t="shared" si="17"/>
        <v>1190000</v>
      </c>
    </row>
    <row r="1152" spans="1:10" ht="18" customHeight="1" x14ac:dyDescent="0.3">
      <c r="A1152" s="18" t="s">
        <v>2353</v>
      </c>
      <c r="B1152" s="5" t="s">
        <v>2354</v>
      </c>
      <c r="C1152" s="18" t="s">
        <v>71</v>
      </c>
      <c r="D1152" s="18" t="s">
        <v>68</v>
      </c>
      <c r="E1152" s="6">
        <v>9600000</v>
      </c>
      <c r="F1152" s="19">
        <v>0.87</v>
      </c>
      <c r="G1152" s="18">
        <v>40</v>
      </c>
      <c r="H1152" s="20">
        <v>3</v>
      </c>
      <c r="I1152" s="24" t="str" cm="1">
        <f t="array" ref="I1152">_xlfn.IFS(
   AND(F1152&gt;=0,9, G1152&gt;=85), "Excelente",
   AND(F1152&gt;=0,8, G1152&gt;=70), "Bueno",
   OR(F1152&lt;0,6,  G1152&lt;50),  "Alerta",
   TRUE,           "Revisar")</f>
        <v>Alerta</v>
      </c>
      <c r="J1152" s="28">
        <f t="shared" si="17"/>
        <v>0</v>
      </c>
    </row>
    <row r="1153" spans="1:10" ht="18" customHeight="1" x14ac:dyDescent="0.3">
      <c r="A1153" s="25" t="s">
        <v>2355</v>
      </c>
      <c r="B1153" s="8" t="s">
        <v>2356</v>
      </c>
      <c r="C1153" s="25" t="s">
        <v>59</v>
      </c>
      <c r="D1153" s="25" t="s">
        <v>92</v>
      </c>
      <c r="E1153" s="9">
        <v>8100000</v>
      </c>
      <c r="F1153" s="26">
        <v>0.46</v>
      </c>
      <c r="G1153" s="25">
        <v>71</v>
      </c>
      <c r="H1153" s="27">
        <v>6</v>
      </c>
      <c r="I1153" s="24" t="str" cm="1">
        <f t="array" ref="I1153">_xlfn.IFS(
   AND(F1153&gt;=0,9, G1153&gt;=85), "Excelente",
   AND(F1153&gt;=0,8, G1153&gt;=70), "Bueno",
   OR(F1153&lt;0,6,  G1153&lt;50),  "Alerta",
   TRUE,           "Revisar")</f>
        <v>Bueno</v>
      </c>
      <c r="J1153" s="28">
        <f t="shared" si="17"/>
        <v>810000</v>
      </c>
    </row>
    <row r="1154" spans="1:10" ht="18" customHeight="1" x14ac:dyDescent="0.3">
      <c r="A1154" s="18" t="s">
        <v>2357</v>
      </c>
      <c r="B1154" s="5" t="s">
        <v>2358</v>
      </c>
      <c r="C1154" s="18" t="s">
        <v>74</v>
      </c>
      <c r="D1154" s="18" t="s">
        <v>68</v>
      </c>
      <c r="E1154" s="6">
        <v>9300000</v>
      </c>
      <c r="F1154" s="19">
        <v>0.99</v>
      </c>
      <c r="G1154" s="18">
        <v>40</v>
      </c>
      <c r="H1154" s="20">
        <v>6.8</v>
      </c>
      <c r="I1154" s="24" t="str" cm="1">
        <f t="array" ref="I1154">_xlfn.IFS(
   AND(F1154&gt;=0,9, G1154&gt;=85), "Excelente",
   AND(F1154&gt;=0,8, G1154&gt;=70), "Bueno",
   OR(F1154&lt;0,6,  G1154&lt;50),  "Alerta",
   TRUE,           "Revisar")</f>
        <v>Alerta</v>
      </c>
      <c r="J1154" s="28">
        <f t="shared" si="17"/>
        <v>0</v>
      </c>
    </row>
    <row r="1155" spans="1:10" ht="18" customHeight="1" x14ac:dyDescent="0.3">
      <c r="A1155" s="25" t="s">
        <v>2359</v>
      </c>
      <c r="B1155" s="8" t="s">
        <v>2360</v>
      </c>
      <c r="C1155" s="25" t="s">
        <v>77</v>
      </c>
      <c r="D1155" s="25" t="s">
        <v>60</v>
      </c>
      <c r="E1155" s="9">
        <v>8300000</v>
      </c>
      <c r="F1155" s="26">
        <v>0.6</v>
      </c>
      <c r="G1155" s="25">
        <v>53</v>
      </c>
      <c r="H1155" s="27">
        <v>5.5</v>
      </c>
      <c r="I1155" s="24" t="str" cm="1">
        <f t="array" ref="I1155">_xlfn.IFS(
   AND(F1155&gt;=0,9, G1155&gt;=85), "Excelente",
   AND(F1155&gt;=0,8, G1155&gt;=70), "Bueno",
   OR(F1155&lt;0,6,  G1155&lt;50),  "Alerta",
   TRUE,           "Revisar")</f>
        <v>Alerta</v>
      </c>
      <c r="J1155" s="28">
        <f t="shared" si="17"/>
        <v>0</v>
      </c>
    </row>
    <row r="1156" spans="1:10" ht="18" customHeight="1" x14ac:dyDescent="0.3">
      <c r="A1156" s="18" t="s">
        <v>2361</v>
      </c>
      <c r="B1156" s="5" t="s">
        <v>2362</v>
      </c>
      <c r="C1156" s="18" t="s">
        <v>74</v>
      </c>
      <c r="D1156" s="18" t="s">
        <v>88</v>
      </c>
      <c r="E1156" s="6">
        <v>11900000</v>
      </c>
      <c r="F1156" s="19">
        <v>0.79</v>
      </c>
      <c r="G1156" s="18">
        <v>88</v>
      </c>
      <c r="H1156" s="20">
        <v>11.8</v>
      </c>
      <c r="I1156" s="24" t="str" cm="1">
        <f t="array" ref="I1156">_xlfn.IFS(
   AND(F1156&gt;=0,9, G1156&gt;=85), "Excelente",
   AND(F1156&gt;=0,8, G1156&gt;=70), "Bueno",
   OR(F1156&lt;0,6,  G1156&lt;50),  "Alerta",
   TRUE,           "Revisar")</f>
        <v>Excelente</v>
      </c>
      <c r="J1156" s="28">
        <f t="shared" si="17"/>
        <v>1190000</v>
      </c>
    </row>
    <row r="1157" spans="1:10" ht="18" customHeight="1" x14ac:dyDescent="0.3">
      <c r="A1157" s="25" t="s">
        <v>2363</v>
      </c>
      <c r="B1157" s="8" t="s">
        <v>2364</v>
      </c>
      <c r="C1157" s="25" t="s">
        <v>77</v>
      </c>
      <c r="D1157" s="25" t="s">
        <v>114</v>
      </c>
      <c r="E1157" s="9">
        <v>11500000</v>
      </c>
      <c r="F1157" s="26">
        <v>0.95</v>
      </c>
      <c r="G1157" s="25">
        <v>79</v>
      </c>
      <c r="H1157" s="27">
        <v>11.6</v>
      </c>
      <c r="I1157" s="24" t="str" cm="1">
        <f t="array" ref="I1157">_xlfn.IFS(
   AND(F1157&gt;=0,9, G1157&gt;=85), "Excelente",
   AND(F1157&gt;=0,8, G1157&gt;=70), "Bueno",
   OR(F1157&lt;0,6,  G1157&lt;50),  "Alerta",
   TRUE,           "Revisar")</f>
        <v>Bueno</v>
      </c>
      <c r="J1157" s="28">
        <f t="shared" si="17"/>
        <v>1150000</v>
      </c>
    </row>
    <row r="1158" spans="1:10" ht="18" customHeight="1" x14ac:dyDescent="0.3">
      <c r="A1158" s="18" t="s">
        <v>2365</v>
      </c>
      <c r="B1158" s="5" t="s">
        <v>2366</v>
      </c>
      <c r="C1158" s="18" t="s">
        <v>67</v>
      </c>
      <c r="D1158" s="18" t="s">
        <v>114</v>
      </c>
      <c r="E1158" s="6">
        <v>8600000</v>
      </c>
      <c r="F1158" s="19">
        <v>0.65</v>
      </c>
      <c r="G1158" s="18">
        <v>60</v>
      </c>
      <c r="H1158" s="20">
        <v>3.5</v>
      </c>
      <c r="I1158" s="24" t="str" cm="1">
        <f t="array" ref="I1158">_xlfn.IFS(
   AND(F1158&gt;=0,9, G1158&gt;=85), "Excelente",
   AND(F1158&gt;=0,8, G1158&gt;=70), "Bueno",
   OR(F1158&lt;0,6,  G1158&lt;50),  "Alerta",
   TRUE,           "Revisar")</f>
        <v>Alerta</v>
      </c>
      <c r="J1158" s="28">
        <f t="shared" si="17"/>
        <v>0</v>
      </c>
    </row>
    <row r="1159" spans="1:10" ht="18" customHeight="1" x14ac:dyDescent="0.3">
      <c r="A1159" s="25" t="s">
        <v>2367</v>
      </c>
      <c r="B1159" s="8" t="s">
        <v>2368</v>
      </c>
      <c r="C1159" s="25" t="s">
        <v>63</v>
      </c>
      <c r="D1159" s="25" t="s">
        <v>88</v>
      </c>
      <c r="E1159" s="9">
        <v>11900000</v>
      </c>
      <c r="F1159" s="26">
        <v>0.75</v>
      </c>
      <c r="G1159" s="25">
        <v>98</v>
      </c>
      <c r="H1159" s="27">
        <v>14.3</v>
      </c>
      <c r="I1159" s="24" t="str" cm="1">
        <f t="array" ref="I1159">_xlfn.IFS(
   AND(F1159&gt;=0,9, G1159&gt;=85), "Excelente",
   AND(F1159&gt;=0,8, G1159&gt;=70), "Bueno",
   OR(F1159&lt;0,6,  G1159&lt;50),  "Alerta",
   TRUE,           "Revisar")</f>
        <v>Excelente</v>
      </c>
      <c r="J1159" s="28">
        <f t="shared" si="17"/>
        <v>1190000</v>
      </c>
    </row>
    <row r="1160" spans="1:10" ht="18" customHeight="1" x14ac:dyDescent="0.3">
      <c r="A1160" s="18" t="s">
        <v>2369</v>
      </c>
      <c r="B1160" s="5" t="s">
        <v>2370</v>
      </c>
      <c r="C1160" s="18" t="s">
        <v>77</v>
      </c>
      <c r="D1160" s="18" t="s">
        <v>114</v>
      </c>
      <c r="E1160" s="6">
        <v>8900000</v>
      </c>
      <c r="F1160" s="19">
        <v>0.94</v>
      </c>
      <c r="G1160" s="18">
        <v>31</v>
      </c>
      <c r="H1160" s="20">
        <v>13.4</v>
      </c>
      <c r="I1160" s="24" t="str" cm="1">
        <f t="array" ref="I1160">_xlfn.IFS(
   AND(F1160&gt;=0,9, G1160&gt;=85), "Excelente",
   AND(F1160&gt;=0,8, G1160&gt;=70), "Bueno",
   OR(F1160&lt;0,6,  G1160&lt;50),  "Alerta",
   TRUE,           "Revisar")</f>
        <v>Alerta</v>
      </c>
      <c r="J1160" s="28">
        <f t="shared" si="17"/>
        <v>0</v>
      </c>
    </row>
    <row r="1161" spans="1:10" ht="18" customHeight="1" x14ac:dyDescent="0.3">
      <c r="A1161" s="25" t="s">
        <v>2371</v>
      </c>
      <c r="B1161" s="8" t="s">
        <v>2372</v>
      </c>
      <c r="C1161" s="25" t="s">
        <v>67</v>
      </c>
      <c r="D1161" s="25" t="s">
        <v>60</v>
      </c>
      <c r="E1161" s="9">
        <v>11600000</v>
      </c>
      <c r="F1161" s="26">
        <v>0.84</v>
      </c>
      <c r="G1161" s="25">
        <v>52</v>
      </c>
      <c r="H1161" s="27">
        <v>0.8</v>
      </c>
      <c r="I1161" s="24" t="str" cm="1">
        <f t="array" ref="I1161">_xlfn.IFS(
   AND(F1161&gt;=0,9, G1161&gt;=85), "Excelente",
   AND(F1161&gt;=0,8, G1161&gt;=70), "Bueno",
   OR(F1161&lt;0,6,  G1161&lt;50),  "Alerta",
   TRUE,           "Revisar")</f>
        <v>Alerta</v>
      </c>
      <c r="J1161" s="28">
        <f t="shared" si="17"/>
        <v>0</v>
      </c>
    </row>
    <row r="1162" spans="1:10" ht="18" customHeight="1" x14ac:dyDescent="0.3">
      <c r="A1162" s="18" t="s">
        <v>2373</v>
      </c>
      <c r="B1162" s="5" t="s">
        <v>2374</v>
      </c>
      <c r="C1162" s="18" t="s">
        <v>77</v>
      </c>
      <c r="D1162" s="18" t="s">
        <v>88</v>
      </c>
      <c r="E1162" s="6">
        <v>10000000</v>
      </c>
      <c r="F1162" s="19">
        <v>0.46</v>
      </c>
      <c r="G1162" s="18">
        <v>85</v>
      </c>
      <c r="H1162" s="20">
        <v>17.2</v>
      </c>
      <c r="I1162" s="24" t="str" cm="1">
        <f t="array" ref="I1162">_xlfn.IFS(
   AND(F1162&gt;=0,9, G1162&gt;=85), "Excelente",
   AND(F1162&gt;=0,8, G1162&gt;=70), "Bueno",
   OR(F1162&lt;0,6,  G1162&lt;50),  "Alerta",
   TRUE,           "Revisar")</f>
        <v>Excelente</v>
      </c>
      <c r="J1162" s="28">
        <f t="shared" si="17"/>
        <v>1000000</v>
      </c>
    </row>
    <row r="1163" spans="1:10" ht="18" customHeight="1" x14ac:dyDescent="0.3">
      <c r="A1163" s="25" t="s">
        <v>2375</v>
      </c>
      <c r="B1163" s="8" t="s">
        <v>2376</v>
      </c>
      <c r="C1163" s="25" t="s">
        <v>59</v>
      </c>
      <c r="D1163" s="25" t="s">
        <v>88</v>
      </c>
      <c r="E1163" s="9">
        <v>10500000</v>
      </c>
      <c r="F1163" s="26">
        <v>0.86</v>
      </c>
      <c r="G1163" s="25">
        <v>32</v>
      </c>
      <c r="H1163" s="27">
        <v>2.8</v>
      </c>
      <c r="I1163" s="24" t="str" cm="1">
        <f t="array" ref="I1163">_xlfn.IFS(
   AND(F1163&gt;=0,9, G1163&gt;=85), "Excelente",
   AND(F1163&gt;=0,8, G1163&gt;=70), "Bueno",
   OR(F1163&lt;0,6,  G1163&lt;50),  "Alerta",
   TRUE,           "Revisar")</f>
        <v>Alerta</v>
      </c>
      <c r="J1163" s="28">
        <f t="shared" si="17"/>
        <v>0</v>
      </c>
    </row>
    <row r="1164" spans="1:10" ht="18" customHeight="1" x14ac:dyDescent="0.3">
      <c r="A1164" s="18" t="s">
        <v>2377</v>
      </c>
      <c r="B1164" s="5" t="s">
        <v>2378</v>
      </c>
      <c r="C1164" s="18" t="s">
        <v>91</v>
      </c>
      <c r="D1164" s="18" t="s">
        <v>68</v>
      </c>
      <c r="E1164" s="6">
        <v>3200000</v>
      </c>
      <c r="F1164" s="19">
        <v>0.98</v>
      </c>
      <c r="G1164" s="18">
        <v>71</v>
      </c>
      <c r="H1164" s="20">
        <v>15.8</v>
      </c>
      <c r="I1164" s="24" t="str" cm="1">
        <f t="array" ref="I1164">_xlfn.IFS(
   AND(F1164&gt;=0,9, G1164&gt;=85), "Excelente",
   AND(F1164&gt;=0,8, G1164&gt;=70), "Bueno",
   OR(F1164&lt;0,6,  G1164&lt;50),  "Alerta",
   TRUE,           "Revisar")</f>
        <v>Bueno</v>
      </c>
      <c r="J1164" s="28">
        <f t="shared" ref="J1164:J1227" si="18">IF(OR(I1164="Excelente",I1164="Bueno"),E1164*0.1,0)</f>
        <v>320000</v>
      </c>
    </row>
    <row r="1165" spans="1:10" ht="18" customHeight="1" x14ac:dyDescent="0.3">
      <c r="A1165" s="25" t="s">
        <v>2379</v>
      </c>
      <c r="B1165" s="8" t="s">
        <v>2380</v>
      </c>
      <c r="C1165" s="25" t="s">
        <v>71</v>
      </c>
      <c r="D1165" s="25" t="s">
        <v>92</v>
      </c>
      <c r="E1165" s="9">
        <v>8600000</v>
      </c>
      <c r="F1165" s="26">
        <v>0.74</v>
      </c>
      <c r="G1165" s="25">
        <v>85</v>
      </c>
      <c r="H1165" s="27">
        <v>17.8</v>
      </c>
      <c r="I1165" s="24" t="str" cm="1">
        <f t="array" ref="I1165">_xlfn.IFS(
   AND(F1165&gt;=0,9, G1165&gt;=85), "Excelente",
   AND(F1165&gt;=0,8, G1165&gt;=70), "Bueno",
   OR(F1165&lt;0,6,  G1165&lt;50),  "Alerta",
   TRUE,           "Revisar")</f>
        <v>Excelente</v>
      </c>
      <c r="J1165" s="28">
        <f t="shared" si="18"/>
        <v>860000</v>
      </c>
    </row>
    <row r="1166" spans="1:10" ht="18" customHeight="1" x14ac:dyDescent="0.3">
      <c r="A1166" s="18" t="s">
        <v>2381</v>
      </c>
      <c r="B1166" s="5" t="s">
        <v>2382</v>
      </c>
      <c r="C1166" s="18" t="s">
        <v>67</v>
      </c>
      <c r="D1166" s="18" t="s">
        <v>60</v>
      </c>
      <c r="E1166" s="6">
        <v>5300000</v>
      </c>
      <c r="F1166" s="19">
        <v>0.62</v>
      </c>
      <c r="G1166" s="18">
        <v>84</v>
      </c>
      <c r="H1166" s="20">
        <v>19.8</v>
      </c>
      <c r="I1166" s="24" t="str" cm="1">
        <f t="array" ref="I1166">_xlfn.IFS(
   AND(F1166&gt;=0,9, G1166&gt;=85), "Excelente",
   AND(F1166&gt;=0,8, G1166&gt;=70), "Bueno",
   OR(F1166&lt;0,6,  G1166&lt;50),  "Alerta",
   TRUE,           "Revisar")</f>
        <v>Bueno</v>
      </c>
      <c r="J1166" s="28">
        <f t="shared" si="18"/>
        <v>530000</v>
      </c>
    </row>
    <row r="1167" spans="1:10" ht="18" customHeight="1" x14ac:dyDescent="0.3">
      <c r="A1167" s="25" t="s">
        <v>2383</v>
      </c>
      <c r="B1167" s="8" t="s">
        <v>2384</v>
      </c>
      <c r="C1167" s="25" t="s">
        <v>81</v>
      </c>
      <c r="D1167" s="25" t="s">
        <v>68</v>
      </c>
      <c r="E1167" s="9">
        <v>5200000</v>
      </c>
      <c r="F1167" s="26">
        <v>0.56999999999999995</v>
      </c>
      <c r="G1167" s="25">
        <v>41</v>
      </c>
      <c r="H1167" s="27">
        <v>16</v>
      </c>
      <c r="I1167" s="24" t="str" cm="1">
        <f t="array" ref="I1167">_xlfn.IFS(
   AND(F1167&gt;=0,9, G1167&gt;=85), "Excelente",
   AND(F1167&gt;=0,8, G1167&gt;=70), "Bueno",
   OR(F1167&lt;0,6,  G1167&lt;50),  "Alerta",
   TRUE,           "Revisar")</f>
        <v>Alerta</v>
      </c>
      <c r="J1167" s="28">
        <f t="shared" si="18"/>
        <v>0</v>
      </c>
    </row>
    <row r="1168" spans="1:10" ht="18" customHeight="1" x14ac:dyDescent="0.3">
      <c r="A1168" s="18" t="s">
        <v>2385</v>
      </c>
      <c r="B1168" s="5" t="s">
        <v>2386</v>
      </c>
      <c r="C1168" s="18" t="s">
        <v>63</v>
      </c>
      <c r="D1168" s="18" t="s">
        <v>68</v>
      </c>
      <c r="E1168" s="6">
        <v>4000000</v>
      </c>
      <c r="F1168" s="19">
        <v>0.65</v>
      </c>
      <c r="G1168" s="18">
        <v>69</v>
      </c>
      <c r="H1168" s="20">
        <v>16.7</v>
      </c>
      <c r="I1168" s="24" t="str" cm="1">
        <f t="array" ref="I1168">_xlfn.IFS(
   AND(F1168&gt;=0,9, G1168&gt;=85), "Excelente",
   AND(F1168&gt;=0,8, G1168&gt;=70), "Bueno",
   OR(F1168&lt;0,6,  G1168&lt;50),  "Alerta",
   TRUE,           "Revisar")</f>
        <v>Alerta</v>
      </c>
      <c r="J1168" s="28">
        <f t="shared" si="18"/>
        <v>0</v>
      </c>
    </row>
    <row r="1169" spans="1:10" ht="18" customHeight="1" x14ac:dyDescent="0.3">
      <c r="A1169" s="25" t="s">
        <v>2387</v>
      </c>
      <c r="B1169" s="8" t="s">
        <v>2388</v>
      </c>
      <c r="C1169" s="25" t="s">
        <v>71</v>
      </c>
      <c r="D1169" s="25" t="s">
        <v>64</v>
      </c>
      <c r="E1169" s="9">
        <v>6700000</v>
      </c>
      <c r="F1169" s="26">
        <v>0.71</v>
      </c>
      <c r="G1169" s="25">
        <v>62</v>
      </c>
      <c r="H1169" s="27">
        <v>2.6</v>
      </c>
      <c r="I1169" s="24" t="str" cm="1">
        <f t="array" ref="I1169">_xlfn.IFS(
   AND(F1169&gt;=0,9, G1169&gt;=85), "Excelente",
   AND(F1169&gt;=0,8, G1169&gt;=70), "Bueno",
   OR(F1169&lt;0,6,  G1169&lt;50),  "Alerta",
   TRUE,           "Revisar")</f>
        <v>Alerta</v>
      </c>
      <c r="J1169" s="28">
        <f t="shared" si="18"/>
        <v>0</v>
      </c>
    </row>
    <row r="1170" spans="1:10" ht="18" customHeight="1" x14ac:dyDescent="0.3">
      <c r="A1170" s="18" t="s">
        <v>2389</v>
      </c>
      <c r="B1170" s="5" t="s">
        <v>2390</v>
      </c>
      <c r="C1170" s="18" t="s">
        <v>77</v>
      </c>
      <c r="D1170" s="18" t="s">
        <v>88</v>
      </c>
      <c r="E1170" s="6">
        <v>9700000</v>
      </c>
      <c r="F1170" s="19">
        <v>0.69</v>
      </c>
      <c r="G1170" s="18">
        <v>65</v>
      </c>
      <c r="H1170" s="20">
        <v>13.1</v>
      </c>
      <c r="I1170" s="24" t="str" cm="1">
        <f t="array" ref="I1170">_xlfn.IFS(
   AND(F1170&gt;=0,9, G1170&gt;=85), "Excelente",
   AND(F1170&gt;=0,8, G1170&gt;=70), "Bueno",
   OR(F1170&lt;0,6,  G1170&lt;50),  "Alerta",
   TRUE,           "Revisar")</f>
        <v>Alerta</v>
      </c>
      <c r="J1170" s="28">
        <f t="shared" si="18"/>
        <v>0</v>
      </c>
    </row>
    <row r="1171" spans="1:10" ht="18" customHeight="1" x14ac:dyDescent="0.3">
      <c r="A1171" s="25" t="s">
        <v>2391</v>
      </c>
      <c r="B1171" s="8" t="s">
        <v>2392</v>
      </c>
      <c r="C1171" s="25" t="s">
        <v>77</v>
      </c>
      <c r="D1171" s="25" t="s">
        <v>68</v>
      </c>
      <c r="E1171" s="9">
        <v>8100000</v>
      </c>
      <c r="F1171" s="26">
        <v>0.48</v>
      </c>
      <c r="G1171" s="25">
        <v>43</v>
      </c>
      <c r="H1171" s="27">
        <v>17.3</v>
      </c>
      <c r="I1171" s="24" t="str" cm="1">
        <f t="array" ref="I1171">_xlfn.IFS(
   AND(F1171&gt;=0,9, G1171&gt;=85), "Excelente",
   AND(F1171&gt;=0,8, G1171&gt;=70), "Bueno",
   OR(F1171&lt;0,6,  G1171&lt;50),  "Alerta",
   TRUE,           "Revisar")</f>
        <v>Alerta</v>
      </c>
      <c r="J1171" s="28">
        <f t="shared" si="18"/>
        <v>0</v>
      </c>
    </row>
    <row r="1172" spans="1:10" ht="18" customHeight="1" x14ac:dyDescent="0.3">
      <c r="A1172" s="18" t="s">
        <v>2393</v>
      </c>
      <c r="B1172" s="5" t="s">
        <v>2394</v>
      </c>
      <c r="C1172" s="18" t="s">
        <v>59</v>
      </c>
      <c r="D1172" s="18" t="s">
        <v>88</v>
      </c>
      <c r="E1172" s="6">
        <v>10900000</v>
      </c>
      <c r="F1172" s="19">
        <v>0.73</v>
      </c>
      <c r="G1172" s="18">
        <v>83</v>
      </c>
      <c r="H1172" s="20">
        <v>13.3</v>
      </c>
      <c r="I1172" s="24" t="str" cm="1">
        <f t="array" ref="I1172">_xlfn.IFS(
   AND(F1172&gt;=0,9, G1172&gt;=85), "Excelente",
   AND(F1172&gt;=0,8, G1172&gt;=70), "Bueno",
   OR(F1172&lt;0,6,  G1172&lt;50),  "Alerta",
   TRUE,           "Revisar")</f>
        <v>Bueno</v>
      </c>
      <c r="J1172" s="28">
        <f t="shared" si="18"/>
        <v>1090000</v>
      </c>
    </row>
    <row r="1173" spans="1:10" ht="18" customHeight="1" x14ac:dyDescent="0.3">
      <c r="A1173" s="25" t="s">
        <v>2395</v>
      </c>
      <c r="B1173" s="8" t="s">
        <v>2396</v>
      </c>
      <c r="C1173" s="25" t="s">
        <v>74</v>
      </c>
      <c r="D1173" s="25" t="s">
        <v>105</v>
      </c>
      <c r="E1173" s="9">
        <v>5900000</v>
      </c>
      <c r="F1173" s="26">
        <v>0.77</v>
      </c>
      <c r="G1173" s="25">
        <v>58</v>
      </c>
      <c r="H1173" s="27">
        <v>11.8</v>
      </c>
      <c r="I1173" s="24" t="str" cm="1">
        <f t="array" ref="I1173">_xlfn.IFS(
   AND(F1173&gt;=0,9, G1173&gt;=85), "Excelente",
   AND(F1173&gt;=0,8, G1173&gt;=70), "Bueno",
   OR(F1173&lt;0,6,  G1173&lt;50),  "Alerta",
   TRUE,           "Revisar")</f>
        <v>Alerta</v>
      </c>
      <c r="J1173" s="28">
        <f t="shared" si="18"/>
        <v>0</v>
      </c>
    </row>
    <row r="1174" spans="1:10" ht="18" customHeight="1" x14ac:dyDescent="0.3">
      <c r="A1174" s="18" t="s">
        <v>2397</v>
      </c>
      <c r="B1174" s="5" t="s">
        <v>2398</v>
      </c>
      <c r="C1174" s="18" t="s">
        <v>63</v>
      </c>
      <c r="D1174" s="18" t="s">
        <v>92</v>
      </c>
      <c r="E1174" s="6">
        <v>5000000</v>
      </c>
      <c r="F1174" s="19">
        <v>0.91</v>
      </c>
      <c r="G1174" s="18">
        <v>41</v>
      </c>
      <c r="H1174" s="20">
        <v>6.7</v>
      </c>
      <c r="I1174" s="24" t="str" cm="1">
        <f t="array" ref="I1174">_xlfn.IFS(
   AND(F1174&gt;=0,9, G1174&gt;=85), "Excelente",
   AND(F1174&gt;=0,8, G1174&gt;=70), "Bueno",
   OR(F1174&lt;0,6,  G1174&lt;50),  "Alerta",
   TRUE,           "Revisar")</f>
        <v>Alerta</v>
      </c>
      <c r="J1174" s="28">
        <f t="shared" si="18"/>
        <v>0</v>
      </c>
    </row>
    <row r="1175" spans="1:10" ht="18" customHeight="1" x14ac:dyDescent="0.3">
      <c r="A1175" s="25" t="s">
        <v>2399</v>
      </c>
      <c r="B1175" s="8" t="s">
        <v>2400</v>
      </c>
      <c r="C1175" s="25" t="s">
        <v>81</v>
      </c>
      <c r="D1175" s="25" t="s">
        <v>92</v>
      </c>
      <c r="E1175" s="9">
        <v>7800000</v>
      </c>
      <c r="F1175" s="26">
        <v>0.52</v>
      </c>
      <c r="G1175" s="25">
        <v>79</v>
      </c>
      <c r="H1175" s="27">
        <v>2.1</v>
      </c>
      <c r="I1175" s="24" t="str" cm="1">
        <f t="array" ref="I1175">_xlfn.IFS(
   AND(F1175&gt;=0,9, G1175&gt;=85), "Excelente",
   AND(F1175&gt;=0,8, G1175&gt;=70), "Bueno",
   OR(F1175&lt;0,6,  G1175&lt;50),  "Alerta",
   TRUE,           "Revisar")</f>
        <v>Bueno</v>
      </c>
      <c r="J1175" s="28">
        <f t="shared" si="18"/>
        <v>780000</v>
      </c>
    </row>
    <row r="1176" spans="1:10" ht="18" customHeight="1" x14ac:dyDescent="0.3">
      <c r="A1176" s="18" t="s">
        <v>2401</v>
      </c>
      <c r="B1176" s="5" t="s">
        <v>2402</v>
      </c>
      <c r="C1176" s="18" t="s">
        <v>91</v>
      </c>
      <c r="D1176" s="18" t="s">
        <v>105</v>
      </c>
      <c r="E1176" s="6">
        <v>8300000</v>
      </c>
      <c r="F1176" s="19">
        <v>0.84</v>
      </c>
      <c r="G1176" s="18">
        <v>47</v>
      </c>
      <c r="H1176" s="20">
        <v>19.7</v>
      </c>
      <c r="I1176" s="24" t="str" cm="1">
        <f t="array" ref="I1176">_xlfn.IFS(
   AND(F1176&gt;=0,9, G1176&gt;=85), "Excelente",
   AND(F1176&gt;=0,8, G1176&gt;=70), "Bueno",
   OR(F1176&lt;0,6,  G1176&lt;50),  "Alerta",
   TRUE,           "Revisar")</f>
        <v>Alerta</v>
      </c>
      <c r="J1176" s="28">
        <f t="shared" si="18"/>
        <v>0</v>
      </c>
    </row>
    <row r="1177" spans="1:10" ht="18" customHeight="1" x14ac:dyDescent="0.3">
      <c r="A1177" s="25" t="s">
        <v>2403</v>
      </c>
      <c r="B1177" s="8" t="s">
        <v>2404</v>
      </c>
      <c r="C1177" s="25" t="s">
        <v>77</v>
      </c>
      <c r="D1177" s="25" t="s">
        <v>78</v>
      </c>
      <c r="E1177" s="9">
        <v>7000000</v>
      </c>
      <c r="F1177" s="26">
        <v>0.5</v>
      </c>
      <c r="G1177" s="25">
        <v>81</v>
      </c>
      <c r="H1177" s="27">
        <v>11.5</v>
      </c>
      <c r="I1177" s="24" t="str" cm="1">
        <f t="array" ref="I1177">_xlfn.IFS(
   AND(F1177&gt;=0,9, G1177&gt;=85), "Excelente",
   AND(F1177&gt;=0,8, G1177&gt;=70), "Bueno",
   OR(F1177&lt;0,6,  G1177&lt;50),  "Alerta",
   TRUE,           "Revisar")</f>
        <v>Bueno</v>
      </c>
      <c r="J1177" s="28">
        <f t="shared" si="18"/>
        <v>700000</v>
      </c>
    </row>
    <row r="1178" spans="1:10" ht="18" customHeight="1" x14ac:dyDescent="0.3">
      <c r="A1178" s="18" t="s">
        <v>2405</v>
      </c>
      <c r="B1178" s="5" t="s">
        <v>2406</v>
      </c>
      <c r="C1178" s="18" t="s">
        <v>91</v>
      </c>
      <c r="D1178" s="18" t="s">
        <v>92</v>
      </c>
      <c r="E1178" s="6">
        <v>7700000</v>
      </c>
      <c r="F1178" s="19">
        <v>0.62</v>
      </c>
      <c r="G1178" s="18">
        <v>77</v>
      </c>
      <c r="H1178" s="20">
        <v>17.2</v>
      </c>
      <c r="I1178" s="24" t="str" cm="1">
        <f t="array" ref="I1178">_xlfn.IFS(
   AND(F1178&gt;=0,9, G1178&gt;=85), "Excelente",
   AND(F1178&gt;=0,8, G1178&gt;=70), "Bueno",
   OR(F1178&lt;0,6,  G1178&lt;50),  "Alerta",
   TRUE,           "Revisar")</f>
        <v>Bueno</v>
      </c>
      <c r="J1178" s="28">
        <f t="shared" si="18"/>
        <v>770000</v>
      </c>
    </row>
    <row r="1179" spans="1:10" ht="18" customHeight="1" x14ac:dyDescent="0.3">
      <c r="A1179" s="25" t="s">
        <v>2407</v>
      </c>
      <c r="B1179" s="8" t="s">
        <v>2408</v>
      </c>
      <c r="C1179" s="25" t="s">
        <v>71</v>
      </c>
      <c r="D1179" s="25" t="s">
        <v>78</v>
      </c>
      <c r="E1179" s="9">
        <v>9100000</v>
      </c>
      <c r="F1179" s="26">
        <v>0.56000000000000005</v>
      </c>
      <c r="G1179" s="25">
        <v>49</v>
      </c>
      <c r="H1179" s="27">
        <v>19.899999999999999</v>
      </c>
      <c r="I1179" s="24" t="str" cm="1">
        <f t="array" ref="I1179">_xlfn.IFS(
   AND(F1179&gt;=0,9, G1179&gt;=85), "Excelente",
   AND(F1179&gt;=0,8, G1179&gt;=70), "Bueno",
   OR(F1179&lt;0,6,  G1179&lt;50),  "Alerta",
   TRUE,           "Revisar")</f>
        <v>Alerta</v>
      </c>
      <c r="J1179" s="28">
        <f t="shared" si="18"/>
        <v>0</v>
      </c>
    </row>
    <row r="1180" spans="1:10" ht="18" customHeight="1" x14ac:dyDescent="0.3">
      <c r="A1180" s="18" t="s">
        <v>2409</v>
      </c>
      <c r="B1180" s="5" t="s">
        <v>2410</v>
      </c>
      <c r="C1180" s="18" t="s">
        <v>81</v>
      </c>
      <c r="D1180" s="18" t="s">
        <v>114</v>
      </c>
      <c r="E1180" s="6">
        <v>5800000</v>
      </c>
      <c r="F1180" s="19">
        <v>0.98</v>
      </c>
      <c r="G1180" s="18">
        <v>92</v>
      </c>
      <c r="H1180" s="20">
        <v>3.8</v>
      </c>
      <c r="I1180" s="24" t="str" cm="1">
        <f t="array" ref="I1180">_xlfn.IFS(
   AND(F1180&gt;=0,9, G1180&gt;=85), "Excelente",
   AND(F1180&gt;=0,8, G1180&gt;=70), "Bueno",
   OR(F1180&lt;0,6,  G1180&lt;50),  "Alerta",
   TRUE,           "Revisar")</f>
        <v>Excelente</v>
      </c>
      <c r="J1180" s="28">
        <f t="shared" si="18"/>
        <v>580000</v>
      </c>
    </row>
    <row r="1181" spans="1:10" ht="18" customHeight="1" x14ac:dyDescent="0.3">
      <c r="A1181" s="25" t="s">
        <v>2411</v>
      </c>
      <c r="B1181" s="8" t="s">
        <v>2412</v>
      </c>
      <c r="C1181" s="25" t="s">
        <v>63</v>
      </c>
      <c r="D1181" s="25" t="s">
        <v>60</v>
      </c>
      <c r="E1181" s="9">
        <v>6400000</v>
      </c>
      <c r="F1181" s="26">
        <v>0.63</v>
      </c>
      <c r="G1181" s="25">
        <v>87</v>
      </c>
      <c r="H1181" s="27">
        <v>15.3</v>
      </c>
      <c r="I1181" s="24" t="str" cm="1">
        <f t="array" ref="I1181">_xlfn.IFS(
   AND(F1181&gt;=0,9, G1181&gt;=85), "Excelente",
   AND(F1181&gt;=0,8, G1181&gt;=70), "Bueno",
   OR(F1181&lt;0,6,  G1181&lt;50),  "Alerta",
   TRUE,           "Revisar")</f>
        <v>Excelente</v>
      </c>
      <c r="J1181" s="28">
        <f t="shared" si="18"/>
        <v>640000</v>
      </c>
    </row>
    <row r="1182" spans="1:10" ht="18" customHeight="1" x14ac:dyDescent="0.3">
      <c r="A1182" s="18" t="s">
        <v>2413</v>
      </c>
      <c r="B1182" s="5" t="s">
        <v>2414</v>
      </c>
      <c r="C1182" s="18" t="s">
        <v>63</v>
      </c>
      <c r="D1182" s="18" t="s">
        <v>68</v>
      </c>
      <c r="E1182" s="6">
        <v>8300000</v>
      </c>
      <c r="F1182" s="19">
        <v>0.66</v>
      </c>
      <c r="G1182" s="18">
        <v>92</v>
      </c>
      <c r="H1182" s="20">
        <v>0.5</v>
      </c>
      <c r="I1182" s="24" t="str" cm="1">
        <f t="array" ref="I1182">_xlfn.IFS(
   AND(F1182&gt;=0,9, G1182&gt;=85), "Excelente",
   AND(F1182&gt;=0,8, G1182&gt;=70), "Bueno",
   OR(F1182&lt;0,6,  G1182&lt;50),  "Alerta",
   TRUE,           "Revisar")</f>
        <v>Excelente</v>
      </c>
      <c r="J1182" s="28">
        <f t="shared" si="18"/>
        <v>830000</v>
      </c>
    </row>
    <row r="1183" spans="1:10" ht="18" customHeight="1" x14ac:dyDescent="0.3">
      <c r="A1183" s="25" t="s">
        <v>2415</v>
      </c>
      <c r="B1183" s="8" t="s">
        <v>2416</v>
      </c>
      <c r="C1183" s="25" t="s">
        <v>67</v>
      </c>
      <c r="D1183" s="25" t="s">
        <v>105</v>
      </c>
      <c r="E1183" s="9">
        <v>5400000</v>
      </c>
      <c r="F1183" s="26">
        <v>0.76</v>
      </c>
      <c r="G1183" s="25">
        <v>31</v>
      </c>
      <c r="H1183" s="27">
        <v>0.9</v>
      </c>
      <c r="I1183" s="24" t="str" cm="1">
        <f t="array" ref="I1183">_xlfn.IFS(
   AND(F1183&gt;=0,9, G1183&gt;=85), "Excelente",
   AND(F1183&gt;=0,8, G1183&gt;=70), "Bueno",
   OR(F1183&lt;0,6,  G1183&lt;50),  "Alerta",
   TRUE,           "Revisar")</f>
        <v>Alerta</v>
      </c>
      <c r="J1183" s="28">
        <f t="shared" si="18"/>
        <v>0</v>
      </c>
    </row>
    <row r="1184" spans="1:10" ht="18" customHeight="1" x14ac:dyDescent="0.3">
      <c r="A1184" s="18" t="s">
        <v>2417</v>
      </c>
      <c r="B1184" s="5" t="s">
        <v>2418</v>
      </c>
      <c r="C1184" s="18" t="s">
        <v>71</v>
      </c>
      <c r="D1184" s="18" t="s">
        <v>105</v>
      </c>
      <c r="E1184" s="6">
        <v>10800000</v>
      </c>
      <c r="F1184" s="19">
        <v>0.93</v>
      </c>
      <c r="G1184" s="18">
        <v>43</v>
      </c>
      <c r="H1184" s="20">
        <v>12.3</v>
      </c>
      <c r="I1184" s="24" t="str" cm="1">
        <f t="array" ref="I1184">_xlfn.IFS(
   AND(F1184&gt;=0,9, G1184&gt;=85), "Excelente",
   AND(F1184&gt;=0,8, G1184&gt;=70), "Bueno",
   OR(F1184&lt;0,6,  G1184&lt;50),  "Alerta",
   TRUE,           "Revisar")</f>
        <v>Alerta</v>
      </c>
      <c r="J1184" s="28">
        <f t="shared" si="18"/>
        <v>0</v>
      </c>
    </row>
    <row r="1185" spans="1:10" ht="18" customHeight="1" x14ac:dyDescent="0.3">
      <c r="A1185" s="25" t="s">
        <v>2419</v>
      </c>
      <c r="B1185" s="8" t="s">
        <v>2420</v>
      </c>
      <c r="C1185" s="25" t="s">
        <v>67</v>
      </c>
      <c r="D1185" s="25" t="s">
        <v>60</v>
      </c>
      <c r="E1185" s="9">
        <v>10300000</v>
      </c>
      <c r="F1185" s="26">
        <v>0.54</v>
      </c>
      <c r="G1185" s="25">
        <v>75</v>
      </c>
      <c r="H1185" s="27">
        <v>8.1999999999999993</v>
      </c>
      <c r="I1185" s="24" t="str" cm="1">
        <f t="array" ref="I1185">_xlfn.IFS(
   AND(F1185&gt;=0,9, G1185&gt;=85), "Excelente",
   AND(F1185&gt;=0,8, G1185&gt;=70), "Bueno",
   OR(F1185&lt;0,6,  G1185&lt;50),  "Alerta",
   TRUE,           "Revisar")</f>
        <v>Bueno</v>
      </c>
      <c r="J1185" s="28">
        <f t="shared" si="18"/>
        <v>1030000</v>
      </c>
    </row>
    <row r="1186" spans="1:10" ht="18" customHeight="1" x14ac:dyDescent="0.3">
      <c r="A1186" s="18" t="s">
        <v>2421</v>
      </c>
      <c r="B1186" s="5" t="s">
        <v>2422</v>
      </c>
      <c r="C1186" s="18" t="s">
        <v>59</v>
      </c>
      <c r="D1186" s="18" t="s">
        <v>60</v>
      </c>
      <c r="E1186" s="6">
        <v>10300000</v>
      </c>
      <c r="F1186" s="19">
        <v>0.9</v>
      </c>
      <c r="G1186" s="18">
        <v>76</v>
      </c>
      <c r="H1186" s="20">
        <v>9.3000000000000007</v>
      </c>
      <c r="I1186" s="24" t="str" cm="1">
        <f t="array" ref="I1186">_xlfn.IFS(
   AND(F1186&gt;=0,9, G1186&gt;=85), "Excelente",
   AND(F1186&gt;=0,8, G1186&gt;=70), "Bueno",
   OR(F1186&lt;0,6,  G1186&lt;50),  "Alerta",
   TRUE,           "Revisar")</f>
        <v>Bueno</v>
      </c>
      <c r="J1186" s="28">
        <f t="shared" si="18"/>
        <v>1030000</v>
      </c>
    </row>
    <row r="1187" spans="1:10" ht="18" customHeight="1" x14ac:dyDescent="0.3">
      <c r="A1187" s="25" t="s">
        <v>2423</v>
      </c>
      <c r="B1187" s="8" t="s">
        <v>2424</v>
      </c>
      <c r="C1187" s="25" t="s">
        <v>59</v>
      </c>
      <c r="D1187" s="25" t="s">
        <v>64</v>
      </c>
      <c r="E1187" s="9">
        <v>5500000</v>
      </c>
      <c r="F1187" s="26">
        <v>0.91</v>
      </c>
      <c r="G1187" s="25">
        <v>72</v>
      </c>
      <c r="H1187" s="27">
        <v>4.0999999999999996</v>
      </c>
      <c r="I1187" s="24" t="str" cm="1">
        <f t="array" ref="I1187">_xlfn.IFS(
   AND(F1187&gt;=0,9, G1187&gt;=85), "Excelente",
   AND(F1187&gt;=0,8, G1187&gt;=70), "Bueno",
   OR(F1187&lt;0,6,  G1187&lt;50),  "Alerta",
   TRUE,           "Revisar")</f>
        <v>Bueno</v>
      </c>
      <c r="J1187" s="28">
        <f t="shared" si="18"/>
        <v>550000</v>
      </c>
    </row>
    <row r="1188" spans="1:10" ht="18" customHeight="1" x14ac:dyDescent="0.3">
      <c r="A1188" s="18" t="s">
        <v>2425</v>
      </c>
      <c r="B1188" s="5" t="s">
        <v>2426</v>
      </c>
      <c r="C1188" s="18" t="s">
        <v>91</v>
      </c>
      <c r="D1188" s="18" t="s">
        <v>64</v>
      </c>
      <c r="E1188" s="6">
        <v>2900000</v>
      </c>
      <c r="F1188" s="19">
        <v>0.97</v>
      </c>
      <c r="G1188" s="18">
        <v>30</v>
      </c>
      <c r="H1188" s="20">
        <v>6.1</v>
      </c>
      <c r="I1188" s="24" t="str" cm="1">
        <f t="array" ref="I1188">_xlfn.IFS(
   AND(F1188&gt;=0,9, G1188&gt;=85), "Excelente",
   AND(F1188&gt;=0,8, G1188&gt;=70), "Bueno",
   OR(F1188&lt;0,6,  G1188&lt;50),  "Alerta",
   TRUE,           "Revisar")</f>
        <v>Alerta</v>
      </c>
      <c r="J1188" s="28">
        <f t="shared" si="18"/>
        <v>0</v>
      </c>
    </row>
    <row r="1189" spans="1:10" ht="18" customHeight="1" x14ac:dyDescent="0.3">
      <c r="A1189" s="25" t="s">
        <v>2427</v>
      </c>
      <c r="B1189" s="8" t="s">
        <v>2428</v>
      </c>
      <c r="C1189" s="25" t="s">
        <v>59</v>
      </c>
      <c r="D1189" s="25" t="s">
        <v>114</v>
      </c>
      <c r="E1189" s="9">
        <v>11400000</v>
      </c>
      <c r="F1189" s="26">
        <v>0.86</v>
      </c>
      <c r="G1189" s="25">
        <v>93</v>
      </c>
      <c r="H1189" s="27">
        <v>13.5</v>
      </c>
      <c r="I1189" s="24" t="str" cm="1">
        <f t="array" ref="I1189">_xlfn.IFS(
   AND(F1189&gt;=0,9, G1189&gt;=85), "Excelente",
   AND(F1189&gt;=0,8, G1189&gt;=70), "Bueno",
   OR(F1189&lt;0,6,  G1189&lt;50),  "Alerta",
   TRUE,           "Revisar")</f>
        <v>Excelente</v>
      </c>
      <c r="J1189" s="28">
        <f t="shared" si="18"/>
        <v>1140000</v>
      </c>
    </row>
    <row r="1190" spans="1:10" ht="18" customHeight="1" x14ac:dyDescent="0.3">
      <c r="A1190" s="18" t="s">
        <v>2429</v>
      </c>
      <c r="B1190" s="5" t="s">
        <v>2430</v>
      </c>
      <c r="C1190" s="18" t="s">
        <v>74</v>
      </c>
      <c r="D1190" s="18" t="s">
        <v>68</v>
      </c>
      <c r="E1190" s="6">
        <v>7300000</v>
      </c>
      <c r="F1190" s="19">
        <v>0.81</v>
      </c>
      <c r="G1190" s="18">
        <v>31</v>
      </c>
      <c r="H1190" s="20">
        <v>14</v>
      </c>
      <c r="I1190" s="24" t="str" cm="1">
        <f t="array" ref="I1190">_xlfn.IFS(
   AND(F1190&gt;=0,9, G1190&gt;=85), "Excelente",
   AND(F1190&gt;=0,8, G1190&gt;=70), "Bueno",
   OR(F1190&lt;0,6,  G1190&lt;50),  "Alerta",
   TRUE,           "Revisar")</f>
        <v>Alerta</v>
      </c>
      <c r="J1190" s="28">
        <f t="shared" si="18"/>
        <v>0</v>
      </c>
    </row>
    <row r="1191" spans="1:10" ht="18" customHeight="1" x14ac:dyDescent="0.3">
      <c r="A1191" s="25" t="s">
        <v>2431</v>
      </c>
      <c r="B1191" s="8" t="s">
        <v>2432</v>
      </c>
      <c r="C1191" s="25" t="s">
        <v>74</v>
      </c>
      <c r="D1191" s="25" t="s">
        <v>105</v>
      </c>
      <c r="E1191" s="9">
        <v>7600000</v>
      </c>
      <c r="F1191" s="26">
        <v>0.86</v>
      </c>
      <c r="G1191" s="25">
        <v>60</v>
      </c>
      <c r="H1191" s="27">
        <v>12.1</v>
      </c>
      <c r="I1191" s="24" t="str" cm="1">
        <f t="array" ref="I1191">_xlfn.IFS(
   AND(F1191&gt;=0,9, G1191&gt;=85), "Excelente",
   AND(F1191&gt;=0,8, G1191&gt;=70), "Bueno",
   OR(F1191&lt;0,6,  G1191&lt;50),  "Alerta",
   TRUE,           "Revisar")</f>
        <v>Alerta</v>
      </c>
      <c r="J1191" s="28">
        <f t="shared" si="18"/>
        <v>0</v>
      </c>
    </row>
    <row r="1192" spans="1:10" ht="18" customHeight="1" x14ac:dyDescent="0.3">
      <c r="A1192" s="18" t="s">
        <v>2433</v>
      </c>
      <c r="B1192" s="5" t="s">
        <v>2434</v>
      </c>
      <c r="C1192" s="18" t="s">
        <v>63</v>
      </c>
      <c r="D1192" s="18" t="s">
        <v>92</v>
      </c>
      <c r="E1192" s="6">
        <v>5600000</v>
      </c>
      <c r="F1192" s="19">
        <v>0.91</v>
      </c>
      <c r="G1192" s="18">
        <v>82</v>
      </c>
      <c r="H1192" s="20">
        <v>1.2</v>
      </c>
      <c r="I1192" s="24" t="str" cm="1">
        <f t="array" ref="I1192">_xlfn.IFS(
   AND(F1192&gt;=0,9, G1192&gt;=85), "Excelente",
   AND(F1192&gt;=0,8, G1192&gt;=70), "Bueno",
   OR(F1192&lt;0,6,  G1192&lt;50),  "Alerta",
   TRUE,           "Revisar")</f>
        <v>Bueno</v>
      </c>
      <c r="J1192" s="28">
        <f t="shared" si="18"/>
        <v>560000</v>
      </c>
    </row>
    <row r="1193" spans="1:10" ht="18" customHeight="1" x14ac:dyDescent="0.3">
      <c r="A1193" s="25" t="s">
        <v>2435</v>
      </c>
      <c r="B1193" s="8" t="s">
        <v>2436</v>
      </c>
      <c r="C1193" s="25" t="s">
        <v>63</v>
      </c>
      <c r="D1193" s="25" t="s">
        <v>88</v>
      </c>
      <c r="E1193" s="9">
        <v>6100000</v>
      </c>
      <c r="F1193" s="26">
        <v>0.78</v>
      </c>
      <c r="G1193" s="25">
        <v>54</v>
      </c>
      <c r="H1193" s="27">
        <v>15.4</v>
      </c>
      <c r="I1193" s="24" t="str" cm="1">
        <f t="array" ref="I1193">_xlfn.IFS(
   AND(F1193&gt;=0,9, G1193&gt;=85), "Excelente",
   AND(F1193&gt;=0,8, G1193&gt;=70), "Bueno",
   OR(F1193&lt;0,6,  G1193&lt;50),  "Alerta",
   TRUE,           "Revisar")</f>
        <v>Alerta</v>
      </c>
      <c r="J1193" s="28">
        <f t="shared" si="18"/>
        <v>0</v>
      </c>
    </row>
    <row r="1194" spans="1:10" ht="18" customHeight="1" x14ac:dyDescent="0.3">
      <c r="A1194" s="18" t="s">
        <v>2437</v>
      </c>
      <c r="B1194" s="5" t="s">
        <v>2438</v>
      </c>
      <c r="C1194" s="18" t="s">
        <v>81</v>
      </c>
      <c r="D1194" s="18" t="s">
        <v>78</v>
      </c>
      <c r="E1194" s="6">
        <v>4500000</v>
      </c>
      <c r="F1194" s="19">
        <v>0.55000000000000004</v>
      </c>
      <c r="G1194" s="18">
        <v>76</v>
      </c>
      <c r="H1194" s="20">
        <v>15.2</v>
      </c>
      <c r="I1194" s="24" t="str" cm="1">
        <f t="array" ref="I1194">_xlfn.IFS(
   AND(F1194&gt;=0,9, G1194&gt;=85), "Excelente",
   AND(F1194&gt;=0,8, G1194&gt;=70), "Bueno",
   OR(F1194&lt;0,6,  G1194&lt;50),  "Alerta",
   TRUE,           "Revisar")</f>
        <v>Bueno</v>
      </c>
      <c r="J1194" s="28">
        <f t="shared" si="18"/>
        <v>450000</v>
      </c>
    </row>
    <row r="1195" spans="1:10" ht="18" customHeight="1" x14ac:dyDescent="0.3">
      <c r="A1195" s="25" t="s">
        <v>2439</v>
      </c>
      <c r="B1195" s="8" t="s">
        <v>2440</v>
      </c>
      <c r="C1195" s="25" t="s">
        <v>67</v>
      </c>
      <c r="D1195" s="25" t="s">
        <v>68</v>
      </c>
      <c r="E1195" s="9">
        <v>10400000</v>
      </c>
      <c r="F1195" s="26">
        <v>0.93</v>
      </c>
      <c r="G1195" s="25">
        <v>33</v>
      </c>
      <c r="H1195" s="27">
        <v>13.7</v>
      </c>
      <c r="I1195" s="24" t="str" cm="1">
        <f t="array" ref="I1195">_xlfn.IFS(
   AND(F1195&gt;=0,9, G1195&gt;=85), "Excelente",
   AND(F1195&gt;=0,8, G1195&gt;=70), "Bueno",
   OR(F1195&lt;0,6,  G1195&lt;50),  "Alerta",
   TRUE,           "Revisar")</f>
        <v>Alerta</v>
      </c>
      <c r="J1195" s="28">
        <f t="shared" si="18"/>
        <v>0</v>
      </c>
    </row>
    <row r="1196" spans="1:10" ht="18" customHeight="1" x14ac:dyDescent="0.3">
      <c r="A1196" s="18" t="s">
        <v>2441</v>
      </c>
      <c r="B1196" s="5" t="s">
        <v>2442</v>
      </c>
      <c r="C1196" s="18" t="s">
        <v>77</v>
      </c>
      <c r="D1196" s="18" t="s">
        <v>68</v>
      </c>
      <c r="E1196" s="6">
        <v>9800000</v>
      </c>
      <c r="F1196" s="19">
        <v>0.75</v>
      </c>
      <c r="G1196" s="18">
        <v>81</v>
      </c>
      <c r="H1196" s="20">
        <v>17.8</v>
      </c>
      <c r="I1196" s="24" t="str" cm="1">
        <f t="array" ref="I1196">_xlfn.IFS(
   AND(F1196&gt;=0,9, G1196&gt;=85), "Excelente",
   AND(F1196&gt;=0,8, G1196&gt;=70), "Bueno",
   OR(F1196&lt;0,6,  G1196&lt;50),  "Alerta",
   TRUE,           "Revisar")</f>
        <v>Bueno</v>
      </c>
      <c r="J1196" s="28">
        <f t="shared" si="18"/>
        <v>980000</v>
      </c>
    </row>
    <row r="1197" spans="1:10" ht="18" customHeight="1" x14ac:dyDescent="0.3">
      <c r="A1197" s="25" t="s">
        <v>2443</v>
      </c>
      <c r="B1197" s="8" t="s">
        <v>2444</v>
      </c>
      <c r="C1197" s="25" t="s">
        <v>71</v>
      </c>
      <c r="D1197" s="25" t="s">
        <v>64</v>
      </c>
      <c r="E1197" s="9">
        <v>4500000</v>
      </c>
      <c r="F1197" s="26">
        <v>0.61</v>
      </c>
      <c r="G1197" s="25">
        <v>76</v>
      </c>
      <c r="H1197" s="27">
        <v>13.6</v>
      </c>
      <c r="I1197" s="24" t="str" cm="1">
        <f t="array" ref="I1197">_xlfn.IFS(
   AND(F1197&gt;=0,9, G1197&gt;=85), "Excelente",
   AND(F1197&gt;=0,8, G1197&gt;=70), "Bueno",
   OR(F1197&lt;0,6,  G1197&lt;50),  "Alerta",
   TRUE,           "Revisar")</f>
        <v>Bueno</v>
      </c>
      <c r="J1197" s="28">
        <f t="shared" si="18"/>
        <v>450000</v>
      </c>
    </row>
    <row r="1198" spans="1:10" ht="18" customHeight="1" x14ac:dyDescent="0.3">
      <c r="A1198" s="18" t="s">
        <v>2445</v>
      </c>
      <c r="B1198" s="5" t="s">
        <v>2446</v>
      </c>
      <c r="C1198" s="18" t="s">
        <v>71</v>
      </c>
      <c r="D1198" s="18" t="s">
        <v>105</v>
      </c>
      <c r="E1198" s="6">
        <v>8500000</v>
      </c>
      <c r="F1198" s="19">
        <v>0.65</v>
      </c>
      <c r="G1198" s="18">
        <v>95</v>
      </c>
      <c r="H1198" s="20">
        <v>6.1</v>
      </c>
      <c r="I1198" s="24" t="str" cm="1">
        <f t="array" ref="I1198">_xlfn.IFS(
   AND(F1198&gt;=0,9, G1198&gt;=85), "Excelente",
   AND(F1198&gt;=0,8, G1198&gt;=70), "Bueno",
   OR(F1198&lt;0,6,  G1198&lt;50),  "Alerta",
   TRUE,           "Revisar")</f>
        <v>Excelente</v>
      </c>
      <c r="J1198" s="28">
        <f t="shared" si="18"/>
        <v>850000</v>
      </c>
    </row>
    <row r="1199" spans="1:10" ht="18" customHeight="1" x14ac:dyDescent="0.3">
      <c r="A1199" s="25" t="s">
        <v>2447</v>
      </c>
      <c r="B1199" s="8" t="s">
        <v>2448</v>
      </c>
      <c r="C1199" s="25" t="s">
        <v>91</v>
      </c>
      <c r="D1199" s="25" t="s">
        <v>105</v>
      </c>
      <c r="E1199" s="9">
        <v>10200000</v>
      </c>
      <c r="F1199" s="26">
        <v>0.56999999999999995</v>
      </c>
      <c r="G1199" s="25">
        <v>100</v>
      </c>
      <c r="H1199" s="27">
        <v>5.8</v>
      </c>
      <c r="I1199" s="24" t="str" cm="1">
        <f t="array" ref="I1199">_xlfn.IFS(
   AND(F1199&gt;=0,9, G1199&gt;=85), "Excelente",
   AND(F1199&gt;=0,8, G1199&gt;=70), "Bueno",
   OR(F1199&lt;0,6,  G1199&lt;50),  "Alerta",
   TRUE,           "Revisar")</f>
        <v>Excelente</v>
      </c>
      <c r="J1199" s="28">
        <f t="shared" si="18"/>
        <v>1020000</v>
      </c>
    </row>
    <row r="1200" spans="1:10" ht="18" customHeight="1" x14ac:dyDescent="0.3">
      <c r="A1200" s="18" t="s">
        <v>2449</v>
      </c>
      <c r="B1200" s="5" t="s">
        <v>2450</v>
      </c>
      <c r="C1200" s="18" t="s">
        <v>74</v>
      </c>
      <c r="D1200" s="18" t="s">
        <v>68</v>
      </c>
      <c r="E1200" s="6">
        <v>6000000</v>
      </c>
      <c r="F1200" s="19">
        <v>0.81</v>
      </c>
      <c r="G1200" s="18">
        <v>93</v>
      </c>
      <c r="H1200" s="20">
        <v>0</v>
      </c>
      <c r="I1200" s="24" t="str" cm="1">
        <f t="array" ref="I1200">_xlfn.IFS(
   AND(F1200&gt;=0,9, G1200&gt;=85), "Excelente",
   AND(F1200&gt;=0,8, G1200&gt;=70), "Bueno",
   OR(F1200&lt;0,6,  G1200&lt;50),  "Alerta",
   TRUE,           "Revisar")</f>
        <v>Excelente</v>
      </c>
      <c r="J1200" s="28">
        <f t="shared" si="18"/>
        <v>600000</v>
      </c>
    </row>
    <row r="1201" spans="1:10" ht="18" customHeight="1" x14ac:dyDescent="0.3">
      <c r="A1201" s="25" t="s">
        <v>2451</v>
      </c>
      <c r="B1201" s="8" t="s">
        <v>2452</v>
      </c>
      <c r="C1201" s="25" t="s">
        <v>81</v>
      </c>
      <c r="D1201" s="25" t="s">
        <v>88</v>
      </c>
      <c r="E1201" s="9">
        <v>11000000</v>
      </c>
      <c r="F1201" s="26">
        <v>0.56999999999999995</v>
      </c>
      <c r="G1201" s="25">
        <v>55</v>
      </c>
      <c r="H1201" s="27">
        <v>13.8</v>
      </c>
      <c r="I1201" s="24" t="str" cm="1">
        <f t="array" ref="I1201">_xlfn.IFS(
   AND(F1201&gt;=0,9, G1201&gt;=85), "Excelente",
   AND(F1201&gt;=0,8, G1201&gt;=70), "Bueno",
   OR(F1201&lt;0,6,  G1201&lt;50),  "Alerta",
   TRUE,           "Revisar")</f>
        <v>Alerta</v>
      </c>
      <c r="J1201" s="28">
        <f t="shared" si="18"/>
        <v>0</v>
      </c>
    </row>
    <row r="1202" spans="1:10" ht="18" customHeight="1" x14ac:dyDescent="0.3">
      <c r="A1202" s="18" t="s">
        <v>2453</v>
      </c>
      <c r="B1202" s="5" t="s">
        <v>2454</v>
      </c>
      <c r="C1202" s="18" t="s">
        <v>71</v>
      </c>
      <c r="D1202" s="18" t="s">
        <v>60</v>
      </c>
      <c r="E1202" s="6">
        <v>3400000</v>
      </c>
      <c r="F1202" s="19">
        <v>0.73</v>
      </c>
      <c r="G1202" s="18">
        <v>99</v>
      </c>
      <c r="H1202" s="20">
        <v>17.7</v>
      </c>
      <c r="I1202" s="24" t="str" cm="1">
        <f t="array" ref="I1202">_xlfn.IFS(
   AND(F1202&gt;=0,9, G1202&gt;=85), "Excelente",
   AND(F1202&gt;=0,8, G1202&gt;=70), "Bueno",
   OR(F1202&lt;0,6,  G1202&lt;50),  "Alerta",
   TRUE,           "Revisar")</f>
        <v>Excelente</v>
      </c>
      <c r="J1202" s="28">
        <f t="shared" si="18"/>
        <v>340000</v>
      </c>
    </row>
    <row r="1203" spans="1:10" ht="18" customHeight="1" x14ac:dyDescent="0.3">
      <c r="A1203" s="25" t="s">
        <v>2455</v>
      </c>
      <c r="B1203" s="8" t="s">
        <v>2456</v>
      </c>
      <c r="C1203" s="25" t="s">
        <v>63</v>
      </c>
      <c r="D1203" s="25" t="s">
        <v>105</v>
      </c>
      <c r="E1203" s="9">
        <v>5400000</v>
      </c>
      <c r="F1203" s="26">
        <v>0.53</v>
      </c>
      <c r="G1203" s="25">
        <v>58</v>
      </c>
      <c r="H1203" s="27">
        <v>14</v>
      </c>
      <c r="I1203" s="24" t="str" cm="1">
        <f t="array" ref="I1203">_xlfn.IFS(
   AND(F1203&gt;=0,9, G1203&gt;=85), "Excelente",
   AND(F1203&gt;=0,8, G1203&gt;=70), "Bueno",
   OR(F1203&lt;0,6,  G1203&lt;50),  "Alerta",
   TRUE,           "Revisar")</f>
        <v>Alerta</v>
      </c>
      <c r="J1203" s="28">
        <f t="shared" si="18"/>
        <v>0</v>
      </c>
    </row>
    <row r="1204" spans="1:10" ht="18" customHeight="1" x14ac:dyDescent="0.3">
      <c r="A1204" s="18" t="s">
        <v>2457</v>
      </c>
      <c r="B1204" s="5" t="s">
        <v>2458</v>
      </c>
      <c r="C1204" s="18" t="s">
        <v>67</v>
      </c>
      <c r="D1204" s="18" t="s">
        <v>78</v>
      </c>
      <c r="E1204" s="6">
        <v>7900000</v>
      </c>
      <c r="F1204" s="19">
        <v>0.6</v>
      </c>
      <c r="G1204" s="18">
        <v>49</v>
      </c>
      <c r="H1204" s="20">
        <v>13.5</v>
      </c>
      <c r="I1204" s="24" t="str" cm="1">
        <f t="array" ref="I1204">_xlfn.IFS(
   AND(F1204&gt;=0,9, G1204&gt;=85), "Excelente",
   AND(F1204&gt;=0,8, G1204&gt;=70), "Bueno",
   OR(F1204&lt;0,6,  G1204&lt;50),  "Alerta",
   TRUE,           "Revisar")</f>
        <v>Alerta</v>
      </c>
      <c r="J1204" s="28">
        <f t="shared" si="18"/>
        <v>0</v>
      </c>
    </row>
    <row r="1205" spans="1:10" ht="18" customHeight="1" x14ac:dyDescent="0.3">
      <c r="A1205" s="25" t="s">
        <v>2459</v>
      </c>
      <c r="B1205" s="8" t="s">
        <v>2460</v>
      </c>
      <c r="C1205" s="25" t="s">
        <v>71</v>
      </c>
      <c r="D1205" s="25" t="s">
        <v>60</v>
      </c>
      <c r="E1205" s="9">
        <v>3100000</v>
      </c>
      <c r="F1205" s="26">
        <v>1</v>
      </c>
      <c r="G1205" s="25">
        <v>33</v>
      </c>
      <c r="H1205" s="27">
        <v>11.7</v>
      </c>
      <c r="I1205" s="24" t="str" cm="1">
        <f t="array" ref="I1205">_xlfn.IFS(
   AND(F1205&gt;=0,9, G1205&gt;=85), "Excelente",
   AND(F1205&gt;=0,8, G1205&gt;=70), "Bueno",
   OR(F1205&lt;0,6,  G1205&lt;50),  "Alerta",
   TRUE,           "Revisar")</f>
        <v>Alerta</v>
      </c>
      <c r="J1205" s="28">
        <f t="shared" si="18"/>
        <v>0</v>
      </c>
    </row>
    <row r="1206" spans="1:10" ht="18" customHeight="1" x14ac:dyDescent="0.3">
      <c r="A1206" s="18" t="s">
        <v>2461</v>
      </c>
      <c r="B1206" s="5" t="s">
        <v>2462</v>
      </c>
      <c r="C1206" s="18" t="s">
        <v>71</v>
      </c>
      <c r="D1206" s="18" t="s">
        <v>64</v>
      </c>
      <c r="E1206" s="6">
        <v>6400000</v>
      </c>
      <c r="F1206" s="19">
        <v>0.91</v>
      </c>
      <c r="G1206" s="18">
        <v>74</v>
      </c>
      <c r="H1206" s="20">
        <v>19.2</v>
      </c>
      <c r="I1206" s="24" t="str" cm="1">
        <f t="array" ref="I1206">_xlfn.IFS(
   AND(F1206&gt;=0,9, G1206&gt;=85), "Excelente",
   AND(F1206&gt;=0,8, G1206&gt;=70), "Bueno",
   OR(F1206&lt;0,6,  G1206&lt;50),  "Alerta",
   TRUE,           "Revisar")</f>
        <v>Bueno</v>
      </c>
      <c r="J1206" s="28">
        <f t="shared" si="18"/>
        <v>640000</v>
      </c>
    </row>
    <row r="1207" spans="1:10" ht="18" customHeight="1" x14ac:dyDescent="0.3">
      <c r="A1207" s="25" t="s">
        <v>2463</v>
      </c>
      <c r="B1207" s="8" t="s">
        <v>2464</v>
      </c>
      <c r="C1207" s="25" t="s">
        <v>63</v>
      </c>
      <c r="D1207" s="25" t="s">
        <v>78</v>
      </c>
      <c r="E1207" s="9">
        <v>3500000</v>
      </c>
      <c r="F1207" s="26">
        <v>0.51</v>
      </c>
      <c r="G1207" s="25">
        <v>79</v>
      </c>
      <c r="H1207" s="27">
        <v>10.1</v>
      </c>
      <c r="I1207" s="24" t="str" cm="1">
        <f t="array" ref="I1207">_xlfn.IFS(
   AND(F1207&gt;=0,9, G1207&gt;=85), "Excelente",
   AND(F1207&gt;=0,8, G1207&gt;=70), "Bueno",
   OR(F1207&lt;0,6,  G1207&lt;50),  "Alerta",
   TRUE,           "Revisar")</f>
        <v>Bueno</v>
      </c>
      <c r="J1207" s="28">
        <f t="shared" si="18"/>
        <v>350000</v>
      </c>
    </row>
    <row r="1208" spans="1:10" ht="18" customHeight="1" x14ac:dyDescent="0.3">
      <c r="A1208" s="18" t="s">
        <v>2465</v>
      </c>
      <c r="B1208" s="5" t="s">
        <v>2466</v>
      </c>
      <c r="C1208" s="18" t="s">
        <v>91</v>
      </c>
      <c r="D1208" s="18" t="s">
        <v>105</v>
      </c>
      <c r="E1208" s="6">
        <v>8400000</v>
      </c>
      <c r="F1208" s="19">
        <v>0.69</v>
      </c>
      <c r="G1208" s="18">
        <v>66</v>
      </c>
      <c r="H1208" s="20">
        <v>7.8</v>
      </c>
      <c r="I1208" s="24" t="str" cm="1">
        <f t="array" ref="I1208">_xlfn.IFS(
   AND(F1208&gt;=0,9, G1208&gt;=85), "Excelente",
   AND(F1208&gt;=0,8, G1208&gt;=70), "Bueno",
   OR(F1208&lt;0,6,  G1208&lt;50),  "Alerta",
   TRUE,           "Revisar")</f>
        <v>Alerta</v>
      </c>
      <c r="J1208" s="28">
        <f t="shared" si="18"/>
        <v>0</v>
      </c>
    </row>
    <row r="1209" spans="1:10" ht="18" customHeight="1" x14ac:dyDescent="0.3">
      <c r="A1209" s="25" t="s">
        <v>2467</v>
      </c>
      <c r="B1209" s="8" t="s">
        <v>2468</v>
      </c>
      <c r="C1209" s="25" t="s">
        <v>59</v>
      </c>
      <c r="D1209" s="25" t="s">
        <v>78</v>
      </c>
      <c r="E1209" s="9">
        <v>3800000</v>
      </c>
      <c r="F1209" s="26">
        <v>0.9</v>
      </c>
      <c r="G1209" s="25">
        <v>84</v>
      </c>
      <c r="H1209" s="27">
        <v>19.7</v>
      </c>
      <c r="I1209" s="24" t="str" cm="1">
        <f t="array" ref="I1209">_xlfn.IFS(
   AND(F1209&gt;=0,9, G1209&gt;=85), "Excelente",
   AND(F1209&gt;=0,8, G1209&gt;=70), "Bueno",
   OR(F1209&lt;0,6,  G1209&lt;50),  "Alerta",
   TRUE,           "Revisar")</f>
        <v>Bueno</v>
      </c>
      <c r="J1209" s="28">
        <f t="shared" si="18"/>
        <v>380000</v>
      </c>
    </row>
    <row r="1210" spans="1:10" ht="18" customHeight="1" x14ac:dyDescent="0.3">
      <c r="A1210" s="18" t="s">
        <v>2469</v>
      </c>
      <c r="B1210" s="5" t="s">
        <v>2470</v>
      </c>
      <c r="C1210" s="18" t="s">
        <v>59</v>
      </c>
      <c r="D1210" s="18" t="s">
        <v>60</v>
      </c>
      <c r="E1210" s="6">
        <v>8300000</v>
      </c>
      <c r="F1210" s="19">
        <v>0.66</v>
      </c>
      <c r="G1210" s="18">
        <v>56</v>
      </c>
      <c r="H1210" s="20">
        <v>10.7</v>
      </c>
      <c r="I1210" s="24" t="str" cm="1">
        <f t="array" ref="I1210">_xlfn.IFS(
   AND(F1210&gt;=0,9, G1210&gt;=85), "Excelente",
   AND(F1210&gt;=0,8, G1210&gt;=70), "Bueno",
   OR(F1210&lt;0,6,  G1210&lt;50),  "Alerta",
   TRUE,           "Revisar")</f>
        <v>Alerta</v>
      </c>
      <c r="J1210" s="28">
        <f t="shared" si="18"/>
        <v>0</v>
      </c>
    </row>
    <row r="1211" spans="1:10" ht="18" customHeight="1" x14ac:dyDescent="0.3">
      <c r="A1211" s="25" t="s">
        <v>2471</v>
      </c>
      <c r="B1211" s="8" t="s">
        <v>2472</v>
      </c>
      <c r="C1211" s="25" t="s">
        <v>77</v>
      </c>
      <c r="D1211" s="25" t="s">
        <v>78</v>
      </c>
      <c r="E1211" s="9">
        <v>8200000</v>
      </c>
      <c r="F1211" s="26">
        <v>0.46</v>
      </c>
      <c r="G1211" s="25">
        <v>38</v>
      </c>
      <c r="H1211" s="27">
        <v>1.8</v>
      </c>
      <c r="I1211" s="24" t="str" cm="1">
        <f t="array" ref="I1211">_xlfn.IFS(
   AND(F1211&gt;=0,9, G1211&gt;=85), "Excelente",
   AND(F1211&gt;=0,8, G1211&gt;=70), "Bueno",
   OR(F1211&lt;0,6,  G1211&lt;50),  "Alerta",
   TRUE,           "Revisar")</f>
        <v>Alerta</v>
      </c>
      <c r="J1211" s="28">
        <f t="shared" si="18"/>
        <v>0</v>
      </c>
    </row>
    <row r="1212" spans="1:10" ht="18" customHeight="1" x14ac:dyDescent="0.3">
      <c r="A1212" s="18" t="s">
        <v>2473</v>
      </c>
      <c r="B1212" s="5" t="s">
        <v>2474</v>
      </c>
      <c r="C1212" s="18" t="s">
        <v>91</v>
      </c>
      <c r="D1212" s="18" t="s">
        <v>64</v>
      </c>
      <c r="E1212" s="6">
        <v>3600000</v>
      </c>
      <c r="F1212" s="19">
        <v>0.83</v>
      </c>
      <c r="G1212" s="18">
        <v>79</v>
      </c>
      <c r="H1212" s="20">
        <v>9.1999999999999993</v>
      </c>
      <c r="I1212" s="24" t="str" cm="1">
        <f t="array" ref="I1212">_xlfn.IFS(
   AND(F1212&gt;=0,9, G1212&gt;=85), "Excelente",
   AND(F1212&gt;=0,8, G1212&gt;=70), "Bueno",
   OR(F1212&lt;0,6,  G1212&lt;50),  "Alerta",
   TRUE,           "Revisar")</f>
        <v>Bueno</v>
      </c>
      <c r="J1212" s="28">
        <f t="shared" si="18"/>
        <v>360000</v>
      </c>
    </row>
    <row r="1213" spans="1:10" ht="18" customHeight="1" x14ac:dyDescent="0.3">
      <c r="A1213" s="25" t="s">
        <v>2475</v>
      </c>
      <c r="B1213" s="8" t="s">
        <v>2476</v>
      </c>
      <c r="C1213" s="25" t="s">
        <v>59</v>
      </c>
      <c r="D1213" s="25" t="s">
        <v>64</v>
      </c>
      <c r="E1213" s="9">
        <v>5400000</v>
      </c>
      <c r="F1213" s="26">
        <v>0.83</v>
      </c>
      <c r="G1213" s="25">
        <v>45</v>
      </c>
      <c r="H1213" s="27">
        <v>0.1</v>
      </c>
      <c r="I1213" s="24" t="str" cm="1">
        <f t="array" ref="I1213">_xlfn.IFS(
   AND(F1213&gt;=0,9, G1213&gt;=85), "Excelente",
   AND(F1213&gt;=0,8, G1213&gt;=70), "Bueno",
   OR(F1213&lt;0,6,  G1213&lt;50),  "Alerta",
   TRUE,           "Revisar")</f>
        <v>Alerta</v>
      </c>
      <c r="J1213" s="28">
        <f t="shared" si="18"/>
        <v>0</v>
      </c>
    </row>
    <row r="1214" spans="1:10" ht="18" customHeight="1" x14ac:dyDescent="0.3">
      <c r="A1214" s="18" t="s">
        <v>2477</v>
      </c>
      <c r="B1214" s="5" t="s">
        <v>2478</v>
      </c>
      <c r="C1214" s="18" t="s">
        <v>71</v>
      </c>
      <c r="D1214" s="18" t="s">
        <v>78</v>
      </c>
      <c r="E1214" s="6">
        <v>5000000</v>
      </c>
      <c r="F1214" s="19">
        <v>0.64</v>
      </c>
      <c r="G1214" s="18">
        <v>77</v>
      </c>
      <c r="H1214" s="20">
        <v>0.4</v>
      </c>
      <c r="I1214" s="24" t="str" cm="1">
        <f t="array" ref="I1214">_xlfn.IFS(
   AND(F1214&gt;=0,9, G1214&gt;=85), "Excelente",
   AND(F1214&gt;=0,8, G1214&gt;=70), "Bueno",
   OR(F1214&lt;0,6,  G1214&lt;50),  "Alerta",
   TRUE,           "Revisar")</f>
        <v>Bueno</v>
      </c>
      <c r="J1214" s="28">
        <f t="shared" si="18"/>
        <v>500000</v>
      </c>
    </row>
    <row r="1215" spans="1:10" ht="18" customHeight="1" x14ac:dyDescent="0.3">
      <c r="A1215" s="25" t="s">
        <v>2479</v>
      </c>
      <c r="B1215" s="8" t="s">
        <v>2480</v>
      </c>
      <c r="C1215" s="25" t="s">
        <v>67</v>
      </c>
      <c r="D1215" s="25" t="s">
        <v>64</v>
      </c>
      <c r="E1215" s="9">
        <v>11600000</v>
      </c>
      <c r="F1215" s="26">
        <v>0.65</v>
      </c>
      <c r="G1215" s="25">
        <v>89</v>
      </c>
      <c r="H1215" s="27">
        <v>14.4</v>
      </c>
      <c r="I1215" s="24" t="str" cm="1">
        <f t="array" ref="I1215">_xlfn.IFS(
   AND(F1215&gt;=0,9, G1215&gt;=85), "Excelente",
   AND(F1215&gt;=0,8, G1215&gt;=70), "Bueno",
   OR(F1215&lt;0,6,  G1215&lt;50),  "Alerta",
   TRUE,           "Revisar")</f>
        <v>Excelente</v>
      </c>
      <c r="J1215" s="28">
        <f t="shared" si="18"/>
        <v>1160000</v>
      </c>
    </row>
    <row r="1216" spans="1:10" ht="18" customHeight="1" x14ac:dyDescent="0.3">
      <c r="A1216" s="18" t="s">
        <v>2481</v>
      </c>
      <c r="B1216" s="5" t="s">
        <v>2482</v>
      </c>
      <c r="C1216" s="18" t="s">
        <v>77</v>
      </c>
      <c r="D1216" s="18" t="s">
        <v>114</v>
      </c>
      <c r="E1216" s="6">
        <v>11000000</v>
      </c>
      <c r="F1216" s="19">
        <v>0.67</v>
      </c>
      <c r="G1216" s="18">
        <v>67</v>
      </c>
      <c r="H1216" s="20">
        <v>13.3</v>
      </c>
      <c r="I1216" s="24" t="str" cm="1">
        <f t="array" ref="I1216">_xlfn.IFS(
   AND(F1216&gt;=0,9, G1216&gt;=85), "Excelente",
   AND(F1216&gt;=0,8, G1216&gt;=70), "Bueno",
   OR(F1216&lt;0,6,  G1216&lt;50),  "Alerta",
   TRUE,           "Revisar")</f>
        <v>Alerta</v>
      </c>
      <c r="J1216" s="28">
        <f t="shared" si="18"/>
        <v>0</v>
      </c>
    </row>
    <row r="1217" spans="1:10" ht="18" customHeight="1" x14ac:dyDescent="0.3">
      <c r="A1217" s="25" t="s">
        <v>2483</v>
      </c>
      <c r="B1217" s="8" t="s">
        <v>2484</v>
      </c>
      <c r="C1217" s="25" t="s">
        <v>67</v>
      </c>
      <c r="D1217" s="25" t="s">
        <v>60</v>
      </c>
      <c r="E1217" s="9">
        <v>10900000</v>
      </c>
      <c r="F1217" s="26">
        <v>0.81</v>
      </c>
      <c r="G1217" s="25">
        <v>67</v>
      </c>
      <c r="H1217" s="27">
        <v>8.8000000000000007</v>
      </c>
      <c r="I1217" s="24" t="str" cm="1">
        <f t="array" ref="I1217">_xlfn.IFS(
   AND(F1217&gt;=0,9, G1217&gt;=85), "Excelente",
   AND(F1217&gt;=0,8, G1217&gt;=70), "Bueno",
   OR(F1217&lt;0,6,  G1217&lt;50),  "Alerta",
   TRUE,           "Revisar")</f>
        <v>Alerta</v>
      </c>
      <c r="J1217" s="28">
        <f t="shared" si="18"/>
        <v>0</v>
      </c>
    </row>
    <row r="1218" spans="1:10" ht="18" customHeight="1" x14ac:dyDescent="0.3">
      <c r="A1218" s="18" t="s">
        <v>2485</v>
      </c>
      <c r="B1218" s="5" t="s">
        <v>2486</v>
      </c>
      <c r="C1218" s="18" t="s">
        <v>63</v>
      </c>
      <c r="D1218" s="18" t="s">
        <v>105</v>
      </c>
      <c r="E1218" s="6">
        <v>7900000</v>
      </c>
      <c r="F1218" s="19">
        <v>0.59</v>
      </c>
      <c r="G1218" s="18">
        <v>30</v>
      </c>
      <c r="H1218" s="20">
        <v>11.4</v>
      </c>
      <c r="I1218" s="24" t="str" cm="1">
        <f t="array" ref="I1218">_xlfn.IFS(
   AND(F1218&gt;=0,9, G1218&gt;=85), "Excelente",
   AND(F1218&gt;=0,8, G1218&gt;=70), "Bueno",
   OR(F1218&lt;0,6,  G1218&lt;50),  "Alerta",
   TRUE,           "Revisar")</f>
        <v>Alerta</v>
      </c>
      <c r="J1218" s="28">
        <f t="shared" si="18"/>
        <v>0</v>
      </c>
    </row>
    <row r="1219" spans="1:10" ht="18" customHeight="1" x14ac:dyDescent="0.3">
      <c r="A1219" s="25" t="s">
        <v>2487</v>
      </c>
      <c r="B1219" s="8" t="s">
        <v>2488</v>
      </c>
      <c r="C1219" s="25" t="s">
        <v>67</v>
      </c>
      <c r="D1219" s="25" t="s">
        <v>60</v>
      </c>
      <c r="E1219" s="9">
        <v>8300000</v>
      </c>
      <c r="F1219" s="26">
        <v>0.52</v>
      </c>
      <c r="G1219" s="25">
        <v>42</v>
      </c>
      <c r="H1219" s="27">
        <v>14.5</v>
      </c>
      <c r="I1219" s="24" t="str" cm="1">
        <f t="array" ref="I1219">_xlfn.IFS(
   AND(F1219&gt;=0,9, G1219&gt;=85), "Excelente",
   AND(F1219&gt;=0,8, G1219&gt;=70), "Bueno",
   OR(F1219&lt;0,6,  G1219&lt;50),  "Alerta",
   TRUE,           "Revisar")</f>
        <v>Alerta</v>
      </c>
      <c r="J1219" s="28">
        <f t="shared" si="18"/>
        <v>0</v>
      </c>
    </row>
    <row r="1220" spans="1:10" ht="18" customHeight="1" x14ac:dyDescent="0.3">
      <c r="A1220" s="18" t="s">
        <v>2489</v>
      </c>
      <c r="B1220" s="5" t="s">
        <v>2490</v>
      </c>
      <c r="C1220" s="18" t="s">
        <v>71</v>
      </c>
      <c r="D1220" s="18" t="s">
        <v>64</v>
      </c>
      <c r="E1220" s="6">
        <v>7900000</v>
      </c>
      <c r="F1220" s="19">
        <v>0.81</v>
      </c>
      <c r="G1220" s="18">
        <v>65</v>
      </c>
      <c r="H1220" s="20">
        <v>16</v>
      </c>
      <c r="I1220" s="24" t="str" cm="1">
        <f t="array" ref="I1220">_xlfn.IFS(
   AND(F1220&gt;=0,9, G1220&gt;=85), "Excelente",
   AND(F1220&gt;=0,8, G1220&gt;=70), "Bueno",
   OR(F1220&lt;0,6,  G1220&lt;50),  "Alerta",
   TRUE,           "Revisar")</f>
        <v>Alerta</v>
      </c>
      <c r="J1220" s="28">
        <f t="shared" si="18"/>
        <v>0</v>
      </c>
    </row>
    <row r="1221" spans="1:10" ht="18" customHeight="1" x14ac:dyDescent="0.3">
      <c r="A1221" s="25" t="s">
        <v>2491</v>
      </c>
      <c r="B1221" s="8" t="s">
        <v>2492</v>
      </c>
      <c r="C1221" s="25" t="s">
        <v>71</v>
      </c>
      <c r="D1221" s="25" t="s">
        <v>114</v>
      </c>
      <c r="E1221" s="9">
        <v>8900000</v>
      </c>
      <c r="F1221" s="26">
        <v>0.51</v>
      </c>
      <c r="G1221" s="25">
        <v>39</v>
      </c>
      <c r="H1221" s="27">
        <v>16.7</v>
      </c>
      <c r="I1221" s="24" t="str" cm="1">
        <f t="array" ref="I1221">_xlfn.IFS(
   AND(F1221&gt;=0,9, G1221&gt;=85), "Excelente",
   AND(F1221&gt;=0,8, G1221&gt;=70), "Bueno",
   OR(F1221&lt;0,6,  G1221&lt;50),  "Alerta",
   TRUE,           "Revisar")</f>
        <v>Alerta</v>
      </c>
      <c r="J1221" s="28">
        <f t="shared" si="18"/>
        <v>0</v>
      </c>
    </row>
    <row r="1222" spans="1:10" ht="18" customHeight="1" x14ac:dyDescent="0.3">
      <c r="A1222" s="18" t="s">
        <v>2493</v>
      </c>
      <c r="B1222" s="5" t="s">
        <v>2494</v>
      </c>
      <c r="C1222" s="18" t="s">
        <v>74</v>
      </c>
      <c r="D1222" s="18" t="s">
        <v>78</v>
      </c>
      <c r="E1222" s="6">
        <v>10300000</v>
      </c>
      <c r="F1222" s="19">
        <v>0.56999999999999995</v>
      </c>
      <c r="G1222" s="18">
        <v>30</v>
      </c>
      <c r="H1222" s="20">
        <v>13.9</v>
      </c>
      <c r="I1222" s="24" t="str" cm="1">
        <f t="array" ref="I1222">_xlfn.IFS(
   AND(F1222&gt;=0,9, G1222&gt;=85), "Excelente",
   AND(F1222&gt;=0,8, G1222&gt;=70), "Bueno",
   OR(F1222&lt;0,6,  G1222&lt;50),  "Alerta",
   TRUE,           "Revisar")</f>
        <v>Alerta</v>
      </c>
      <c r="J1222" s="28">
        <f t="shared" si="18"/>
        <v>0</v>
      </c>
    </row>
    <row r="1223" spans="1:10" ht="18" customHeight="1" x14ac:dyDescent="0.3">
      <c r="A1223" s="25" t="s">
        <v>2495</v>
      </c>
      <c r="B1223" s="8" t="s">
        <v>2496</v>
      </c>
      <c r="C1223" s="25" t="s">
        <v>63</v>
      </c>
      <c r="D1223" s="25" t="s">
        <v>60</v>
      </c>
      <c r="E1223" s="9">
        <v>11400000</v>
      </c>
      <c r="F1223" s="26">
        <v>0.95</v>
      </c>
      <c r="G1223" s="25">
        <v>63</v>
      </c>
      <c r="H1223" s="27">
        <v>5.6</v>
      </c>
      <c r="I1223" s="24" t="str" cm="1">
        <f t="array" ref="I1223">_xlfn.IFS(
   AND(F1223&gt;=0,9, G1223&gt;=85), "Excelente",
   AND(F1223&gt;=0,8, G1223&gt;=70), "Bueno",
   OR(F1223&lt;0,6,  G1223&lt;50),  "Alerta",
   TRUE,           "Revisar")</f>
        <v>Alerta</v>
      </c>
      <c r="J1223" s="28">
        <f t="shared" si="18"/>
        <v>0</v>
      </c>
    </row>
    <row r="1224" spans="1:10" ht="18" customHeight="1" x14ac:dyDescent="0.3">
      <c r="A1224" s="18" t="s">
        <v>2497</v>
      </c>
      <c r="B1224" s="5" t="s">
        <v>2498</v>
      </c>
      <c r="C1224" s="18" t="s">
        <v>59</v>
      </c>
      <c r="D1224" s="18" t="s">
        <v>88</v>
      </c>
      <c r="E1224" s="6">
        <v>8900000</v>
      </c>
      <c r="F1224" s="19">
        <v>0.85</v>
      </c>
      <c r="G1224" s="18">
        <v>37</v>
      </c>
      <c r="H1224" s="20">
        <v>17.3</v>
      </c>
      <c r="I1224" s="24" t="str" cm="1">
        <f t="array" ref="I1224">_xlfn.IFS(
   AND(F1224&gt;=0,9, G1224&gt;=85), "Excelente",
   AND(F1224&gt;=0,8, G1224&gt;=70), "Bueno",
   OR(F1224&lt;0,6,  G1224&lt;50),  "Alerta",
   TRUE,           "Revisar")</f>
        <v>Alerta</v>
      </c>
      <c r="J1224" s="28">
        <f t="shared" si="18"/>
        <v>0</v>
      </c>
    </row>
    <row r="1225" spans="1:10" ht="18" customHeight="1" x14ac:dyDescent="0.3">
      <c r="A1225" s="25" t="s">
        <v>2499</v>
      </c>
      <c r="B1225" s="8" t="s">
        <v>2500</v>
      </c>
      <c r="C1225" s="25" t="s">
        <v>74</v>
      </c>
      <c r="D1225" s="25" t="s">
        <v>114</v>
      </c>
      <c r="E1225" s="9">
        <v>11500000</v>
      </c>
      <c r="F1225" s="26">
        <v>0.7</v>
      </c>
      <c r="G1225" s="25">
        <v>50</v>
      </c>
      <c r="H1225" s="27">
        <v>2.7</v>
      </c>
      <c r="I1225" s="24" t="str" cm="1">
        <f t="array" ref="I1225">_xlfn.IFS(
   AND(F1225&gt;=0,9, G1225&gt;=85), "Excelente",
   AND(F1225&gt;=0,8, G1225&gt;=70), "Bueno",
   OR(F1225&lt;0,6,  G1225&lt;50),  "Alerta",
   TRUE,           "Revisar")</f>
        <v>Alerta</v>
      </c>
      <c r="J1225" s="28">
        <f t="shared" si="18"/>
        <v>0</v>
      </c>
    </row>
    <row r="1226" spans="1:10" ht="18" customHeight="1" x14ac:dyDescent="0.3">
      <c r="A1226" s="18" t="s">
        <v>2501</v>
      </c>
      <c r="B1226" s="5" t="s">
        <v>2502</v>
      </c>
      <c r="C1226" s="18" t="s">
        <v>77</v>
      </c>
      <c r="D1226" s="18" t="s">
        <v>64</v>
      </c>
      <c r="E1226" s="6">
        <v>7300000</v>
      </c>
      <c r="F1226" s="19">
        <v>0.52</v>
      </c>
      <c r="G1226" s="18">
        <v>41</v>
      </c>
      <c r="H1226" s="20">
        <v>10.5</v>
      </c>
      <c r="I1226" s="24" t="str" cm="1">
        <f t="array" ref="I1226">_xlfn.IFS(
   AND(F1226&gt;=0,9, G1226&gt;=85), "Excelente",
   AND(F1226&gt;=0,8, G1226&gt;=70), "Bueno",
   OR(F1226&lt;0,6,  G1226&lt;50),  "Alerta",
   TRUE,           "Revisar")</f>
        <v>Alerta</v>
      </c>
      <c r="J1226" s="28">
        <f t="shared" si="18"/>
        <v>0</v>
      </c>
    </row>
    <row r="1227" spans="1:10" ht="18" customHeight="1" x14ac:dyDescent="0.3">
      <c r="A1227" s="25" t="s">
        <v>2503</v>
      </c>
      <c r="B1227" s="8" t="s">
        <v>2504</v>
      </c>
      <c r="C1227" s="25" t="s">
        <v>63</v>
      </c>
      <c r="D1227" s="25" t="s">
        <v>68</v>
      </c>
      <c r="E1227" s="9">
        <v>5200000</v>
      </c>
      <c r="F1227" s="26">
        <v>0.6</v>
      </c>
      <c r="G1227" s="25">
        <v>36</v>
      </c>
      <c r="H1227" s="27">
        <v>14.6</v>
      </c>
      <c r="I1227" s="24" t="str" cm="1">
        <f t="array" ref="I1227">_xlfn.IFS(
   AND(F1227&gt;=0,9, G1227&gt;=85), "Excelente",
   AND(F1227&gt;=0,8, G1227&gt;=70), "Bueno",
   OR(F1227&lt;0,6,  G1227&lt;50),  "Alerta",
   TRUE,           "Revisar")</f>
        <v>Alerta</v>
      </c>
      <c r="J1227" s="28">
        <f t="shared" si="18"/>
        <v>0</v>
      </c>
    </row>
    <row r="1228" spans="1:10" ht="18" customHeight="1" x14ac:dyDescent="0.3">
      <c r="A1228" s="18" t="s">
        <v>2505</v>
      </c>
      <c r="B1228" s="5" t="s">
        <v>2506</v>
      </c>
      <c r="C1228" s="18" t="s">
        <v>74</v>
      </c>
      <c r="D1228" s="18" t="s">
        <v>60</v>
      </c>
      <c r="E1228" s="6">
        <v>7500000</v>
      </c>
      <c r="F1228" s="19">
        <v>0.94</v>
      </c>
      <c r="G1228" s="18">
        <v>43</v>
      </c>
      <c r="H1228" s="20">
        <v>14.1</v>
      </c>
      <c r="I1228" s="24" t="str" cm="1">
        <f t="array" ref="I1228">_xlfn.IFS(
   AND(F1228&gt;=0,9, G1228&gt;=85), "Excelente",
   AND(F1228&gt;=0,8, G1228&gt;=70), "Bueno",
   OR(F1228&lt;0,6,  G1228&lt;50),  "Alerta",
   TRUE,           "Revisar")</f>
        <v>Alerta</v>
      </c>
      <c r="J1228" s="28">
        <f t="shared" ref="J1228:J1291" si="19">IF(OR(I1228="Excelente",I1228="Bueno"),E1228*0.1,0)</f>
        <v>0</v>
      </c>
    </row>
    <row r="1229" spans="1:10" ht="18" customHeight="1" x14ac:dyDescent="0.3">
      <c r="A1229" s="25" t="s">
        <v>2507</v>
      </c>
      <c r="B1229" s="8" t="s">
        <v>2508</v>
      </c>
      <c r="C1229" s="25" t="s">
        <v>77</v>
      </c>
      <c r="D1229" s="25" t="s">
        <v>88</v>
      </c>
      <c r="E1229" s="9">
        <v>10300000</v>
      </c>
      <c r="F1229" s="26">
        <v>0.68</v>
      </c>
      <c r="G1229" s="25">
        <v>51</v>
      </c>
      <c r="H1229" s="27">
        <v>5.6</v>
      </c>
      <c r="I1229" s="24" t="str" cm="1">
        <f t="array" ref="I1229">_xlfn.IFS(
   AND(F1229&gt;=0,9, G1229&gt;=85), "Excelente",
   AND(F1229&gt;=0,8, G1229&gt;=70), "Bueno",
   OR(F1229&lt;0,6,  G1229&lt;50),  "Alerta",
   TRUE,           "Revisar")</f>
        <v>Alerta</v>
      </c>
      <c r="J1229" s="28">
        <f t="shared" si="19"/>
        <v>0</v>
      </c>
    </row>
    <row r="1230" spans="1:10" ht="18" customHeight="1" x14ac:dyDescent="0.3">
      <c r="A1230" s="18" t="s">
        <v>2509</v>
      </c>
      <c r="B1230" s="5" t="s">
        <v>2510</v>
      </c>
      <c r="C1230" s="18" t="s">
        <v>77</v>
      </c>
      <c r="D1230" s="18" t="s">
        <v>78</v>
      </c>
      <c r="E1230" s="6">
        <v>6000000</v>
      </c>
      <c r="F1230" s="19">
        <v>0.66</v>
      </c>
      <c r="G1230" s="18">
        <v>94</v>
      </c>
      <c r="H1230" s="20">
        <v>18.5</v>
      </c>
      <c r="I1230" s="24" t="str" cm="1">
        <f t="array" ref="I1230">_xlfn.IFS(
   AND(F1230&gt;=0,9, G1230&gt;=85), "Excelente",
   AND(F1230&gt;=0,8, G1230&gt;=70), "Bueno",
   OR(F1230&lt;0,6,  G1230&lt;50),  "Alerta",
   TRUE,           "Revisar")</f>
        <v>Excelente</v>
      </c>
      <c r="J1230" s="28">
        <f t="shared" si="19"/>
        <v>600000</v>
      </c>
    </row>
    <row r="1231" spans="1:10" ht="18" customHeight="1" x14ac:dyDescent="0.3">
      <c r="A1231" s="25" t="s">
        <v>2511</v>
      </c>
      <c r="B1231" s="8" t="s">
        <v>2512</v>
      </c>
      <c r="C1231" s="25" t="s">
        <v>81</v>
      </c>
      <c r="D1231" s="25" t="s">
        <v>78</v>
      </c>
      <c r="E1231" s="9">
        <v>11600000</v>
      </c>
      <c r="F1231" s="26">
        <v>0.48</v>
      </c>
      <c r="G1231" s="25">
        <v>76</v>
      </c>
      <c r="H1231" s="27">
        <v>9.9</v>
      </c>
      <c r="I1231" s="24" t="str" cm="1">
        <f t="array" ref="I1231">_xlfn.IFS(
   AND(F1231&gt;=0,9, G1231&gt;=85), "Excelente",
   AND(F1231&gt;=0,8, G1231&gt;=70), "Bueno",
   OR(F1231&lt;0,6,  G1231&lt;50),  "Alerta",
   TRUE,           "Revisar")</f>
        <v>Bueno</v>
      </c>
      <c r="J1231" s="28">
        <f t="shared" si="19"/>
        <v>1160000</v>
      </c>
    </row>
    <row r="1232" spans="1:10" ht="18" customHeight="1" x14ac:dyDescent="0.3">
      <c r="A1232" s="18" t="s">
        <v>2513</v>
      </c>
      <c r="B1232" s="5" t="s">
        <v>2514</v>
      </c>
      <c r="C1232" s="18" t="s">
        <v>71</v>
      </c>
      <c r="D1232" s="18" t="s">
        <v>78</v>
      </c>
      <c r="E1232" s="6">
        <v>3800000</v>
      </c>
      <c r="F1232" s="19">
        <v>0.75</v>
      </c>
      <c r="G1232" s="18">
        <v>51</v>
      </c>
      <c r="H1232" s="20">
        <v>2.6</v>
      </c>
      <c r="I1232" s="24" t="str" cm="1">
        <f t="array" ref="I1232">_xlfn.IFS(
   AND(F1232&gt;=0,9, G1232&gt;=85), "Excelente",
   AND(F1232&gt;=0,8, G1232&gt;=70), "Bueno",
   OR(F1232&lt;0,6,  G1232&lt;50),  "Alerta",
   TRUE,           "Revisar")</f>
        <v>Alerta</v>
      </c>
      <c r="J1232" s="28">
        <f t="shared" si="19"/>
        <v>0</v>
      </c>
    </row>
    <row r="1233" spans="1:10" ht="18" customHeight="1" x14ac:dyDescent="0.3">
      <c r="A1233" s="25" t="s">
        <v>2515</v>
      </c>
      <c r="B1233" s="8" t="s">
        <v>2516</v>
      </c>
      <c r="C1233" s="25" t="s">
        <v>59</v>
      </c>
      <c r="D1233" s="25" t="s">
        <v>88</v>
      </c>
      <c r="E1233" s="9">
        <v>10000000</v>
      </c>
      <c r="F1233" s="26">
        <v>0.94</v>
      </c>
      <c r="G1233" s="25">
        <v>53</v>
      </c>
      <c r="H1233" s="27">
        <v>4.0999999999999996</v>
      </c>
      <c r="I1233" s="24" t="str" cm="1">
        <f t="array" ref="I1233">_xlfn.IFS(
   AND(F1233&gt;=0,9, G1233&gt;=85), "Excelente",
   AND(F1233&gt;=0,8, G1233&gt;=70), "Bueno",
   OR(F1233&lt;0,6,  G1233&lt;50),  "Alerta",
   TRUE,           "Revisar")</f>
        <v>Alerta</v>
      </c>
      <c r="J1233" s="28">
        <f t="shared" si="19"/>
        <v>0</v>
      </c>
    </row>
    <row r="1234" spans="1:10" ht="18" customHeight="1" x14ac:dyDescent="0.3">
      <c r="A1234" s="18" t="s">
        <v>2517</v>
      </c>
      <c r="B1234" s="5" t="s">
        <v>2518</v>
      </c>
      <c r="C1234" s="18" t="s">
        <v>74</v>
      </c>
      <c r="D1234" s="18" t="s">
        <v>64</v>
      </c>
      <c r="E1234" s="6">
        <v>10600000</v>
      </c>
      <c r="F1234" s="19">
        <v>1</v>
      </c>
      <c r="G1234" s="18">
        <v>82</v>
      </c>
      <c r="H1234" s="20">
        <v>7.2</v>
      </c>
      <c r="I1234" s="24" t="str" cm="1">
        <f t="array" ref="I1234">_xlfn.IFS(
   AND(F1234&gt;=0,9, G1234&gt;=85), "Excelente",
   AND(F1234&gt;=0,8, G1234&gt;=70), "Bueno",
   OR(F1234&lt;0,6,  G1234&lt;50),  "Alerta",
   TRUE,           "Revisar")</f>
        <v>Bueno</v>
      </c>
      <c r="J1234" s="28">
        <f t="shared" si="19"/>
        <v>1060000</v>
      </c>
    </row>
    <row r="1235" spans="1:10" ht="18" customHeight="1" x14ac:dyDescent="0.3">
      <c r="A1235" s="25" t="s">
        <v>2519</v>
      </c>
      <c r="B1235" s="8" t="s">
        <v>2520</v>
      </c>
      <c r="C1235" s="25" t="s">
        <v>81</v>
      </c>
      <c r="D1235" s="25" t="s">
        <v>60</v>
      </c>
      <c r="E1235" s="9">
        <v>11400000</v>
      </c>
      <c r="F1235" s="26">
        <v>0.51</v>
      </c>
      <c r="G1235" s="25">
        <v>65</v>
      </c>
      <c r="H1235" s="27">
        <v>12.4</v>
      </c>
      <c r="I1235" s="24" t="str" cm="1">
        <f t="array" ref="I1235">_xlfn.IFS(
   AND(F1235&gt;=0,9, G1235&gt;=85), "Excelente",
   AND(F1235&gt;=0,8, G1235&gt;=70), "Bueno",
   OR(F1235&lt;0,6,  G1235&lt;50),  "Alerta",
   TRUE,           "Revisar")</f>
        <v>Alerta</v>
      </c>
      <c r="J1235" s="28">
        <f t="shared" si="19"/>
        <v>0</v>
      </c>
    </row>
    <row r="1236" spans="1:10" ht="18" customHeight="1" x14ac:dyDescent="0.3">
      <c r="A1236" s="18" t="s">
        <v>2521</v>
      </c>
      <c r="B1236" s="5" t="s">
        <v>2522</v>
      </c>
      <c r="C1236" s="18" t="s">
        <v>67</v>
      </c>
      <c r="D1236" s="18" t="s">
        <v>78</v>
      </c>
      <c r="E1236" s="6">
        <v>2800000</v>
      </c>
      <c r="F1236" s="19">
        <v>0.67</v>
      </c>
      <c r="G1236" s="18">
        <v>87</v>
      </c>
      <c r="H1236" s="20">
        <v>4.8</v>
      </c>
      <c r="I1236" s="24" t="str" cm="1">
        <f t="array" ref="I1236">_xlfn.IFS(
   AND(F1236&gt;=0,9, G1236&gt;=85), "Excelente",
   AND(F1236&gt;=0,8, G1236&gt;=70), "Bueno",
   OR(F1236&lt;0,6,  G1236&lt;50),  "Alerta",
   TRUE,           "Revisar")</f>
        <v>Excelente</v>
      </c>
      <c r="J1236" s="28">
        <f t="shared" si="19"/>
        <v>280000</v>
      </c>
    </row>
    <row r="1237" spans="1:10" ht="18" customHeight="1" x14ac:dyDescent="0.3">
      <c r="A1237" s="25" t="s">
        <v>2523</v>
      </c>
      <c r="B1237" s="8" t="s">
        <v>2524</v>
      </c>
      <c r="C1237" s="25" t="s">
        <v>74</v>
      </c>
      <c r="D1237" s="25" t="s">
        <v>88</v>
      </c>
      <c r="E1237" s="9">
        <v>10400000</v>
      </c>
      <c r="F1237" s="26">
        <v>0.54</v>
      </c>
      <c r="G1237" s="25">
        <v>32</v>
      </c>
      <c r="H1237" s="27">
        <v>18.100000000000001</v>
      </c>
      <c r="I1237" s="24" t="str" cm="1">
        <f t="array" ref="I1237">_xlfn.IFS(
   AND(F1237&gt;=0,9, G1237&gt;=85), "Excelente",
   AND(F1237&gt;=0,8, G1237&gt;=70), "Bueno",
   OR(F1237&lt;0,6,  G1237&lt;50),  "Alerta",
   TRUE,           "Revisar")</f>
        <v>Alerta</v>
      </c>
      <c r="J1237" s="28">
        <f t="shared" si="19"/>
        <v>0</v>
      </c>
    </row>
    <row r="1238" spans="1:10" ht="18" customHeight="1" x14ac:dyDescent="0.3">
      <c r="A1238" s="18" t="s">
        <v>2525</v>
      </c>
      <c r="B1238" s="5" t="s">
        <v>2526</v>
      </c>
      <c r="C1238" s="18" t="s">
        <v>59</v>
      </c>
      <c r="D1238" s="18" t="s">
        <v>92</v>
      </c>
      <c r="E1238" s="6">
        <v>8300000</v>
      </c>
      <c r="F1238" s="19">
        <v>0.47</v>
      </c>
      <c r="G1238" s="18">
        <v>76</v>
      </c>
      <c r="H1238" s="20">
        <v>16.399999999999999</v>
      </c>
      <c r="I1238" s="24" t="str" cm="1">
        <f t="array" ref="I1238">_xlfn.IFS(
   AND(F1238&gt;=0,9, G1238&gt;=85), "Excelente",
   AND(F1238&gt;=0,8, G1238&gt;=70), "Bueno",
   OR(F1238&lt;0,6,  G1238&lt;50),  "Alerta",
   TRUE,           "Revisar")</f>
        <v>Bueno</v>
      </c>
      <c r="J1238" s="28">
        <f t="shared" si="19"/>
        <v>830000</v>
      </c>
    </row>
    <row r="1239" spans="1:10" ht="18" customHeight="1" x14ac:dyDescent="0.3">
      <c r="A1239" s="25" t="s">
        <v>2527</v>
      </c>
      <c r="B1239" s="8" t="s">
        <v>2528</v>
      </c>
      <c r="C1239" s="25" t="s">
        <v>67</v>
      </c>
      <c r="D1239" s="25" t="s">
        <v>88</v>
      </c>
      <c r="E1239" s="9">
        <v>10100000</v>
      </c>
      <c r="F1239" s="26">
        <v>0.56000000000000005</v>
      </c>
      <c r="G1239" s="25">
        <v>45</v>
      </c>
      <c r="H1239" s="27">
        <v>17.899999999999999</v>
      </c>
      <c r="I1239" s="24" t="str" cm="1">
        <f t="array" ref="I1239">_xlfn.IFS(
   AND(F1239&gt;=0,9, G1239&gt;=85), "Excelente",
   AND(F1239&gt;=0,8, G1239&gt;=70), "Bueno",
   OR(F1239&lt;0,6,  G1239&lt;50),  "Alerta",
   TRUE,           "Revisar")</f>
        <v>Alerta</v>
      </c>
      <c r="J1239" s="28">
        <f t="shared" si="19"/>
        <v>0</v>
      </c>
    </row>
    <row r="1240" spans="1:10" ht="18" customHeight="1" x14ac:dyDescent="0.3">
      <c r="A1240" s="18" t="s">
        <v>2529</v>
      </c>
      <c r="B1240" s="5" t="s">
        <v>2530</v>
      </c>
      <c r="C1240" s="18" t="s">
        <v>81</v>
      </c>
      <c r="D1240" s="18" t="s">
        <v>60</v>
      </c>
      <c r="E1240" s="6">
        <v>8600000</v>
      </c>
      <c r="F1240" s="19">
        <v>0.81</v>
      </c>
      <c r="G1240" s="18">
        <v>68</v>
      </c>
      <c r="H1240" s="20">
        <v>4.7</v>
      </c>
      <c r="I1240" s="24" t="str" cm="1">
        <f t="array" ref="I1240">_xlfn.IFS(
   AND(F1240&gt;=0,9, G1240&gt;=85), "Excelente",
   AND(F1240&gt;=0,8, G1240&gt;=70), "Bueno",
   OR(F1240&lt;0,6,  G1240&lt;50),  "Alerta",
   TRUE,           "Revisar")</f>
        <v>Alerta</v>
      </c>
      <c r="J1240" s="28">
        <f t="shared" si="19"/>
        <v>0</v>
      </c>
    </row>
    <row r="1241" spans="1:10" ht="18" customHeight="1" x14ac:dyDescent="0.3">
      <c r="A1241" s="25" t="s">
        <v>2531</v>
      </c>
      <c r="B1241" s="8" t="s">
        <v>2532</v>
      </c>
      <c r="C1241" s="25" t="s">
        <v>71</v>
      </c>
      <c r="D1241" s="25" t="s">
        <v>64</v>
      </c>
      <c r="E1241" s="9">
        <v>7900000</v>
      </c>
      <c r="F1241" s="26">
        <v>0.56000000000000005</v>
      </c>
      <c r="G1241" s="25">
        <v>50</v>
      </c>
      <c r="H1241" s="27">
        <v>13.9</v>
      </c>
      <c r="I1241" s="24" t="str" cm="1">
        <f t="array" ref="I1241">_xlfn.IFS(
   AND(F1241&gt;=0,9, G1241&gt;=85), "Excelente",
   AND(F1241&gt;=0,8, G1241&gt;=70), "Bueno",
   OR(F1241&lt;0,6,  G1241&lt;50),  "Alerta",
   TRUE,           "Revisar")</f>
        <v>Alerta</v>
      </c>
      <c r="J1241" s="28">
        <f t="shared" si="19"/>
        <v>0</v>
      </c>
    </row>
    <row r="1242" spans="1:10" ht="18" customHeight="1" x14ac:dyDescent="0.3">
      <c r="A1242" s="18" t="s">
        <v>2533</v>
      </c>
      <c r="B1242" s="5" t="s">
        <v>2534</v>
      </c>
      <c r="C1242" s="18" t="s">
        <v>91</v>
      </c>
      <c r="D1242" s="18" t="s">
        <v>105</v>
      </c>
      <c r="E1242" s="6">
        <v>9700000</v>
      </c>
      <c r="F1242" s="19">
        <v>0.92</v>
      </c>
      <c r="G1242" s="18">
        <v>92</v>
      </c>
      <c r="H1242" s="20">
        <v>10.8</v>
      </c>
      <c r="I1242" s="24" t="str" cm="1">
        <f t="array" ref="I1242">_xlfn.IFS(
   AND(F1242&gt;=0,9, G1242&gt;=85), "Excelente",
   AND(F1242&gt;=0,8, G1242&gt;=70), "Bueno",
   OR(F1242&lt;0,6,  G1242&lt;50),  "Alerta",
   TRUE,           "Revisar")</f>
        <v>Excelente</v>
      </c>
      <c r="J1242" s="28">
        <f t="shared" si="19"/>
        <v>970000</v>
      </c>
    </row>
    <row r="1243" spans="1:10" ht="18" customHeight="1" x14ac:dyDescent="0.3">
      <c r="A1243" s="25" t="s">
        <v>2535</v>
      </c>
      <c r="B1243" s="8" t="s">
        <v>2536</v>
      </c>
      <c r="C1243" s="25" t="s">
        <v>77</v>
      </c>
      <c r="D1243" s="25" t="s">
        <v>105</v>
      </c>
      <c r="E1243" s="9">
        <v>7200000</v>
      </c>
      <c r="F1243" s="26">
        <v>0.86</v>
      </c>
      <c r="G1243" s="25">
        <v>49</v>
      </c>
      <c r="H1243" s="27">
        <v>7.2</v>
      </c>
      <c r="I1243" s="24" t="str" cm="1">
        <f t="array" ref="I1243">_xlfn.IFS(
   AND(F1243&gt;=0,9, G1243&gt;=85), "Excelente",
   AND(F1243&gt;=0,8, G1243&gt;=70), "Bueno",
   OR(F1243&lt;0,6,  G1243&lt;50),  "Alerta",
   TRUE,           "Revisar")</f>
        <v>Alerta</v>
      </c>
      <c r="J1243" s="28">
        <f t="shared" si="19"/>
        <v>0</v>
      </c>
    </row>
    <row r="1244" spans="1:10" ht="18" customHeight="1" x14ac:dyDescent="0.3">
      <c r="A1244" s="18" t="s">
        <v>2537</v>
      </c>
      <c r="B1244" s="5" t="s">
        <v>2538</v>
      </c>
      <c r="C1244" s="18" t="s">
        <v>77</v>
      </c>
      <c r="D1244" s="18" t="s">
        <v>78</v>
      </c>
      <c r="E1244" s="6">
        <v>8000000</v>
      </c>
      <c r="F1244" s="19">
        <v>0.62</v>
      </c>
      <c r="G1244" s="18">
        <v>97</v>
      </c>
      <c r="H1244" s="20">
        <v>2.7</v>
      </c>
      <c r="I1244" s="24" t="str" cm="1">
        <f t="array" ref="I1244">_xlfn.IFS(
   AND(F1244&gt;=0,9, G1244&gt;=85), "Excelente",
   AND(F1244&gt;=0,8, G1244&gt;=70), "Bueno",
   OR(F1244&lt;0,6,  G1244&lt;50),  "Alerta",
   TRUE,           "Revisar")</f>
        <v>Excelente</v>
      </c>
      <c r="J1244" s="28">
        <f t="shared" si="19"/>
        <v>800000</v>
      </c>
    </row>
    <row r="1245" spans="1:10" ht="18" customHeight="1" x14ac:dyDescent="0.3">
      <c r="A1245" s="25" t="s">
        <v>2539</v>
      </c>
      <c r="B1245" s="8" t="s">
        <v>2540</v>
      </c>
      <c r="C1245" s="25" t="s">
        <v>91</v>
      </c>
      <c r="D1245" s="25" t="s">
        <v>60</v>
      </c>
      <c r="E1245" s="9">
        <v>7000000</v>
      </c>
      <c r="F1245" s="26">
        <v>0.93</v>
      </c>
      <c r="G1245" s="25">
        <v>83</v>
      </c>
      <c r="H1245" s="27">
        <v>12.4</v>
      </c>
      <c r="I1245" s="24" t="str" cm="1">
        <f t="array" ref="I1245">_xlfn.IFS(
   AND(F1245&gt;=0,9, G1245&gt;=85), "Excelente",
   AND(F1245&gt;=0,8, G1245&gt;=70), "Bueno",
   OR(F1245&lt;0,6,  G1245&lt;50),  "Alerta",
   TRUE,           "Revisar")</f>
        <v>Bueno</v>
      </c>
      <c r="J1245" s="28">
        <f t="shared" si="19"/>
        <v>700000</v>
      </c>
    </row>
    <row r="1246" spans="1:10" ht="18" customHeight="1" x14ac:dyDescent="0.3">
      <c r="A1246" s="18" t="s">
        <v>2541</v>
      </c>
      <c r="B1246" s="5" t="s">
        <v>2542</v>
      </c>
      <c r="C1246" s="18" t="s">
        <v>67</v>
      </c>
      <c r="D1246" s="18" t="s">
        <v>105</v>
      </c>
      <c r="E1246" s="6">
        <v>10800000</v>
      </c>
      <c r="F1246" s="19">
        <v>0.53</v>
      </c>
      <c r="G1246" s="18">
        <v>69</v>
      </c>
      <c r="H1246" s="20">
        <v>5.9</v>
      </c>
      <c r="I1246" s="24" t="str" cm="1">
        <f t="array" ref="I1246">_xlfn.IFS(
   AND(F1246&gt;=0,9, G1246&gt;=85), "Excelente",
   AND(F1246&gt;=0,8, G1246&gt;=70), "Bueno",
   OR(F1246&lt;0,6,  G1246&lt;50),  "Alerta",
   TRUE,           "Revisar")</f>
        <v>Alerta</v>
      </c>
      <c r="J1246" s="28">
        <f t="shared" si="19"/>
        <v>0</v>
      </c>
    </row>
    <row r="1247" spans="1:10" ht="18" customHeight="1" x14ac:dyDescent="0.3">
      <c r="A1247" s="25" t="s">
        <v>2543</v>
      </c>
      <c r="B1247" s="8" t="s">
        <v>2544</v>
      </c>
      <c r="C1247" s="25" t="s">
        <v>81</v>
      </c>
      <c r="D1247" s="25" t="s">
        <v>60</v>
      </c>
      <c r="E1247" s="9">
        <v>8400000</v>
      </c>
      <c r="F1247" s="26">
        <v>0.72</v>
      </c>
      <c r="G1247" s="25">
        <v>30</v>
      </c>
      <c r="H1247" s="27">
        <v>11.2</v>
      </c>
      <c r="I1247" s="24" t="str" cm="1">
        <f t="array" ref="I1247">_xlfn.IFS(
   AND(F1247&gt;=0,9, G1247&gt;=85), "Excelente",
   AND(F1247&gt;=0,8, G1247&gt;=70), "Bueno",
   OR(F1247&lt;0,6,  G1247&lt;50),  "Alerta",
   TRUE,           "Revisar")</f>
        <v>Alerta</v>
      </c>
      <c r="J1247" s="28">
        <f t="shared" si="19"/>
        <v>0</v>
      </c>
    </row>
    <row r="1248" spans="1:10" ht="18" customHeight="1" x14ac:dyDescent="0.3">
      <c r="A1248" s="18" t="s">
        <v>2545</v>
      </c>
      <c r="B1248" s="5" t="s">
        <v>2546</v>
      </c>
      <c r="C1248" s="18" t="s">
        <v>63</v>
      </c>
      <c r="D1248" s="18" t="s">
        <v>105</v>
      </c>
      <c r="E1248" s="6">
        <v>6100000</v>
      </c>
      <c r="F1248" s="19">
        <v>0.79</v>
      </c>
      <c r="G1248" s="18">
        <v>32</v>
      </c>
      <c r="H1248" s="20">
        <v>7.5</v>
      </c>
      <c r="I1248" s="24" t="str" cm="1">
        <f t="array" ref="I1248">_xlfn.IFS(
   AND(F1248&gt;=0,9, G1248&gt;=85), "Excelente",
   AND(F1248&gt;=0,8, G1248&gt;=70), "Bueno",
   OR(F1248&lt;0,6,  G1248&lt;50),  "Alerta",
   TRUE,           "Revisar")</f>
        <v>Alerta</v>
      </c>
      <c r="J1248" s="28">
        <f t="shared" si="19"/>
        <v>0</v>
      </c>
    </row>
    <row r="1249" spans="1:10" ht="18" customHeight="1" x14ac:dyDescent="0.3">
      <c r="A1249" s="25" t="s">
        <v>2547</v>
      </c>
      <c r="B1249" s="8" t="s">
        <v>2548</v>
      </c>
      <c r="C1249" s="25" t="s">
        <v>74</v>
      </c>
      <c r="D1249" s="25" t="s">
        <v>68</v>
      </c>
      <c r="E1249" s="9">
        <v>7000000</v>
      </c>
      <c r="F1249" s="26">
        <v>0.71</v>
      </c>
      <c r="G1249" s="25">
        <v>37</v>
      </c>
      <c r="H1249" s="27">
        <v>17.899999999999999</v>
      </c>
      <c r="I1249" s="24" t="str" cm="1">
        <f t="array" ref="I1249">_xlfn.IFS(
   AND(F1249&gt;=0,9, G1249&gt;=85), "Excelente",
   AND(F1249&gt;=0,8, G1249&gt;=70), "Bueno",
   OR(F1249&lt;0,6,  G1249&lt;50),  "Alerta",
   TRUE,           "Revisar")</f>
        <v>Alerta</v>
      </c>
      <c r="J1249" s="28">
        <f t="shared" si="19"/>
        <v>0</v>
      </c>
    </row>
    <row r="1250" spans="1:10" ht="18" customHeight="1" x14ac:dyDescent="0.3">
      <c r="A1250" s="18" t="s">
        <v>2549</v>
      </c>
      <c r="B1250" s="5" t="s">
        <v>2550</v>
      </c>
      <c r="C1250" s="18" t="s">
        <v>71</v>
      </c>
      <c r="D1250" s="18" t="s">
        <v>78</v>
      </c>
      <c r="E1250" s="6">
        <v>5700000</v>
      </c>
      <c r="F1250" s="19">
        <v>0.64</v>
      </c>
      <c r="G1250" s="18">
        <v>62</v>
      </c>
      <c r="H1250" s="20">
        <v>15.9</v>
      </c>
      <c r="I1250" s="24" t="str" cm="1">
        <f t="array" ref="I1250">_xlfn.IFS(
   AND(F1250&gt;=0,9, G1250&gt;=85), "Excelente",
   AND(F1250&gt;=0,8, G1250&gt;=70), "Bueno",
   OR(F1250&lt;0,6,  G1250&lt;50),  "Alerta",
   TRUE,           "Revisar")</f>
        <v>Alerta</v>
      </c>
      <c r="J1250" s="28">
        <f t="shared" si="19"/>
        <v>0</v>
      </c>
    </row>
    <row r="1251" spans="1:10" ht="18" customHeight="1" x14ac:dyDescent="0.3">
      <c r="A1251" s="25" t="s">
        <v>2551</v>
      </c>
      <c r="B1251" s="8" t="s">
        <v>2552</v>
      </c>
      <c r="C1251" s="25" t="s">
        <v>59</v>
      </c>
      <c r="D1251" s="25" t="s">
        <v>68</v>
      </c>
      <c r="E1251" s="9">
        <v>3600000</v>
      </c>
      <c r="F1251" s="26">
        <v>0.68</v>
      </c>
      <c r="G1251" s="25">
        <v>100</v>
      </c>
      <c r="H1251" s="27">
        <v>9.4</v>
      </c>
      <c r="I1251" s="24" t="str" cm="1">
        <f t="array" ref="I1251">_xlfn.IFS(
   AND(F1251&gt;=0,9, G1251&gt;=85), "Excelente",
   AND(F1251&gt;=0,8, G1251&gt;=70), "Bueno",
   OR(F1251&lt;0,6,  G1251&lt;50),  "Alerta",
   TRUE,           "Revisar")</f>
        <v>Excelente</v>
      </c>
      <c r="J1251" s="28">
        <f t="shared" si="19"/>
        <v>360000</v>
      </c>
    </row>
    <row r="1252" spans="1:10" ht="18" customHeight="1" x14ac:dyDescent="0.3">
      <c r="A1252" s="18" t="s">
        <v>2553</v>
      </c>
      <c r="B1252" s="5" t="s">
        <v>2554</v>
      </c>
      <c r="C1252" s="18" t="s">
        <v>91</v>
      </c>
      <c r="D1252" s="18" t="s">
        <v>78</v>
      </c>
      <c r="E1252" s="6">
        <v>4500000</v>
      </c>
      <c r="F1252" s="19">
        <v>0.52</v>
      </c>
      <c r="G1252" s="18">
        <v>62</v>
      </c>
      <c r="H1252" s="20">
        <v>0.5</v>
      </c>
      <c r="I1252" s="24" t="str" cm="1">
        <f t="array" ref="I1252">_xlfn.IFS(
   AND(F1252&gt;=0,9, G1252&gt;=85), "Excelente",
   AND(F1252&gt;=0,8, G1252&gt;=70), "Bueno",
   OR(F1252&lt;0,6,  G1252&lt;50),  "Alerta",
   TRUE,           "Revisar")</f>
        <v>Alerta</v>
      </c>
      <c r="J1252" s="28">
        <f t="shared" si="19"/>
        <v>0</v>
      </c>
    </row>
    <row r="1253" spans="1:10" ht="18" customHeight="1" x14ac:dyDescent="0.3">
      <c r="A1253" s="25" t="s">
        <v>2555</v>
      </c>
      <c r="B1253" s="8" t="s">
        <v>2556</v>
      </c>
      <c r="C1253" s="25" t="s">
        <v>59</v>
      </c>
      <c r="D1253" s="25" t="s">
        <v>78</v>
      </c>
      <c r="E1253" s="9">
        <v>11200000</v>
      </c>
      <c r="F1253" s="26">
        <v>0.72</v>
      </c>
      <c r="G1253" s="25">
        <v>69</v>
      </c>
      <c r="H1253" s="27">
        <v>17.8</v>
      </c>
      <c r="I1253" s="24" t="str" cm="1">
        <f t="array" ref="I1253">_xlfn.IFS(
   AND(F1253&gt;=0,9, G1253&gt;=85), "Excelente",
   AND(F1253&gt;=0,8, G1253&gt;=70), "Bueno",
   OR(F1253&lt;0,6,  G1253&lt;50),  "Alerta",
   TRUE,           "Revisar")</f>
        <v>Alerta</v>
      </c>
      <c r="J1253" s="28">
        <f t="shared" si="19"/>
        <v>0</v>
      </c>
    </row>
    <row r="1254" spans="1:10" ht="18" customHeight="1" x14ac:dyDescent="0.3">
      <c r="A1254" s="18" t="s">
        <v>2557</v>
      </c>
      <c r="B1254" s="5" t="s">
        <v>2558</v>
      </c>
      <c r="C1254" s="18" t="s">
        <v>91</v>
      </c>
      <c r="D1254" s="18" t="s">
        <v>64</v>
      </c>
      <c r="E1254" s="6">
        <v>11900000</v>
      </c>
      <c r="F1254" s="19">
        <v>0.6</v>
      </c>
      <c r="G1254" s="18">
        <v>62</v>
      </c>
      <c r="H1254" s="20">
        <v>3.8</v>
      </c>
      <c r="I1254" s="24" t="str" cm="1">
        <f t="array" ref="I1254">_xlfn.IFS(
   AND(F1254&gt;=0,9, G1254&gt;=85), "Excelente",
   AND(F1254&gt;=0,8, G1254&gt;=70), "Bueno",
   OR(F1254&lt;0,6,  G1254&lt;50),  "Alerta",
   TRUE,           "Revisar")</f>
        <v>Alerta</v>
      </c>
      <c r="J1254" s="28">
        <f t="shared" si="19"/>
        <v>0</v>
      </c>
    </row>
    <row r="1255" spans="1:10" ht="18" customHeight="1" x14ac:dyDescent="0.3">
      <c r="A1255" s="25" t="s">
        <v>2559</v>
      </c>
      <c r="B1255" s="8" t="s">
        <v>2560</v>
      </c>
      <c r="C1255" s="25" t="s">
        <v>74</v>
      </c>
      <c r="D1255" s="25" t="s">
        <v>92</v>
      </c>
      <c r="E1255" s="9">
        <v>5200000</v>
      </c>
      <c r="F1255" s="26">
        <v>0.73</v>
      </c>
      <c r="G1255" s="25">
        <v>62</v>
      </c>
      <c r="H1255" s="27">
        <v>15.1</v>
      </c>
      <c r="I1255" s="24" t="str" cm="1">
        <f t="array" ref="I1255">_xlfn.IFS(
   AND(F1255&gt;=0,9, G1255&gt;=85), "Excelente",
   AND(F1255&gt;=0,8, G1255&gt;=70), "Bueno",
   OR(F1255&lt;0,6,  G1255&lt;50),  "Alerta",
   TRUE,           "Revisar")</f>
        <v>Alerta</v>
      </c>
      <c r="J1255" s="28">
        <f t="shared" si="19"/>
        <v>0</v>
      </c>
    </row>
    <row r="1256" spans="1:10" ht="18" customHeight="1" x14ac:dyDescent="0.3">
      <c r="A1256" s="18" t="s">
        <v>2561</v>
      </c>
      <c r="B1256" s="5" t="s">
        <v>2562</v>
      </c>
      <c r="C1256" s="18" t="s">
        <v>63</v>
      </c>
      <c r="D1256" s="18" t="s">
        <v>60</v>
      </c>
      <c r="E1256" s="6">
        <v>9000000</v>
      </c>
      <c r="F1256" s="19">
        <v>0.84</v>
      </c>
      <c r="G1256" s="18">
        <v>94</v>
      </c>
      <c r="H1256" s="20">
        <v>3.4</v>
      </c>
      <c r="I1256" s="24" t="str" cm="1">
        <f t="array" ref="I1256">_xlfn.IFS(
   AND(F1256&gt;=0,9, G1256&gt;=85), "Excelente",
   AND(F1256&gt;=0,8, G1256&gt;=70), "Bueno",
   OR(F1256&lt;0,6,  G1256&lt;50),  "Alerta",
   TRUE,           "Revisar")</f>
        <v>Excelente</v>
      </c>
      <c r="J1256" s="28">
        <f t="shared" si="19"/>
        <v>900000</v>
      </c>
    </row>
    <row r="1257" spans="1:10" ht="18" customHeight="1" x14ac:dyDescent="0.3">
      <c r="A1257" s="25" t="s">
        <v>2563</v>
      </c>
      <c r="B1257" s="8" t="s">
        <v>2564</v>
      </c>
      <c r="C1257" s="25" t="s">
        <v>67</v>
      </c>
      <c r="D1257" s="25" t="s">
        <v>68</v>
      </c>
      <c r="E1257" s="9">
        <v>6000000</v>
      </c>
      <c r="F1257" s="26">
        <v>0.67</v>
      </c>
      <c r="G1257" s="25">
        <v>31</v>
      </c>
      <c r="H1257" s="27">
        <v>6.8</v>
      </c>
      <c r="I1257" s="24" t="str" cm="1">
        <f t="array" ref="I1257">_xlfn.IFS(
   AND(F1257&gt;=0,9, G1257&gt;=85), "Excelente",
   AND(F1257&gt;=0,8, G1257&gt;=70), "Bueno",
   OR(F1257&lt;0,6,  G1257&lt;50),  "Alerta",
   TRUE,           "Revisar")</f>
        <v>Alerta</v>
      </c>
      <c r="J1257" s="28">
        <f t="shared" si="19"/>
        <v>0</v>
      </c>
    </row>
    <row r="1258" spans="1:10" ht="18" customHeight="1" x14ac:dyDescent="0.3">
      <c r="A1258" s="18" t="s">
        <v>2565</v>
      </c>
      <c r="B1258" s="5" t="s">
        <v>2566</v>
      </c>
      <c r="C1258" s="18" t="s">
        <v>67</v>
      </c>
      <c r="D1258" s="18" t="s">
        <v>92</v>
      </c>
      <c r="E1258" s="6">
        <v>10400000</v>
      </c>
      <c r="F1258" s="19">
        <v>0.62</v>
      </c>
      <c r="G1258" s="18">
        <v>31</v>
      </c>
      <c r="H1258" s="20">
        <v>11.6</v>
      </c>
      <c r="I1258" s="24" t="str" cm="1">
        <f t="array" ref="I1258">_xlfn.IFS(
   AND(F1258&gt;=0,9, G1258&gt;=85), "Excelente",
   AND(F1258&gt;=0,8, G1258&gt;=70), "Bueno",
   OR(F1258&lt;0,6,  G1258&lt;50),  "Alerta",
   TRUE,           "Revisar")</f>
        <v>Alerta</v>
      </c>
      <c r="J1258" s="28">
        <f t="shared" si="19"/>
        <v>0</v>
      </c>
    </row>
    <row r="1259" spans="1:10" ht="18" customHeight="1" x14ac:dyDescent="0.3">
      <c r="A1259" s="25" t="s">
        <v>2567</v>
      </c>
      <c r="B1259" s="8" t="s">
        <v>2568</v>
      </c>
      <c r="C1259" s="25" t="s">
        <v>91</v>
      </c>
      <c r="D1259" s="25" t="s">
        <v>105</v>
      </c>
      <c r="E1259" s="9">
        <v>4900000</v>
      </c>
      <c r="F1259" s="26">
        <v>0.79</v>
      </c>
      <c r="G1259" s="25">
        <v>77</v>
      </c>
      <c r="H1259" s="27">
        <v>0.5</v>
      </c>
      <c r="I1259" s="24" t="str" cm="1">
        <f t="array" ref="I1259">_xlfn.IFS(
   AND(F1259&gt;=0,9, G1259&gt;=85), "Excelente",
   AND(F1259&gt;=0,8, G1259&gt;=70), "Bueno",
   OR(F1259&lt;0,6,  G1259&lt;50),  "Alerta",
   TRUE,           "Revisar")</f>
        <v>Bueno</v>
      </c>
      <c r="J1259" s="28">
        <f t="shared" si="19"/>
        <v>490000</v>
      </c>
    </row>
    <row r="1260" spans="1:10" ht="18" customHeight="1" x14ac:dyDescent="0.3">
      <c r="A1260" s="18" t="s">
        <v>2569</v>
      </c>
      <c r="B1260" s="5" t="s">
        <v>2570</v>
      </c>
      <c r="C1260" s="18" t="s">
        <v>81</v>
      </c>
      <c r="D1260" s="18" t="s">
        <v>60</v>
      </c>
      <c r="E1260" s="6">
        <v>11900000</v>
      </c>
      <c r="F1260" s="19">
        <v>0.67</v>
      </c>
      <c r="G1260" s="18">
        <v>43</v>
      </c>
      <c r="H1260" s="20">
        <v>9.5</v>
      </c>
      <c r="I1260" s="24" t="str" cm="1">
        <f t="array" ref="I1260">_xlfn.IFS(
   AND(F1260&gt;=0,9, G1260&gt;=85), "Excelente",
   AND(F1260&gt;=0,8, G1260&gt;=70), "Bueno",
   OR(F1260&lt;0,6,  G1260&lt;50),  "Alerta",
   TRUE,           "Revisar")</f>
        <v>Alerta</v>
      </c>
      <c r="J1260" s="28">
        <f t="shared" si="19"/>
        <v>0</v>
      </c>
    </row>
    <row r="1261" spans="1:10" ht="18" customHeight="1" x14ac:dyDescent="0.3">
      <c r="A1261" s="25" t="s">
        <v>2571</v>
      </c>
      <c r="B1261" s="8" t="s">
        <v>2572</v>
      </c>
      <c r="C1261" s="25" t="s">
        <v>71</v>
      </c>
      <c r="D1261" s="25" t="s">
        <v>68</v>
      </c>
      <c r="E1261" s="9">
        <v>11200000</v>
      </c>
      <c r="F1261" s="26">
        <v>0.87</v>
      </c>
      <c r="G1261" s="25">
        <v>66</v>
      </c>
      <c r="H1261" s="27">
        <v>5.3</v>
      </c>
      <c r="I1261" s="24" t="str" cm="1">
        <f t="array" ref="I1261">_xlfn.IFS(
   AND(F1261&gt;=0,9, G1261&gt;=85), "Excelente",
   AND(F1261&gt;=0,8, G1261&gt;=70), "Bueno",
   OR(F1261&lt;0,6,  G1261&lt;50),  "Alerta",
   TRUE,           "Revisar")</f>
        <v>Alerta</v>
      </c>
      <c r="J1261" s="28">
        <f t="shared" si="19"/>
        <v>0</v>
      </c>
    </row>
    <row r="1262" spans="1:10" ht="18" customHeight="1" x14ac:dyDescent="0.3">
      <c r="A1262" s="18" t="s">
        <v>2573</v>
      </c>
      <c r="B1262" s="5" t="s">
        <v>2574</v>
      </c>
      <c r="C1262" s="18" t="s">
        <v>81</v>
      </c>
      <c r="D1262" s="18" t="s">
        <v>105</v>
      </c>
      <c r="E1262" s="6">
        <v>11300000</v>
      </c>
      <c r="F1262" s="19">
        <v>0.46</v>
      </c>
      <c r="G1262" s="18">
        <v>85</v>
      </c>
      <c r="H1262" s="20">
        <v>3.9</v>
      </c>
      <c r="I1262" s="24" t="str" cm="1">
        <f t="array" ref="I1262">_xlfn.IFS(
   AND(F1262&gt;=0,9, G1262&gt;=85), "Excelente",
   AND(F1262&gt;=0,8, G1262&gt;=70), "Bueno",
   OR(F1262&lt;0,6,  G1262&lt;50),  "Alerta",
   TRUE,           "Revisar")</f>
        <v>Excelente</v>
      </c>
      <c r="J1262" s="28">
        <f t="shared" si="19"/>
        <v>1130000</v>
      </c>
    </row>
    <row r="1263" spans="1:10" ht="18" customHeight="1" x14ac:dyDescent="0.3">
      <c r="A1263" s="25" t="s">
        <v>2575</v>
      </c>
      <c r="B1263" s="8" t="s">
        <v>2576</v>
      </c>
      <c r="C1263" s="25" t="s">
        <v>59</v>
      </c>
      <c r="D1263" s="25" t="s">
        <v>92</v>
      </c>
      <c r="E1263" s="9">
        <v>8800000</v>
      </c>
      <c r="F1263" s="26">
        <v>0.8</v>
      </c>
      <c r="G1263" s="25">
        <v>35</v>
      </c>
      <c r="H1263" s="27">
        <v>10.5</v>
      </c>
      <c r="I1263" s="24" t="str" cm="1">
        <f t="array" ref="I1263">_xlfn.IFS(
   AND(F1263&gt;=0,9, G1263&gt;=85), "Excelente",
   AND(F1263&gt;=0,8, G1263&gt;=70), "Bueno",
   OR(F1263&lt;0,6,  G1263&lt;50),  "Alerta",
   TRUE,           "Revisar")</f>
        <v>Alerta</v>
      </c>
      <c r="J1263" s="28">
        <f t="shared" si="19"/>
        <v>0</v>
      </c>
    </row>
    <row r="1264" spans="1:10" ht="18" customHeight="1" x14ac:dyDescent="0.3">
      <c r="A1264" s="18" t="s">
        <v>2577</v>
      </c>
      <c r="B1264" s="5" t="s">
        <v>2578</v>
      </c>
      <c r="C1264" s="18" t="s">
        <v>63</v>
      </c>
      <c r="D1264" s="18" t="s">
        <v>92</v>
      </c>
      <c r="E1264" s="6">
        <v>3400000</v>
      </c>
      <c r="F1264" s="19">
        <v>0.99</v>
      </c>
      <c r="G1264" s="18">
        <v>57</v>
      </c>
      <c r="H1264" s="20">
        <v>8.4</v>
      </c>
      <c r="I1264" s="24" t="str" cm="1">
        <f t="array" ref="I1264">_xlfn.IFS(
   AND(F1264&gt;=0,9, G1264&gt;=85), "Excelente",
   AND(F1264&gt;=0,8, G1264&gt;=70), "Bueno",
   OR(F1264&lt;0,6,  G1264&lt;50),  "Alerta",
   TRUE,           "Revisar")</f>
        <v>Alerta</v>
      </c>
      <c r="J1264" s="28">
        <f t="shared" si="19"/>
        <v>0</v>
      </c>
    </row>
    <row r="1265" spans="1:10" ht="18" customHeight="1" x14ac:dyDescent="0.3">
      <c r="A1265" s="25" t="s">
        <v>2579</v>
      </c>
      <c r="B1265" s="8" t="s">
        <v>2580</v>
      </c>
      <c r="C1265" s="25" t="s">
        <v>71</v>
      </c>
      <c r="D1265" s="25" t="s">
        <v>64</v>
      </c>
      <c r="E1265" s="9">
        <v>6900000</v>
      </c>
      <c r="F1265" s="26">
        <v>0.85</v>
      </c>
      <c r="G1265" s="25">
        <v>75</v>
      </c>
      <c r="H1265" s="27">
        <v>0.7</v>
      </c>
      <c r="I1265" s="24" t="str" cm="1">
        <f t="array" ref="I1265">_xlfn.IFS(
   AND(F1265&gt;=0,9, G1265&gt;=85), "Excelente",
   AND(F1265&gt;=0,8, G1265&gt;=70), "Bueno",
   OR(F1265&lt;0,6,  G1265&lt;50),  "Alerta",
   TRUE,           "Revisar")</f>
        <v>Bueno</v>
      </c>
      <c r="J1265" s="28">
        <f t="shared" si="19"/>
        <v>690000</v>
      </c>
    </row>
    <row r="1266" spans="1:10" ht="18" customHeight="1" x14ac:dyDescent="0.3">
      <c r="A1266" s="18" t="s">
        <v>2581</v>
      </c>
      <c r="B1266" s="5" t="s">
        <v>2582</v>
      </c>
      <c r="C1266" s="18" t="s">
        <v>81</v>
      </c>
      <c r="D1266" s="18" t="s">
        <v>92</v>
      </c>
      <c r="E1266" s="6">
        <v>10500000</v>
      </c>
      <c r="F1266" s="19">
        <v>0.46</v>
      </c>
      <c r="G1266" s="18">
        <v>60</v>
      </c>
      <c r="H1266" s="20">
        <v>2.2000000000000002</v>
      </c>
      <c r="I1266" s="24" t="str" cm="1">
        <f t="array" ref="I1266">_xlfn.IFS(
   AND(F1266&gt;=0,9, G1266&gt;=85), "Excelente",
   AND(F1266&gt;=0,8, G1266&gt;=70), "Bueno",
   OR(F1266&lt;0,6,  G1266&lt;50),  "Alerta",
   TRUE,           "Revisar")</f>
        <v>Alerta</v>
      </c>
      <c r="J1266" s="28">
        <f t="shared" si="19"/>
        <v>0</v>
      </c>
    </row>
    <row r="1267" spans="1:10" ht="18" customHeight="1" x14ac:dyDescent="0.3">
      <c r="A1267" s="25" t="s">
        <v>2583</v>
      </c>
      <c r="B1267" s="8" t="s">
        <v>2584</v>
      </c>
      <c r="C1267" s="25" t="s">
        <v>71</v>
      </c>
      <c r="D1267" s="25" t="s">
        <v>68</v>
      </c>
      <c r="E1267" s="9">
        <v>7400000</v>
      </c>
      <c r="F1267" s="26">
        <v>0.69</v>
      </c>
      <c r="G1267" s="25">
        <v>42</v>
      </c>
      <c r="H1267" s="27">
        <v>5.8</v>
      </c>
      <c r="I1267" s="24" t="str" cm="1">
        <f t="array" ref="I1267">_xlfn.IFS(
   AND(F1267&gt;=0,9, G1267&gt;=85), "Excelente",
   AND(F1267&gt;=0,8, G1267&gt;=70), "Bueno",
   OR(F1267&lt;0,6,  G1267&lt;50),  "Alerta",
   TRUE,           "Revisar")</f>
        <v>Alerta</v>
      </c>
      <c r="J1267" s="28">
        <f t="shared" si="19"/>
        <v>0</v>
      </c>
    </row>
    <row r="1268" spans="1:10" ht="18" customHeight="1" x14ac:dyDescent="0.3">
      <c r="A1268" s="18" t="s">
        <v>2585</v>
      </c>
      <c r="B1268" s="5" t="s">
        <v>2586</v>
      </c>
      <c r="C1268" s="18" t="s">
        <v>71</v>
      </c>
      <c r="D1268" s="18" t="s">
        <v>92</v>
      </c>
      <c r="E1268" s="6">
        <v>2800000</v>
      </c>
      <c r="F1268" s="19">
        <v>0.69</v>
      </c>
      <c r="G1268" s="18">
        <v>74</v>
      </c>
      <c r="H1268" s="20">
        <v>6.3</v>
      </c>
      <c r="I1268" s="24" t="str" cm="1">
        <f t="array" ref="I1268">_xlfn.IFS(
   AND(F1268&gt;=0,9, G1268&gt;=85), "Excelente",
   AND(F1268&gt;=0,8, G1268&gt;=70), "Bueno",
   OR(F1268&lt;0,6,  G1268&lt;50),  "Alerta",
   TRUE,           "Revisar")</f>
        <v>Bueno</v>
      </c>
      <c r="J1268" s="28">
        <f t="shared" si="19"/>
        <v>280000</v>
      </c>
    </row>
    <row r="1269" spans="1:10" ht="18" customHeight="1" x14ac:dyDescent="0.3">
      <c r="A1269" s="25" t="s">
        <v>2587</v>
      </c>
      <c r="B1269" s="8" t="s">
        <v>2588</v>
      </c>
      <c r="C1269" s="25" t="s">
        <v>59</v>
      </c>
      <c r="D1269" s="25" t="s">
        <v>92</v>
      </c>
      <c r="E1269" s="9">
        <v>6700000</v>
      </c>
      <c r="F1269" s="26">
        <v>0.96</v>
      </c>
      <c r="G1269" s="25">
        <v>61</v>
      </c>
      <c r="H1269" s="27">
        <v>0.8</v>
      </c>
      <c r="I1269" s="24" t="str" cm="1">
        <f t="array" ref="I1269">_xlfn.IFS(
   AND(F1269&gt;=0,9, G1269&gt;=85), "Excelente",
   AND(F1269&gt;=0,8, G1269&gt;=70), "Bueno",
   OR(F1269&lt;0,6,  G1269&lt;50),  "Alerta",
   TRUE,           "Revisar")</f>
        <v>Alerta</v>
      </c>
      <c r="J1269" s="28">
        <f t="shared" si="19"/>
        <v>0</v>
      </c>
    </row>
    <row r="1270" spans="1:10" ht="18" customHeight="1" x14ac:dyDescent="0.3">
      <c r="A1270" s="18" t="s">
        <v>2589</v>
      </c>
      <c r="B1270" s="5" t="s">
        <v>2590</v>
      </c>
      <c r="C1270" s="18" t="s">
        <v>91</v>
      </c>
      <c r="D1270" s="18" t="s">
        <v>78</v>
      </c>
      <c r="E1270" s="6">
        <v>12000000</v>
      </c>
      <c r="F1270" s="19">
        <v>0.63</v>
      </c>
      <c r="G1270" s="18">
        <v>64</v>
      </c>
      <c r="H1270" s="20">
        <v>4.7</v>
      </c>
      <c r="I1270" s="24" t="str" cm="1">
        <f t="array" ref="I1270">_xlfn.IFS(
   AND(F1270&gt;=0,9, G1270&gt;=85), "Excelente",
   AND(F1270&gt;=0,8, G1270&gt;=70), "Bueno",
   OR(F1270&lt;0,6,  G1270&lt;50),  "Alerta",
   TRUE,           "Revisar")</f>
        <v>Alerta</v>
      </c>
      <c r="J1270" s="28">
        <f t="shared" si="19"/>
        <v>0</v>
      </c>
    </row>
    <row r="1271" spans="1:10" ht="18" customHeight="1" x14ac:dyDescent="0.3">
      <c r="A1271" s="25" t="s">
        <v>2591</v>
      </c>
      <c r="B1271" s="8" t="s">
        <v>2592</v>
      </c>
      <c r="C1271" s="25" t="s">
        <v>77</v>
      </c>
      <c r="D1271" s="25" t="s">
        <v>105</v>
      </c>
      <c r="E1271" s="9">
        <v>2900000</v>
      </c>
      <c r="F1271" s="26">
        <v>0.74</v>
      </c>
      <c r="G1271" s="25">
        <v>72</v>
      </c>
      <c r="H1271" s="27">
        <v>5</v>
      </c>
      <c r="I1271" s="24" t="str" cm="1">
        <f t="array" ref="I1271">_xlfn.IFS(
   AND(F1271&gt;=0,9, G1271&gt;=85), "Excelente",
   AND(F1271&gt;=0,8, G1271&gt;=70), "Bueno",
   OR(F1271&lt;0,6,  G1271&lt;50),  "Alerta",
   TRUE,           "Revisar")</f>
        <v>Bueno</v>
      </c>
      <c r="J1271" s="28">
        <f t="shared" si="19"/>
        <v>290000</v>
      </c>
    </row>
    <row r="1272" spans="1:10" ht="18" customHeight="1" x14ac:dyDescent="0.3">
      <c r="A1272" s="18" t="s">
        <v>2593</v>
      </c>
      <c r="B1272" s="5" t="s">
        <v>2594</v>
      </c>
      <c r="C1272" s="18" t="s">
        <v>71</v>
      </c>
      <c r="D1272" s="18" t="s">
        <v>88</v>
      </c>
      <c r="E1272" s="6">
        <v>6900000</v>
      </c>
      <c r="F1272" s="19">
        <v>0.48</v>
      </c>
      <c r="G1272" s="18">
        <v>96</v>
      </c>
      <c r="H1272" s="20">
        <v>2.2999999999999998</v>
      </c>
      <c r="I1272" s="24" t="str" cm="1">
        <f t="array" ref="I1272">_xlfn.IFS(
   AND(F1272&gt;=0,9, G1272&gt;=85), "Excelente",
   AND(F1272&gt;=0,8, G1272&gt;=70), "Bueno",
   OR(F1272&lt;0,6,  G1272&lt;50),  "Alerta",
   TRUE,           "Revisar")</f>
        <v>Excelente</v>
      </c>
      <c r="J1272" s="28">
        <f t="shared" si="19"/>
        <v>690000</v>
      </c>
    </row>
    <row r="1273" spans="1:10" ht="18" customHeight="1" x14ac:dyDescent="0.3">
      <c r="A1273" s="25" t="s">
        <v>2595</v>
      </c>
      <c r="B1273" s="8" t="s">
        <v>2596</v>
      </c>
      <c r="C1273" s="25" t="s">
        <v>67</v>
      </c>
      <c r="D1273" s="25" t="s">
        <v>64</v>
      </c>
      <c r="E1273" s="9">
        <v>11600000</v>
      </c>
      <c r="F1273" s="26">
        <v>0.66</v>
      </c>
      <c r="G1273" s="25">
        <v>100</v>
      </c>
      <c r="H1273" s="27">
        <v>0.6</v>
      </c>
      <c r="I1273" s="24" t="str" cm="1">
        <f t="array" ref="I1273">_xlfn.IFS(
   AND(F1273&gt;=0,9, G1273&gt;=85), "Excelente",
   AND(F1273&gt;=0,8, G1273&gt;=70), "Bueno",
   OR(F1273&lt;0,6,  G1273&lt;50),  "Alerta",
   TRUE,           "Revisar")</f>
        <v>Excelente</v>
      </c>
      <c r="J1273" s="28">
        <f t="shared" si="19"/>
        <v>1160000</v>
      </c>
    </row>
    <row r="1274" spans="1:10" ht="18" customHeight="1" x14ac:dyDescent="0.3">
      <c r="A1274" s="18" t="s">
        <v>2597</v>
      </c>
      <c r="B1274" s="5" t="s">
        <v>2598</v>
      </c>
      <c r="C1274" s="18" t="s">
        <v>63</v>
      </c>
      <c r="D1274" s="18" t="s">
        <v>68</v>
      </c>
      <c r="E1274" s="6">
        <v>8400000</v>
      </c>
      <c r="F1274" s="19">
        <v>0.85</v>
      </c>
      <c r="G1274" s="18">
        <v>97</v>
      </c>
      <c r="H1274" s="20">
        <v>8.1999999999999993</v>
      </c>
      <c r="I1274" s="24" t="str" cm="1">
        <f t="array" ref="I1274">_xlfn.IFS(
   AND(F1274&gt;=0,9, G1274&gt;=85), "Excelente",
   AND(F1274&gt;=0,8, G1274&gt;=70), "Bueno",
   OR(F1274&lt;0,6,  G1274&lt;50),  "Alerta",
   TRUE,           "Revisar")</f>
        <v>Excelente</v>
      </c>
      <c r="J1274" s="28">
        <f t="shared" si="19"/>
        <v>840000</v>
      </c>
    </row>
    <row r="1275" spans="1:10" ht="18" customHeight="1" x14ac:dyDescent="0.3">
      <c r="A1275" s="25" t="s">
        <v>2599</v>
      </c>
      <c r="B1275" s="8" t="s">
        <v>2600</v>
      </c>
      <c r="C1275" s="25" t="s">
        <v>77</v>
      </c>
      <c r="D1275" s="25" t="s">
        <v>105</v>
      </c>
      <c r="E1275" s="9">
        <v>9500000</v>
      </c>
      <c r="F1275" s="26">
        <v>0.74</v>
      </c>
      <c r="G1275" s="25">
        <v>51</v>
      </c>
      <c r="H1275" s="27">
        <v>1.4</v>
      </c>
      <c r="I1275" s="24" t="str" cm="1">
        <f t="array" ref="I1275">_xlfn.IFS(
   AND(F1275&gt;=0,9, G1275&gt;=85), "Excelente",
   AND(F1275&gt;=0,8, G1275&gt;=70), "Bueno",
   OR(F1275&lt;0,6,  G1275&lt;50),  "Alerta",
   TRUE,           "Revisar")</f>
        <v>Alerta</v>
      </c>
      <c r="J1275" s="28">
        <f t="shared" si="19"/>
        <v>0</v>
      </c>
    </row>
    <row r="1276" spans="1:10" ht="18" customHeight="1" x14ac:dyDescent="0.3">
      <c r="A1276" s="18" t="s">
        <v>2601</v>
      </c>
      <c r="B1276" s="5" t="s">
        <v>2602</v>
      </c>
      <c r="C1276" s="18" t="s">
        <v>71</v>
      </c>
      <c r="D1276" s="18" t="s">
        <v>64</v>
      </c>
      <c r="E1276" s="6">
        <v>7900000</v>
      </c>
      <c r="F1276" s="19">
        <v>0.59</v>
      </c>
      <c r="G1276" s="18">
        <v>42</v>
      </c>
      <c r="H1276" s="20">
        <v>12.1</v>
      </c>
      <c r="I1276" s="24" t="str" cm="1">
        <f t="array" ref="I1276">_xlfn.IFS(
   AND(F1276&gt;=0,9, G1276&gt;=85), "Excelente",
   AND(F1276&gt;=0,8, G1276&gt;=70), "Bueno",
   OR(F1276&lt;0,6,  G1276&lt;50),  "Alerta",
   TRUE,           "Revisar")</f>
        <v>Alerta</v>
      </c>
      <c r="J1276" s="28">
        <f t="shared" si="19"/>
        <v>0</v>
      </c>
    </row>
    <row r="1277" spans="1:10" ht="18" customHeight="1" x14ac:dyDescent="0.3">
      <c r="A1277" s="25" t="s">
        <v>2603</v>
      </c>
      <c r="B1277" s="8" t="s">
        <v>2604</v>
      </c>
      <c r="C1277" s="25" t="s">
        <v>63</v>
      </c>
      <c r="D1277" s="25" t="s">
        <v>78</v>
      </c>
      <c r="E1277" s="9">
        <v>5700000</v>
      </c>
      <c r="F1277" s="26">
        <v>0.47</v>
      </c>
      <c r="G1277" s="25">
        <v>96</v>
      </c>
      <c r="H1277" s="27">
        <v>4.8</v>
      </c>
      <c r="I1277" s="24" t="str" cm="1">
        <f t="array" ref="I1277">_xlfn.IFS(
   AND(F1277&gt;=0,9, G1277&gt;=85), "Excelente",
   AND(F1277&gt;=0,8, G1277&gt;=70), "Bueno",
   OR(F1277&lt;0,6,  G1277&lt;50),  "Alerta",
   TRUE,           "Revisar")</f>
        <v>Excelente</v>
      </c>
      <c r="J1277" s="28">
        <f t="shared" si="19"/>
        <v>570000</v>
      </c>
    </row>
    <row r="1278" spans="1:10" ht="18" customHeight="1" x14ac:dyDescent="0.3">
      <c r="A1278" s="18" t="s">
        <v>2605</v>
      </c>
      <c r="B1278" s="5" t="s">
        <v>2606</v>
      </c>
      <c r="C1278" s="18" t="s">
        <v>81</v>
      </c>
      <c r="D1278" s="18" t="s">
        <v>88</v>
      </c>
      <c r="E1278" s="6">
        <v>10800000</v>
      </c>
      <c r="F1278" s="19">
        <v>0.51</v>
      </c>
      <c r="G1278" s="18">
        <v>44</v>
      </c>
      <c r="H1278" s="20">
        <v>14.9</v>
      </c>
      <c r="I1278" s="24" t="str" cm="1">
        <f t="array" ref="I1278">_xlfn.IFS(
   AND(F1278&gt;=0,9, G1278&gt;=85), "Excelente",
   AND(F1278&gt;=0,8, G1278&gt;=70), "Bueno",
   OR(F1278&lt;0,6,  G1278&lt;50),  "Alerta",
   TRUE,           "Revisar")</f>
        <v>Alerta</v>
      </c>
      <c r="J1278" s="28">
        <f t="shared" si="19"/>
        <v>0</v>
      </c>
    </row>
    <row r="1279" spans="1:10" ht="18" customHeight="1" x14ac:dyDescent="0.3">
      <c r="A1279" s="25" t="s">
        <v>2607</v>
      </c>
      <c r="B1279" s="8" t="s">
        <v>2608</v>
      </c>
      <c r="C1279" s="25" t="s">
        <v>63</v>
      </c>
      <c r="D1279" s="25" t="s">
        <v>105</v>
      </c>
      <c r="E1279" s="9">
        <v>7400000</v>
      </c>
      <c r="F1279" s="26">
        <v>0.94</v>
      </c>
      <c r="G1279" s="25">
        <v>90</v>
      </c>
      <c r="H1279" s="27">
        <v>19</v>
      </c>
      <c r="I1279" s="24" t="str" cm="1">
        <f t="array" ref="I1279">_xlfn.IFS(
   AND(F1279&gt;=0,9, G1279&gt;=85), "Excelente",
   AND(F1279&gt;=0,8, G1279&gt;=70), "Bueno",
   OR(F1279&lt;0,6,  G1279&lt;50),  "Alerta",
   TRUE,           "Revisar")</f>
        <v>Excelente</v>
      </c>
      <c r="J1279" s="28">
        <f t="shared" si="19"/>
        <v>740000</v>
      </c>
    </row>
    <row r="1280" spans="1:10" ht="18" customHeight="1" x14ac:dyDescent="0.3">
      <c r="A1280" s="18" t="s">
        <v>2609</v>
      </c>
      <c r="B1280" s="5" t="s">
        <v>2610</v>
      </c>
      <c r="C1280" s="18" t="s">
        <v>63</v>
      </c>
      <c r="D1280" s="18" t="s">
        <v>60</v>
      </c>
      <c r="E1280" s="6">
        <v>6000000</v>
      </c>
      <c r="F1280" s="19">
        <v>0.97</v>
      </c>
      <c r="G1280" s="18">
        <v>52</v>
      </c>
      <c r="H1280" s="20">
        <v>9.8000000000000007</v>
      </c>
      <c r="I1280" s="24" t="str" cm="1">
        <f t="array" ref="I1280">_xlfn.IFS(
   AND(F1280&gt;=0,9, G1280&gt;=85), "Excelente",
   AND(F1280&gt;=0,8, G1280&gt;=70), "Bueno",
   OR(F1280&lt;0,6,  G1280&lt;50),  "Alerta",
   TRUE,           "Revisar")</f>
        <v>Alerta</v>
      </c>
      <c r="J1280" s="28">
        <f t="shared" si="19"/>
        <v>0</v>
      </c>
    </row>
    <row r="1281" spans="1:10" ht="18" customHeight="1" x14ac:dyDescent="0.3">
      <c r="A1281" s="25" t="s">
        <v>2611</v>
      </c>
      <c r="B1281" s="8" t="s">
        <v>2612</v>
      </c>
      <c r="C1281" s="25" t="s">
        <v>71</v>
      </c>
      <c r="D1281" s="25" t="s">
        <v>60</v>
      </c>
      <c r="E1281" s="9">
        <v>11300000</v>
      </c>
      <c r="F1281" s="26">
        <v>0.59</v>
      </c>
      <c r="G1281" s="25">
        <v>43</v>
      </c>
      <c r="H1281" s="27">
        <v>0.2</v>
      </c>
      <c r="I1281" s="24" t="str" cm="1">
        <f t="array" ref="I1281">_xlfn.IFS(
   AND(F1281&gt;=0,9, G1281&gt;=85), "Excelente",
   AND(F1281&gt;=0,8, G1281&gt;=70), "Bueno",
   OR(F1281&lt;0,6,  G1281&lt;50),  "Alerta",
   TRUE,           "Revisar")</f>
        <v>Alerta</v>
      </c>
      <c r="J1281" s="28">
        <f t="shared" si="19"/>
        <v>0</v>
      </c>
    </row>
    <row r="1282" spans="1:10" ht="18" customHeight="1" x14ac:dyDescent="0.3">
      <c r="A1282" s="18" t="s">
        <v>2613</v>
      </c>
      <c r="B1282" s="5" t="s">
        <v>2614</v>
      </c>
      <c r="C1282" s="18" t="s">
        <v>91</v>
      </c>
      <c r="D1282" s="18" t="s">
        <v>105</v>
      </c>
      <c r="E1282" s="6">
        <v>4800000</v>
      </c>
      <c r="F1282" s="19">
        <v>0.66</v>
      </c>
      <c r="G1282" s="18">
        <v>50</v>
      </c>
      <c r="H1282" s="20">
        <v>14.3</v>
      </c>
      <c r="I1282" s="24" t="str" cm="1">
        <f t="array" ref="I1282">_xlfn.IFS(
   AND(F1282&gt;=0,9, G1282&gt;=85), "Excelente",
   AND(F1282&gt;=0,8, G1282&gt;=70), "Bueno",
   OR(F1282&lt;0,6,  G1282&lt;50),  "Alerta",
   TRUE,           "Revisar")</f>
        <v>Alerta</v>
      </c>
      <c r="J1282" s="28">
        <f t="shared" si="19"/>
        <v>0</v>
      </c>
    </row>
    <row r="1283" spans="1:10" ht="18" customHeight="1" x14ac:dyDescent="0.3">
      <c r="A1283" s="25" t="s">
        <v>2615</v>
      </c>
      <c r="B1283" s="8" t="s">
        <v>2616</v>
      </c>
      <c r="C1283" s="25" t="s">
        <v>63</v>
      </c>
      <c r="D1283" s="25" t="s">
        <v>105</v>
      </c>
      <c r="E1283" s="9">
        <v>8100000</v>
      </c>
      <c r="F1283" s="26">
        <v>0.81</v>
      </c>
      <c r="G1283" s="25">
        <v>76</v>
      </c>
      <c r="H1283" s="27">
        <v>7.1</v>
      </c>
      <c r="I1283" s="24" t="str" cm="1">
        <f t="array" ref="I1283">_xlfn.IFS(
   AND(F1283&gt;=0,9, G1283&gt;=85), "Excelente",
   AND(F1283&gt;=0,8, G1283&gt;=70), "Bueno",
   OR(F1283&lt;0,6,  G1283&lt;50),  "Alerta",
   TRUE,           "Revisar")</f>
        <v>Bueno</v>
      </c>
      <c r="J1283" s="28">
        <f t="shared" si="19"/>
        <v>810000</v>
      </c>
    </row>
    <row r="1284" spans="1:10" ht="18" customHeight="1" x14ac:dyDescent="0.3">
      <c r="A1284" s="18" t="s">
        <v>2617</v>
      </c>
      <c r="B1284" s="5" t="s">
        <v>2618</v>
      </c>
      <c r="C1284" s="18" t="s">
        <v>59</v>
      </c>
      <c r="D1284" s="18" t="s">
        <v>64</v>
      </c>
      <c r="E1284" s="6">
        <v>5300000</v>
      </c>
      <c r="F1284" s="19">
        <v>0.65</v>
      </c>
      <c r="G1284" s="18">
        <v>61</v>
      </c>
      <c r="H1284" s="20">
        <v>17.5</v>
      </c>
      <c r="I1284" s="24" t="str" cm="1">
        <f t="array" ref="I1284">_xlfn.IFS(
   AND(F1284&gt;=0,9, G1284&gt;=85), "Excelente",
   AND(F1284&gt;=0,8, G1284&gt;=70), "Bueno",
   OR(F1284&lt;0,6,  G1284&lt;50),  "Alerta",
   TRUE,           "Revisar")</f>
        <v>Alerta</v>
      </c>
      <c r="J1284" s="28">
        <f t="shared" si="19"/>
        <v>0</v>
      </c>
    </row>
    <row r="1285" spans="1:10" ht="18" customHeight="1" x14ac:dyDescent="0.3">
      <c r="A1285" s="25" t="s">
        <v>2619</v>
      </c>
      <c r="B1285" s="8" t="s">
        <v>2620</v>
      </c>
      <c r="C1285" s="25" t="s">
        <v>63</v>
      </c>
      <c r="D1285" s="25" t="s">
        <v>64</v>
      </c>
      <c r="E1285" s="9">
        <v>11500000</v>
      </c>
      <c r="F1285" s="26">
        <v>0.67</v>
      </c>
      <c r="G1285" s="25">
        <v>84</v>
      </c>
      <c r="H1285" s="27">
        <v>11.7</v>
      </c>
      <c r="I1285" s="24" t="str" cm="1">
        <f t="array" ref="I1285">_xlfn.IFS(
   AND(F1285&gt;=0,9, G1285&gt;=85), "Excelente",
   AND(F1285&gt;=0,8, G1285&gt;=70), "Bueno",
   OR(F1285&lt;0,6,  G1285&lt;50),  "Alerta",
   TRUE,           "Revisar")</f>
        <v>Bueno</v>
      </c>
      <c r="J1285" s="28">
        <f t="shared" si="19"/>
        <v>1150000</v>
      </c>
    </row>
    <row r="1286" spans="1:10" ht="18" customHeight="1" x14ac:dyDescent="0.3">
      <c r="A1286" s="18" t="s">
        <v>2621</v>
      </c>
      <c r="B1286" s="5" t="s">
        <v>2622</v>
      </c>
      <c r="C1286" s="18" t="s">
        <v>71</v>
      </c>
      <c r="D1286" s="18" t="s">
        <v>88</v>
      </c>
      <c r="E1286" s="6">
        <v>4200000</v>
      </c>
      <c r="F1286" s="19">
        <v>0.76</v>
      </c>
      <c r="G1286" s="18">
        <v>94</v>
      </c>
      <c r="H1286" s="20">
        <v>16.7</v>
      </c>
      <c r="I1286" s="24" t="str" cm="1">
        <f t="array" ref="I1286">_xlfn.IFS(
   AND(F1286&gt;=0,9, G1286&gt;=85), "Excelente",
   AND(F1286&gt;=0,8, G1286&gt;=70), "Bueno",
   OR(F1286&lt;0,6,  G1286&lt;50),  "Alerta",
   TRUE,           "Revisar")</f>
        <v>Excelente</v>
      </c>
      <c r="J1286" s="28">
        <f t="shared" si="19"/>
        <v>420000</v>
      </c>
    </row>
    <row r="1287" spans="1:10" ht="18" customHeight="1" x14ac:dyDescent="0.3">
      <c r="A1287" s="25" t="s">
        <v>2623</v>
      </c>
      <c r="B1287" s="8" t="s">
        <v>2624</v>
      </c>
      <c r="C1287" s="25" t="s">
        <v>71</v>
      </c>
      <c r="D1287" s="25" t="s">
        <v>88</v>
      </c>
      <c r="E1287" s="9">
        <v>4800000</v>
      </c>
      <c r="F1287" s="26">
        <v>0.95</v>
      </c>
      <c r="G1287" s="25">
        <v>40</v>
      </c>
      <c r="H1287" s="27">
        <v>16.899999999999999</v>
      </c>
      <c r="I1287" s="24" t="str" cm="1">
        <f t="array" ref="I1287">_xlfn.IFS(
   AND(F1287&gt;=0,9, G1287&gt;=85), "Excelente",
   AND(F1287&gt;=0,8, G1287&gt;=70), "Bueno",
   OR(F1287&lt;0,6,  G1287&lt;50),  "Alerta",
   TRUE,           "Revisar")</f>
        <v>Alerta</v>
      </c>
      <c r="J1287" s="28">
        <f t="shared" si="19"/>
        <v>0</v>
      </c>
    </row>
    <row r="1288" spans="1:10" ht="18" customHeight="1" x14ac:dyDescent="0.3">
      <c r="A1288" s="18" t="s">
        <v>2625</v>
      </c>
      <c r="B1288" s="5" t="s">
        <v>2626</v>
      </c>
      <c r="C1288" s="18" t="s">
        <v>71</v>
      </c>
      <c r="D1288" s="18" t="s">
        <v>92</v>
      </c>
      <c r="E1288" s="6">
        <v>7800000</v>
      </c>
      <c r="F1288" s="19">
        <v>0.73</v>
      </c>
      <c r="G1288" s="18">
        <v>65</v>
      </c>
      <c r="H1288" s="20">
        <v>5.8</v>
      </c>
      <c r="I1288" s="24" t="str" cm="1">
        <f t="array" ref="I1288">_xlfn.IFS(
   AND(F1288&gt;=0,9, G1288&gt;=85), "Excelente",
   AND(F1288&gt;=0,8, G1288&gt;=70), "Bueno",
   OR(F1288&lt;0,6,  G1288&lt;50),  "Alerta",
   TRUE,           "Revisar")</f>
        <v>Alerta</v>
      </c>
      <c r="J1288" s="28">
        <f t="shared" si="19"/>
        <v>0</v>
      </c>
    </row>
    <row r="1289" spans="1:10" ht="18" customHeight="1" x14ac:dyDescent="0.3">
      <c r="A1289" s="25" t="s">
        <v>2627</v>
      </c>
      <c r="B1289" s="8" t="s">
        <v>2628</v>
      </c>
      <c r="C1289" s="25" t="s">
        <v>59</v>
      </c>
      <c r="D1289" s="25" t="s">
        <v>114</v>
      </c>
      <c r="E1289" s="9">
        <v>11900000</v>
      </c>
      <c r="F1289" s="26">
        <v>0.77</v>
      </c>
      <c r="G1289" s="25">
        <v>36</v>
      </c>
      <c r="H1289" s="27">
        <v>6</v>
      </c>
      <c r="I1289" s="24" t="str" cm="1">
        <f t="array" ref="I1289">_xlfn.IFS(
   AND(F1289&gt;=0,9, G1289&gt;=85), "Excelente",
   AND(F1289&gt;=0,8, G1289&gt;=70), "Bueno",
   OR(F1289&lt;0,6,  G1289&lt;50),  "Alerta",
   TRUE,           "Revisar")</f>
        <v>Alerta</v>
      </c>
      <c r="J1289" s="28">
        <f t="shared" si="19"/>
        <v>0</v>
      </c>
    </row>
    <row r="1290" spans="1:10" ht="18" customHeight="1" x14ac:dyDescent="0.3">
      <c r="A1290" s="18" t="s">
        <v>2629</v>
      </c>
      <c r="B1290" s="5" t="s">
        <v>2630</v>
      </c>
      <c r="C1290" s="18" t="s">
        <v>77</v>
      </c>
      <c r="D1290" s="18" t="s">
        <v>114</v>
      </c>
      <c r="E1290" s="6">
        <v>4700000</v>
      </c>
      <c r="F1290" s="19">
        <v>0.54</v>
      </c>
      <c r="G1290" s="18">
        <v>84</v>
      </c>
      <c r="H1290" s="20">
        <v>6.1</v>
      </c>
      <c r="I1290" s="24" t="str" cm="1">
        <f t="array" ref="I1290">_xlfn.IFS(
   AND(F1290&gt;=0,9, G1290&gt;=85), "Excelente",
   AND(F1290&gt;=0,8, G1290&gt;=70), "Bueno",
   OR(F1290&lt;0,6,  G1290&lt;50),  "Alerta",
   TRUE,           "Revisar")</f>
        <v>Bueno</v>
      </c>
      <c r="J1290" s="28">
        <f t="shared" si="19"/>
        <v>470000</v>
      </c>
    </row>
    <row r="1291" spans="1:10" ht="18" customHeight="1" x14ac:dyDescent="0.3">
      <c r="A1291" s="25" t="s">
        <v>2631</v>
      </c>
      <c r="B1291" s="8" t="s">
        <v>2632</v>
      </c>
      <c r="C1291" s="25" t="s">
        <v>67</v>
      </c>
      <c r="D1291" s="25" t="s">
        <v>105</v>
      </c>
      <c r="E1291" s="9">
        <v>4700000</v>
      </c>
      <c r="F1291" s="26">
        <v>0.77</v>
      </c>
      <c r="G1291" s="25">
        <v>83</v>
      </c>
      <c r="H1291" s="27">
        <v>2.1</v>
      </c>
      <c r="I1291" s="24" t="str" cm="1">
        <f t="array" ref="I1291">_xlfn.IFS(
   AND(F1291&gt;=0,9, G1291&gt;=85), "Excelente",
   AND(F1291&gt;=0,8, G1291&gt;=70), "Bueno",
   OR(F1291&lt;0,6,  G1291&lt;50),  "Alerta",
   TRUE,           "Revisar")</f>
        <v>Bueno</v>
      </c>
      <c r="J1291" s="28">
        <f t="shared" si="19"/>
        <v>470000</v>
      </c>
    </row>
    <row r="1292" spans="1:10" ht="18" customHeight="1" x14ac:dyDescent="0.3">
      <c r="A1292" s="18" t="s">
        <v>2633</v>
      </c>
      <c r="B1292" s="5" t="s">
        <v>2634</v>
      </c>
      <c r="C1292" s="18" t="s">
        <v>63</v>
      </c>
      <c r="D1292" s="18" t="s">
        <v>78</v>
      </c>
      <c r="E1292" s="6">
        <v>10400000</v>
      </c>
      <c r="F1292" s="19">
        <v>0.85</v>
      </c>
      <c r="G1292" s="18">
        <v>31</v>
      </c>
      <c r="H1292" s="20">
        <v>9.6</v>
      </c>
      <c r="I1292" s="24" t="str" cm="1">
        <f t="array" ref="I1292">_xlfn.IFS(
   AND(F1292&gt;=0,9, G1292&gt;=85), "Excelente",
   AND(F1292&gt;=0,8, G1292&gt;=70), "Bueno",
   OR(F1292&lt;0,6,  G1292&lt;50),  "Alerta",
   TRUE,           "Revisar")</f>
        <v>Alerta</v>
      </c>
      <c r="J1292" s="28">
        <f t="shared" ref="J1292:J1355" si="20">IF(OR(I1292="Excelente",I1292="Bueno"),E1292*0.1,0)</f>
        <v>0</v>
      </c>
    </row>
    <row r="1293" spans="1:10" ht="18" customHeight="1" x14ac:dyDescent="0.3">
      <c r="A1293" s="25" t="s">
        <v>2635</v>
      </c>
      <c r="B1293" s="8" t="s">
        <v>2636</v>
      </c>
      <c r="C1293" s="25" t="s">
        <v>91</v>
      </c>
      <c r="D1293" s="25" t="s">
        <v>92</v>
      </c>
      <c r="E1293" s="9">
        <v>3300000</v>
      </c>
      <c r="F1293" s="26">
        <v>0.68</v>
      </c>
      <c r="G1293" s="25">
        <v>31</v>
      </c>
      <c r="H1293" s="27">
        <v>3.8</v>
      </c>
      <c r="I1293" s="24" t="str" cm="1">
        <f t="array" ref="I1293">_xlfn.IFS(
   AND(F1293&gt;=0,9, G1293&gt;=85), "Excelente",
   AND(F1293&gt;=0,8, G1293&gt;=70), "Bueno",
   OR(F1293&lt;0,6,  G1293&lt;50),  "Alerta",
   TRUE,           "Revisar")</f>
        <v>Alerta</v>
      </c>
      <c r="J1293" s="28">
        <f t="shared" si="20"/>
        <v>0</v>
      </c>
    </row>
    <row r="1294" spans="1:10" ht="18" customHeight="1" x14ac:dyDescent="0.3">
      <c r="A1294" s="18" t="s">
        <v>2637</v>
      </c>
      <c r="B1294" s="5" t="s">
        <v>2638</v>
      </c>
      <c r="C1294" s="18" t="s">
        <v>63</v>
      </c>
      <c r="D1294" s="18" t="s">
        <v>78</v>
      </c>
      <c r="E1294" s="6">
        <v>9200000</v>
      </c>
      <c r="F1294" s="19">
        <v>0.69</v>
      </c>
      <c r="G1294" s="18">
        <v>96</v>
      </c>
      <c r="H1294" s="20">
        <v>14.8</v>
      </c>
      <c r="I1294" s="24" t="str" cm="1">
        <f t="array" ref="I1294">_xlfn.IFS(
   AND(F1294&gt;=0,9, G1294&gt;=85), "Excelente",
   AND(F1294&gt;=0,8, G1294&gt;=70), "Bueno",
   OR(F1294&lt;0,6,  G1294&lt;50),  "Alerta",
   TRUE,           "Revisar")</f>
        <v>Excelente</v>
      </c>
      <c r="J1294" s="28">
        <f t="shared" si="20"/>
        <v>920000</v>
      </c>
    </row>
    <row r="1295" spans="1:10" ht="18" customHeight="1" x14ac:dyDescent="0.3">
      <c r="A1295" s="25" t="s">
        <v>2639</v>
      </c>
      <c r="B1295" s="8" t="s">
        <v>2640</v>
      </c>
      <c r="C1295" s="25" t="s">
        <v>81</v>
      </c>
      <c r="D1295" s="25" t="s">
        <v>78</v>
      </c>
      <c r="E1295" s="9">
        <v>7600000</v>
      </c>
      <c r="F1295" s="26">
        <v>0.75</v>
      </c>
      <c r="G1295" s="25">
        <v>47</v>
      </c>
      <c r="H1295" s="27">
        <v>0.1</v>
      </c>
      <c r="I1295" s="24" t="str" cm="1">
        <f t="array" ref="I1295">_xlfn.IFS(
   AND(F1295&gt;=0,9, G1295&gt;=85), "Excelente",
   AND(F1295&gt;=0,8, G1295&gt;=70), "Bueno",
   OR(F1295&lt;0,6,  G1295&lt;50),  "Alerta",
   TRUE,           "Revisar")</f>
        <v>Alerta</v>
      </c>
      <c r="J1295" s="28">
        <f t="shared" si="20"/>
        <v>0</v>
      </c>
    </row>
    <row r="1296" spans="1:10" ht="18" customHeight="1" x14ac:dyDescent="0.3">
      <c r="A1296" s="18" t="s">
        <v>2641</v>
      </c>
      <c r="B1296" s="5" t="s">
        <v>2642</v>
      </c>
      <c r="C1296" s="18" t="s">
        <v>81</v>
      </c>
      <c r="D1296" s="18" t="s">
        <v>105</v>
      </c>
      <c r="E1296" s="6">
        <v>9600000</v>
      </c>
      <c r="F1296" s="19">
        <v>1</v>
      </c>
      <c r="G1296" s="18">
        <v>85</v>
      </c>
      <c r="H1296" s="20">
        <v>1.6</v>
      </c>
      <c r="I1296" s="24" t="str" cm="1">
        <f t="array" ref="I1296">_xlfn.IFS(
   AND(F1296&gt;=0,9, G1296&gt;=85), "Excelente",
   AND(F1296&gt;=0,8, G1296&gt;=70), "Bueno",
   OR(F1296&lt;0,6,  G1296&lt;50),  "Alerta",
   TRUE,           "Revisar")</f>
        <v>Excelente</v>
      </c>
      <c r="J1296" s="28">
        <f t="shared" si="20"/>
        <v>960000</v>
      </c>
    </row>
    <row r="1297" spans="1:10" ht="18" customHeight="1" x14ac:dyDescent="0.3">
      <c r="A1297" s="25" t="s">
        <v>2643</v>
      </c>
      <c r="B1297" s="8" t="s">
        <v>2644</v>
      </c>
      <c r="C1297" s="25" t="s">
        <v>71</v>
      </c>
      <c r="D1297" s="25" t="s">
        <v>68</v>
      </c>
      <c r="E1297" s="9">
        <v>8600000</v>
      </c>
      <c r="F1297" s="26">
        <v>0.55000000000000004</v>
      </c>
      <c r="G1297" s="25">
        <v>31</v>
      </c>
      <c r="H1297" s="27">
        <v>10.1</v>
      </c>
      <c r="I1297" s="24" t="str" cm="1">
        <f t="array" ref="I1297">_xlfn.IFS(
   AND(F1297&gt;=0,9, G1297&gt;=85), "Excelente",
   AND(F1297&gt;=0,8, G1297&gt;=70), "Bueno",
   OR(F1297&lt;0,6,  G1297&lt;50),  "Alerta",
   TRUE,           "Revisar")</f>
        <v>Alerta</v>
      </c>
      <c r="J1297" s="28">
        <f t="shared" si="20"/>
        <v>0</v>
      </c>
    </row>
    <row r="1298" spans="1:10" ht="18" customHeight="1" x14ac:dyDescent="0.3">
      <c r="A1298" s="18" t="s">
        <v>2645</v>
      </c>
      <c r="B1298" s="5" t="s">
        <v>2646</v>
      </c>
      <c r="C1298" s="18" t="s">
        <v>74</v>
      </c>
      <c r="D1298" s="18" t="s">
        <v>105</v>
      </c>
      <c r="E1298" s="6">
        <v>4100000</v>
      </c>
      <c r="F1298" s="19">
        <v>0.88</v>
      </c>
      <c r="G1298" s="18">
        <v>36</v>
      </c>
      <c r="H1298" s="20">
        <v>17.899999999999999</v>
      </c>
      <c r="I1298" s="24" t="str" cm="1">
        <f t="array" ref="I1298">_xlfn.IFS(
   AND(F1298&gt;=0,9, G1298&gt;=85), "Excelente",
   AND(F1298&gt;=0,8, G1298&gt;=70), "Bueno",
   OR(F1298&lt;0,6,  G1298&lt;50),  "Alerta",
   TRUE,           "Revisar")</f>
        <v>Alerta</v>
      </c>
      <c r="J1298" s="28">
        <f t="shared" si="20"/>
        <v>0</v>
      </c>
    </row>
    <row r="1299" spans="1:10" ht="18" customHeight="1" x14ac:dyDescent="0.3">
      <c r="A1299" s="25" t="s">
        <v>2647</v>
      </c>
      <c r="B1299" s="8" t="s">
        <v>2648</v>
      </c>
      <c r="C1299" s="25" t="s">
        <v>81</v>
      </c>
      <c r="D1299" s="25" t="s">
        <v>60</v>
      </c>
      <c r="E1299" s="9">
        <v>11500000</v>
      </c>
      <c r="F1299" s="26">
        <v>0.51</v>
      </c>
      <c r="G1299" s="25">
        <v>95</v>
      </c>
      <c r="H1299" s="27">
        <v>5.2</v>
      </c>
      <c r="I1299" s="24" t="str" cm="1">
        <f t="array" ref="I1299">_xlfn.IFS(
   AND(F1299&gt;=0,9, G1299&gt;=85), "Excelente",
   AND(F1299&gt;=0,8, G1299&gt;=70), "Bueno",
   OR(F1299&lt;0,6,  G1299&lt;50),  "Alerta",
   TRUE,           "Revisar")</f>
        <v>Excelente</v>
      </c>
      <c r="J1299" s="28">
        <f t="shared" si="20"/>
        <v>1150000</v>
      </c>
    </row>
    <row r="1300" spans="1:10" ht="18" customHeight="1" x14ac:dyDescent="0.3">
      <c r="A1300" s="18" t="s">
        <v>2649</v>
      </c>
      <c r="B1300" s="5" t="s">
        <v>2650</v>
      </c>
      <c r="C1300" s="18" t="s">
        <v>81</v>
      </c>
      <c r="D1300" s="18" t="s">
        <v>64</v>
      </c>
      <c r="E1300" s="6">
        <v>4700000</v>
      </c>
      <c r="F1300" s="19">
        <v>0.66</v>
      </c>
      <c r="G1300" s="18">
        <v>66</v>
      </c>
      <c r="H1300" s="20">
        <v>16</v>
      </c>
      <c r="I1300" s="24" t="str" cm="1">
        <f t="array" ref="I1300">_xlfn.IFS(
   AND(F1300&gt;=0,9, G1300&gt;=85), "Excelente",
   AND(F1300&gt;=0,8, G1300&gt;=70), "Bueno",
   OR(F1300&lt;0,6,  G1300&lt;50),  "Alerta",
   TRUE,           "Revisar")</f>
        <v>Alerta</v>
      </c>
      <c r="J1300" s="28">
        <f t="shared" si="20"/>
        <v>0</v>
      </c>
    </row>
    <row r="1301" spans="1:10" ht="18" customHeight="1" x14ac:dyDescent="0.3">
      <c r="A1301" s="25" t="s">
        <v>2651</v>
      </c>
      <c r="B1301" s="8" t="s">
        <v>2652</v>
      </c>
      <c r="C1301" s="25" t="s">
        <v>74</v>
      </c>
      <c r="D1301" s="25" t="s">
        <v>92</v>
      </c>
      <c r="E1301" s="9">
        <v>8700000</v>
      </c>
      <c r="F1301" s="26">
        <v>0.91</v>
      </c>
      <c r="G1301" s="25">
        <v>58</v>
      </c>
      <c r="H1301" s="27">
        <v>4.7</v>
      </c>
      <c r="I1301" s="24" t="str" cm="1">
        <f t="array" ref="I1301">_xlfn.IFS(
   AND(F1301&gt;=0,9, G1301&gt;=85), "Excelente",
   AND(F1301&gt;=0,8, G1301&gt;=70), "Bueno",
   OR(F1301&lt;0,6,  G1301&lt;50),  "Alerta",
   TRUE,           "Revisar")</f>
        <v>Alerta</v>
      </c>
      <c r="J1301" s="28">
        <f t="shared" si="20"/>
        <v>0</v>
      </c>
    </row>
    <row r="1302" spans="1:10" ht="18" customHeight="1" x14ac:dyDescent="0.3">
      <c r="A1302" s="18" t="s">
        <v>2653</v>
      </c>
      <c r="B1302" s="5" t="s">
        <v>2654</v>
      </c>
      <c r="C1302" s="18" t="s">
        <v>91</v>
      </c>
      <c r="D1302" s="18" t="s">
        <v>92</v>
      </c>
      <c r="E1302" s="6">
        <v>7900000</v>
      </c>
      <c r="F1302" s="19">
        <v>0.75</v>
      </c>
      <c r="G1302" s="18">
        <v>74</v>
      </c>
      <c r="H1302" s="20">
        <v>12.7</v>
      </c>
      <c r="I1302" s="24" t="str" cm="1">
        <f t="array" ref="I1302">_xlfn.IFS(
   AND(F1302&gt;=0,9, G1302&gt;=85), "Excelente",
   AND(F1302&gt;=0,8, G1302&gt;=70), "Bueno",
   OR(F1302&lt;0,6,  G1302&lt;50),  "Alerta",
   TRUE,           "Revisar")</f>
        <v>Bueno</v>
      </c>
      <c r="J1302" s="28">
        <f t="shared" si="20"/>
        <v>790000</v>
      </c>
    </row>
    <row r="1303" spans="1:10" ht="18" customHeight="1" x14ac:dyDescent="0.3">
      <c r="A1303" s="25" t="s">
        <v>2655</v>
      </c>
      <c r="B1303" s="8" t="s">
        <v>2656</v>
      </c>
      <c r="C1303" s="25" t="s">
        <v>59</v>
      </c>
      <c r="D1303" s="25" t="s">
        <v>92</v>
      </c>
      <c r="E1303" s="9">
        <v>4600000</v>
      </c>
      <c r="F1303" s="26">
        <v>0.87</v>
      </c>
      <c r="G1303" s="25">
        <v>39</v>
      </c>
      <c r="H1303" s="27">
        <v>0.1</v>
      </c>
      <c r="I1303" s="24" t="str" cm="1">
        <f t="array" ref="I1303">_xlfn.IFS(
   AND(F1303&gt;=0,9, G1303&gt;=85), "Excelente",
   AND(F1303&gt;=0,8, G1303&gt;=70), "Bueno",
   OR(F1303&lt;0,6,  G1303&lt;50),  "Alerta",
   TRUE,           "Revisar")</f>
        <v>Alerta</v>
      </c>
      <c r="J1303" s="28">
        <f t="shared" si="20"/>
        <v>0</v>
      </c>
    </row>
    <row r="1304" spans="1:10" ht="18" customHeight="1" x14ac:dyDescent="0.3">
      <c r="A1304" s="18" t="s">
        <v>2657</v>
      </c>
      <c r="B1304" s="5" t="s">
        <v>2658</v>
      </c>
      <c r="C1304" s="18" t="s">
        <v>71</v>
      </c>
      <c r="D1304" s="18" t="s">
        <v>64</v>
      </c>
      <c r="E1304" s="6">
        <v>8400000</v>
      </c>
      <c r="F1304" s="19">
        <v>0.87</v>
      </c>
      <c r="G1304" s="18">
        <v>62</v>
      </c>
      <c r="H1304" s="20">
        <v>14.6</v>
      </c>
      <c r="I1304" s="24" t="str" cm="1">
        <f t="array" ref="I1304">_xlfn.IFS(
   AND(F1304&gt;=0,9, G1304&gt;=85), "Excelente",
   AND(F1304&gt;=0,8, G1304&gt;=70), "Bueno",
   OR(F1304&lt;0,6,  G1304&lt;50),  "Alerta",
   TRUE,           "Revisar")</f>
        <v>Alerta</v>
      </c>
      <c r="J1304" s="28">
        <f t="shared" si="20"/>
        <v>0</v>
      </c>
    </row>
    <row r="1305" spans="1:10" ht="18" customHeight="1" x14ac:dyDescent="0.3">
      <c r="A1305" s="25" t="s">
        <v>2659</v>
      </c>
      <c r="B1305" s="8" t="s">
        <v>2660</v>
      </c>
      <c r="C1305" s="25" t="s">
        <v>59</v>
      </c>
      <c r="D1305" s="25" t="s">
        <v>68</v>
      </c>
      <c r="E1305" s="9">
        <v>4300000</v>
      </c>
      <c r="F1305" s="26">
        <v>0.6</v>
      </c>
      <c r="G1305" s="25">
        <v>65</v>
      </c>
      <c r="H1305" s="27">
        <v>10.3</v>
      </c>
      <c r="I1305" s="24" t="str" cm="1">
        <f t="array" ref="I1305">_xlfn.IFS(
   AND(F1305&gt;=0,9, G1305&gt;=85), "Excelente",
   AND(F1305&gt;=0,8, G1305&gt;=70), "Bueno",
   OR(F1305&lt;0,6,  G1305&lt;50),  "Alerta",
   TRUE,           "Revisar")</f>
        <v>Alerta</v>
      </c>
      <c r="J1305" s="28">
        <f t="shared" si="20"/>
        <v>0</v>
      </c>
    </row>
    <row r="1306" spans="1:10" ht="18" customHeight="1" x14ac:dyDescent="0.3">
      <c r="A1306" s="18" t="s">
        <v>2661</v>
      </c>
      <c r="B1306" s="5" t="s">
        <v>2662</v>
      </c>
      <c r="C1306" s="18" t="s">
        <v>63</v>
      </c>
      <c r="D1306" s="18" t="s">
        <v>114</v>
      </c>
      <c r="E1306" s="6">
        <v>10500000</v>
      </c>
      <c r="F1306" s="19">
        <v>0.53</v>
      </c>
      <c r="G1306" s="18">
        <v>98</v>
      </c>
      <c r="H1306" s="20">
        <v>13.3</v>
      </c>
      <c r="I1306" s="24" t="str" cm="1">
        <f t="array" ref="I1306">_xlfn.IFS(
   AND(F1306&gt;=0,9, G1306&gt;=85), "Excelente",
   AND(F1306&gt;=0,8, G1306&gt;=70), "Bueno",
   OR(F1306&lt;0,6,  G1306&lt;50),  "Alerta",
   TRUE,           "Revisar")</f>
        <v>Excelente</v>
      </c>
      <c r="J1306" s="28">
        <f t="shared" si="20"/>
        <v>1050000</v>
      </c>
    </row>
    <row r="1307" spans="1:10" ht="18" customHeight="1" x14ac:dyDescent="0.3">
      <c r="A1307" s="25" t="s">
        <v>2663</v>
      </c>
      <c r="B1307" s="8" t="s">
        <v>2664</v>
      </c>
      <c r="C1307" s="25" t="s">
        <v>59</v>
      </c>
      <c r="D1307" s="25" t="s">
        <v>105</v>
      </c>
      <c r="E1307" s="9">
        <v>10400000</v>
      </c>
      <c r="F1307" s="26">
        <v>0.97</v>
      </c>
      <c r="G1307" s="25">
        <v>76</v>
      </c>
      <c r="H1307" s="27">
        <v>4.4000000000000004</v>
      </c>
      <c r="I1307" s="24" t="str" cm="1">
        <f t="array" ref="I1307">_xlfn.IFS(
   AND(F1307&gt;=0,9, G1307&gt;=85), "Excelente",
   AND(F1307&gt;=0,8, G1307&gt;=70), "Bueno",
   OR(F1307&lt;0,6,  G1307&lt;50),  "Alerta",
   TRUE,           "Revisar")</f>
        <v>Bueno</v>
      </c>
      <c r="J1307" s="28">
        <f t="shared" si="20"/>
        <v>1040000</v>
      </c>
    </row>
    <row r="1308" spans="1:10" ht="18" customHeight="1" x14ac:dyDescent="0.3">
      <c r="A1308" s="18" t="s">
        <v>2665</v>
      </c>
      <c r="B1308" s="5" t="s">
        <v>2666</v>
      </c>
      <c r="C1308" s="18" t="s">
        <v>74</v>
      </c>
      <c r="D1308" s="18" t="s">
        <v>92</v>
      </c>
      <c r="E1308" s="6">
        <v>8100000</v>
      </c>
      <c r="F1308" s="19">
        <v>0.49</v>
      </c>
      <c r="G1308" s="18">
        <v>54</v>
      </c>
      <c r="H1308" s="20">
        <v>17.3</v>
      </c>
      <c r="I1308" s="24" t="str" cm="1">
        <f t="array" ref="I1308">_xlfn.IFS(
   AND(F1308&gt;=0,9, G1308&gt;=85), "Excelente",
   AND(F1308&gt;=0,8, G1308&gt;=70), "Bueno",
   OR(F1308&lt;0,6,  G1308&lt;50),  "Alerta",
   TRUE,           "Revisar")</f>
        <v>Alerta</v>
      </c>
      <c r="J1308" s="28">
        <f t="shared" si="20"/>
        <v>0</v>
      </c>
    </row>
    <row r="1309" spans="1:10" ht="18" customHeight="1" x14ac:dyDescent="0.3">
      <c r="A1309" s="25" t="s">
        <v>2667</v>
      </c>
      <c r="B1309" s="8" t="s">
        <v>2668</v>
      </c>
      <c r="C1309" s="25" t="s">
        <v>91</v>
      </c>
      <c r="D1309" s="25" t="s">
        <v>92</v>
      </c>
      <c r="E1309" s="9">
        <v>11900000</v>
      </c>
      <c r="F1309" s="26">
        <v>0.56999999999999995</v>
      </c>
      <c r="G1309" s="25">
        <v>57</v>
      </c>
      <c r="H1309" s="27">
        <v>12.3</v>
      </c>
      <c r="I1309" s="24" t="str" cm="1">
        <f t="array" ref="I1309">_xlfn.IFS(
   AND(F1309&gt;=0,9, G1309&gt;=85), "Excelente",
   AND(F1309&gt;=0,8, G1309&gt;=70), "Bueno",
   OR(F1309&lt;0,6,  G1309&lt;50),  "Alerta",
   TRUE,           "Revisar")</f>
        <v>Alerta</v>
      </c>
      <c r="J1309" s="28">
        <f t="shared" si="20"/>
        <v>0</v>
      </c>
    </row>
    <row r="1310" spans="1:10" ht="18" customHeight="1" x14ac:dyDescent="0.3">
      <c r="A1310" s="18" t="s">
        <v>2669</v>
      </c>
      <c r="B1310" s="5" t="s">
        <v>2670</v>
      </c>
      <c r="C1310" s="18" t="s">
        <v>77</v>
      </c>
      <c r="D1310" s="18" t="s">
        <v>105</v>
      </c>
      <c r="E1310" s="6">
        <v>6700000</v>
      </c>
      <c r="F1310" s="19">
        <v>0.8</v>
      </c>
      <c r="G1310" s="18">
        <v>68</v>
      </c>
      <c r="H1310" s="20">
        <v>5.4</v>
      </c>
      <c r="I1310" s="24" t="str" cm="1">
        <f t="array" ref="I1310">_xlfn.IFS(
   AND(F1310&gt;=0,9, G1310&gt;=85), "Excelente",
   AND(F1310&gt;=0,8, G1310&gt;=70), "Bueno",
   OR(F1310&lt;0,6,  G1310&lt;50),  "Alerta",
   TRUE,           "Revisar")</f>
        <v>Alerta</v>
      </c>
      <c r="J1310" s="28">
        <f t="shared" si="20"/>
        <v>0</v>
      </c>
    </row>
    <row r="1311" spans="1:10" ht="18" customHeight="1" x14ac:dyDescent="0.3">
      <c r="A1311" s="25" t="s">
        <v>2671</v>
      </c>
      <c r="B1311" s="8" t="s">
        <v>2672</v>
      </c>
      <c r="C1311" s="25" t="s">
        <v>74</v>
      </c>
      <c r="D1311" s="25" t="s">
        <v>92</v>
      </c>
      <c r="E1311" s="9">
        <v>11400000</v>
      </c>
      <c r="F1311" s="26">
        <v>0.82</v>
      </c>
      <c r="G1311" s="25">
        <v>79</v>
      </c>
      <c r="H1311" s="27">
        <v>5.7</v>
      </c>
      <c r="I1311" s="24" t="str" cm="1">
        <f t="array" ref="I1311">_xlfn.IFS(
   AND(F1311&gt;=0,9, G1311&gt;=85), "Excelente",
   AND(F1311&gt;=0,8, G1311&gt;=70), "Bueno",
   OR(F1311&lt;0,6,  G1311&lt;50),  "Alerta",
   TRUE,           "Revisar")</f>
        <v>Bueno</v>
      </c>
      <c r="J1311" s="28">
        <f t="shared" si="20"/>
        <v>1140000</v>
      </c>
    </row>
    <row r="1312" spans="1:10" ht="18" customHeight="1" x14ac:dyDescent="0.3">
      <c r="A1312" s="18" t="s">
        <v>2673</v>
      </c>
      <c r="B1312" s="5" t="s">
        <v>2674</v>
      </c>
      <c r="C1312" s="18" t="s">
        <v>91</v>
      </c>
      <c r="D1312" s="18" t="s">
        <v>68</v>
      </c>
      <c r="E1312" s="6">
        <v>6100000</v>
      </c>
      <c r="F1312" s="19">
        <v>0.81</v>
      </c>
      <c r="G1312" s="18">
        <v>68</v>
      </c>
      <c r="H1312" s="20">
        <v>6</v>
      </c>
      <c r="I1312" s="24" t="str" cm="1">
        <f t="array" ref="I1312">_xlfn.IFS(
   AND(F1312&gt;=0,9, G1312&gt;=85), "Excelente",
   AND(F1312&gt;=0,8, G1312&gt;=70), "Bueno",
   OR(F1312&lt;0,6,  G1312&lt;50),  "Alerta",
   TRUE,           "Revisar")</f>
        <v>Alerta</v>
      </c>
      <c r="J1312" s="28">
        <f t="shared" si="20"/>
        <v>0</v>
      </c>
    </row>
    <row r="1313" spans="1:10" ht="18" customHeight="1" x14ac:dyDescent="0.3">
      <c r="A1313" s="25" t="s">
        <v>2675</v>
      </c>
      <c r="B1313" s="8" t="s">
        <v>2676</v>
      </c>
      <c r="C1313" s="25" t="s">
        <v>81</v>
      </c>
      <c r="D1313" s="25" t="s">
        <v>105</v>
      </c>
      <c r="E1313" s="9">
        <v>9500000</v>
      </c>
      <c r="F1313" s="26">
        <v>0.5</v>
      </c>
      <c r="G1313" s="25">
        <v>77</v>
      </c>
      <c r="H1313" s="27">
        <v>14.7</v>
      </c>
      <c r="I1313" s="24" t="str" cm="1">
        <f t="array" ref="I1313">_xlfn.IFS(
   AND(F1313&gt;=0,9, G1313&gt;=85), "Excelente",
   AND(F1313&gt;=0,8, G1313&gt;=70), "Bueno",
   OR(F1313&lt;0,6,  G1313&lt;50),  "Alerta",
   TRUE,           "Revisar")</f>
        <v>Bueno</v>
      </c>
      <c r="J1313" s="28">
        <f t="shared" si="20"/>
        <v>950000</v>
      </c>
    </row>
    <row r="1314" spans="1:10" ht="18" customHeight="1" x14ac:dyDescent="0.3">
      <c r="A1314" s="18" t="s">
        <v>2677</v>
      </c>
      <c r="B1314" s="5" t="s">
        <v>2678</v>
      </c>
      <c r="C1314" s="18" t="s">
        <v>63</v>
      </c>
      <c r="D1314" s="18" t="s">
        <v>105</v>
      </c>
      <c r="E1314" s="6">
        <v>5300000</v>
      </c>
      <c r="F1314" s="19">
        <v>0.6</v>
      </c>
      <c r="G1314" s="18">
        <v>48</v>
      </c>
      <c r="H1314" s="20">
        <v>17.100000000000001</v>
      </c>
      <c r="I1314" s="24" t="str" cm="1">
        <f t="array" ref="I1314">_xlfn.IFS(
   AND(F1314&gt;=0,9, G1314&gt;=85), "Excelente",
   AND(F1314&gt;=0,8, G1314&gt;=70), "Bueno",
   OR(F1314&lt;0,6,  G1314&lt;50),  "Alerta",
   TRUE,           "Revisar")</f>
        <v>Alerta</v>
      </c>
      <c r="J1314" s="28">
        <f t="shared" si="20"/>
        <v>0</v>
      </c>
    </row>
    <row r="1315" spans="1:10" ht="18" customHeight="1" x14ac:dyDescent="0.3">
      <c r="A1315" s="25" t="s">
        <v>2679</v>
      </c>
      <c r="B1315" s="8" t="s">
        <v>2680</v>
      </c>
      <c r="C1315" s="25" t="s">
        <v>74</v>
      </c>
      <c r="D1315" s="25" t="s">
        <v>114</v>
      </c>
      <c r="E1315" s="9">
        <v>10500000</v>
      </c>
      <c r="F1315" s="26">
        <v>0.8</v>
      </c>
      <c r="G1315" s="25">
        <v>67</v>
      </c>
      <c r="H1315" s="27">
        <v>6.4</v>
      </c>
      <c r="I1315" s="24" t="str" cm="1">
        <f t="array" ref="I1315">_xlfn.IFS(
   AND(F1315&gt;=0,9, G1315&gt;=85), "Excelente",
   AND(F1315&gt;=0,8, G1315&gt;=70), "Bueno",
   OR(F1315&lt;0,6,  G1315&lt;50),  "Alerta",
   TRUE,           "Revisar")</f>
        <v>Alerta</v>
      </c>
      <c r="J1315" s="28">
        <f t="shared" si="20"/>
        <v>0</v>
      </c>
    </row>
    <row r="1316" spans="1:10" ht="18" customHeight="1" x14ac:dyDescent="0.3">
      <c r="A1316" s="18" t="s">
        <v>2681</v>
      </c>
      <c r="B1316" s="5" t="s">
        <v>2682</v>
      </c>
      <c r="C1316" s="18" t="s">
        <v>59</v>
      </c>
      <c r="D1316" s="18" t="s">
        <v>105</v>
      </c>
      <c r="E1316" s="6">
        <v>2800000</v>
      </c>
      <c r="F1316" s="19">
        <v>0.73</v>
      </c>
      <c r="G1316" s="18">
        <v>64</v>
      </c>
      <c r="H1316" s="20">
        <v>5.5</v>
      </c>
      <c r="I1316" s="24" t="str" cm="1">
        <f t="array" ref="I1316">_xlfn.IFS(
   AND(F1316&gt;=0,9, G1316&gt;=85), "Excelente",
   AND(F1316&gt;=0,8, G1316&gt;=70), "Bueno",
   OR(F1316&lt;0,6,  G1316&lt;50),  "Alerta",
   TRUE,           "Revisar")</f>
        <v>Alerta</v>
      </c>
      <c r="J1316" s="28">
        <f t="shared" si="20"/>
        <v>0</v>
      </c>
    </row>
    <row r="1317" spans="1:10" ht="18" customHeight="1" x14ac:dyDescent="0.3">
      <c r="A1317" s="25" t="s">
        <v>2683</v>
      </c>
      <c r="B1317" s="8" t="s">
        <v>2684</v>
      </c>
      <c r="C1317" s="25" t="s">
        <v>81</v>
      </c>
      <c r="D1317" s="25" t="s">
        <v>92</v>
      </c>
      <c r="E1317" s="9">
        <v>4700000</v>
      </c>
      <c r="F1317" s="26">
        <v>0.84</v>
      </c>
      <c r="G1317" s="25">
        <v>47</v>
      </c>
      <c r="H1317" s="27">
        <v>16.5</v>
      </c>
      <c r="I1317" s="24" t="str" cm="1">
        <f t="array" ref="I1317">_xlfn.IFS(
   AND(F1317&gt;=0,9, G1317&gt;=85), "Excelente",
   AND(F1317&gt;=0,8, G1317&gt;=70), "Bueno",
   OR(F1317&lt;0,6,  G1317&lt;50),  "Alerta",
   TRUE,           "Revisar")</f>
        <v>Alerta</v>
      </c>
      <c r="J1317" s="28">
        <f t="shared" si="20"/>
        <v>0</v>
      </c>
    </row>
    <row r="1318" spans="1:10" ht="18" customHeight="1" x14ac:dyDescent="0.3">
      <c r="A1318" s="18" t="s">
        <v>2685</v>
      </c>
      <c r="B1318" s="5" t="s">
        <v>2686</v>
      </c>
      <c r="C1318" s="18" t="s">
        <v>67</v>
      </c>
      <c r="D1318" s="18" t="s">
        <v>114</v>
      </c>
      <c r="E1318" s="6">
        <v>9100000</v>
      </c>
      <c r="F1318" s="19">
        <v>0.96</v>
      </c>
      <c r="G1318" s="18">
        <v>54</v>
      </c>
      <c r="H1318" s="20">
        <v>7.8</v>
      </c>
      <c r="I1318" s="24" t="str" cm="1">
        <f t="array" ref="I1318">_xlfn.IFS(
   AND(F1318&gt;=0,9, G1318&gt;=85), "Excelente",
   AND(F1318&gt;=0,8, G1318&gt;=70), "Bueno",
   OR(F1318&lt;0,6,  G1318&lt;50),  "Alerta",
   TRUE,           "Revisar")</f>
        <v>Alerta</v>
      </c>
      <c r="J1318" s="28">
        <f t="shared" si="20"/>
        <v>0</v>
      </c>
    </row>
    <row r="1319" spans="1:10" ht="18" customHeight="1" x14ac:dyDescent="0.3">
      <c r="A1319" s="25" t="s">
        <v>2687</v>
      </c>
      <c r="B1319" s="8" t="s">
        <v>2688</v>
      </c>
      <c r="C1319" s="25" t="s">
        <v>71</v>
      </c>
      <c r="D1319" s="25" t="s">
        <v>60</v>
      </c>
      <c r="E1319" s="9">
        <v>4600000</v>
      </c>
      <c r="F1319" s="26">
        <v>0.79</v>
      </c>
      <c r="G1319" s="25">
        <v>72</v>
      </c>
      <c r="H1319" s="27">
        <v>13.3</v>
      </c>
      <c r="I1319" s="24" t="str" cm="1">
        <f t="array" ref="I1319">_xlfn.IFS(
   AND(F1319&gt;=0,9, G1319&gt;=85), "Excelente",
   AND(F1319&gt;=0,8, G1319&gt;=70), "Bueno",
   OR(F1319&lt;0,6,  G1319&lt;50),  "Alerta",
   TRUE,           "Revisar")</f>
        <v>Bueno</v>
      </c>
      <c r="J1319" s="28">
        <f t="shared" si="20"/>
        <v>460000</v>
      </c>
    </row>
    <row r="1320" spans="1:10" ht="18" customHeight="1" x14ac:dyDescent="0.3">
      <c r="A1320" s="18" t="s">
        <v>2689</v>
      </c>
      <c r="B1320" s="5" t="s">
        <v>2690</v>
      </c>
      <c r="C1320" s="18" t="s">
        <v>81</v>
      </c>
      <c r="D1320" s="18" t="s">
        <v>68</v>
      </c>
      <c r="E1320" s="6">
        <v>6700000</v>
      </c>
      <c r="F1320" s="19">
        <v>0.89</v>
      </c>
      <c r="G1320" s="18">
        <v>71</v>
      </c>
      <c r="H1320" s="20">
        <v>17.600000000000001</v>
      </c>
      <c r="I1320" s="24" t="str" cm="1">
        <f t="array" ref="I1320">_xlfn.IFS(
   AND(F1320&gt;=0,9, G1320&gt;=85), "Excelente",
   AND(F1320&gt;=0,8, G1320&gt;=70), "Bueno",
   OR(F1320&lt;0,6,  G1320&lt;50),  "Alerta",
   TRUE,           "Revisar")</f>
        <v>Bueno</v>
      </c>
      <c r="J1320" s="28">
        <f t="shared" si="20"/>
        <v>670000</v>
      </c>
    </row>
    <row r="1321" spans="1:10" ht="18" customHeight="1" x14ac:dyDescent="0.3">
      <c r="A1321" s="25" t="s">
        <v>2691</v>
      </c>
      <c r="B1321" s="8" t="s">
        <v>2692</v>
      </c>
      <c r="C1321" s="25" t="s">
        <v>71</v>
      </c>
      <c r="D1321" s="25" t="s">
        <v>68</v>
      </c>
      <c r="E1321" s="9">
        <v>3800000</v>
      </c>
      <c r="F1321" s="26">
        <v>0.89</v>
      </c>
      <c r="G1321" s="25">
        <v>31</v>
      </c>
      <c r="H1321" s="27">
        <v>15.8</v>
      </c>
      <c r="I1321" s="24" t="str" cm="1">
        <f t="array" ref="I1321">_xlfn.IFS(
   AND(F1321&gt;=0,9, G1321&gt;=85), "Excelente",
   AND(F1321&gt;=0,8, G1321&gt;=70), "Bueno",
   OR(F1321&lt;0,6,  G1321&lt;50),  "Alerta",
   TRUE,           "Revisar")</f>
        <v>Alerta</v>
      </c>
      <c r="J1321" s="28">
        <f t="shared" si="20"/>
        <v>0</v>
      </c>
    </row>
    <row r="1322" spans="1:10" ht="18" customHeight="1" x14ac:dyDescent="0.3">
      <c r="A1322" s="18" t="s">
        <v>2693</v>
      </c>
      <c r="B1322" s="5" t="s">
        <v>2694</v>
      </c>
      <c r="C1322" s="18" t="s">
        <v>63</v>
      </c>
      <c r="D1322" s="18" t="s">
        <v>105</v>
      </c>
      <c r="E1322" s="6">
        <v>5000000</v>
      </c>
      <c r="F1322" s="19">
        <v>0.79</v>
      </c>
      <c r="G1322" s="18">
        <v>94</v>
      </c>
      <c r="H1322" s="20">
        <v>4.8</v>
      </c>
      <c r="I1322" s="24" t="str" cm="1">
        <f t="array" ref="I1322">_xlfn.IFS(
   AND(F1322&gt;=0,9, G1322&gt;=85), "Excelente",
   AND(F1322&gt;=0,8, G1322&gt;=70), "Bueno",
   OR(F1322&lt;0,6,  G1322&lt;50),  "Alerta",
   TRUE,           "Revisar")</f>
        <v>Excelente</v>
      </c>
      <c r="J1322" s="28">
        <f t="shared" si="20"/>
        <v>500000</v>
      </c>
    </row>
    <row r="1323" spans="1:10" ht="18" customHeight="1" x14ac:dyDescent="0.3">
      <c r="A1323" s="25" t="s">
        <v>2695</v>
      </c>
      <c r="B1323" s="8" t="s">
        <v>2696</v>
      </c>
      <c r="C1323" s="25" t="s">
        <v>63</v>
      </c>
      <c r="D1323" s="25" t="s">
        <v>68</v>
      </c>
      <c r="E1323" s="9">
        <v>12000000</v>
      </c>
      <c r="F1323" s="26">
        <v>0.51</v>
      </c>
      <c r="G1323" s="25">
        <v>82</v>
      </c>
      <c r="H1323" s="27">
        <v>7.2</v>
      </c>
      <c r="I1323" s="24" t="str" cm="1">
        <f t="array" ref="I1323">_xlfn.IFS(
   AND(F1323&gt;=0,9, G1323&gt;=85), "Excelente",
   AND(F1323&gt;=0,8, G1323&gt;=70), "Bueno",
   OR(F1323&lt;0,6,  G1323&lt;50),  "Alerta",
   TRUE,           "Revisar")</f>
        <v>Bueno</v>
      </c>
      <c r="J1323" s="28">
        <f t="shared" si="20"/>
        <v>1200000</v>
      </c>
    </row>
    <row r="1324" spans="1:10" ht="18" customHeight="1" x14ac:dyDescent="0.3">
      <c r="A1324" s="18" t="s">
        <v>2697</v>
      </c>
      <c r="B1324" s="5" t="s">
        <v>2698</v>
      </c>
      <c r="C1324" s="18" t="s">
        <v>59</v>
      </c>
      <c r="D1324" s="18" t="s">
        <v>88</v>
      </c>
      <c r="E1324" s="6">
        <v>4600000</v>
      </c>
      <c r="F1324" s="19">
        <v>0.88</v>
      </c>
      <c r="G1324" s="18">
        <v>89</v>
      </c>
      <c r="H1324" s="20">
        <v>18.399999999999999</v>
      </c>
      <c r="I1324" s="24" t="str" cm="1">
        <f t="array" ref="I1324">_xlfn.IFS(
   AND(F1324&gt;=0,9, G1324&gt;=85), "Excelente",
   AND(F1324&gt;=0,8, G1324&gt;=70), "Bueno",
   OR(F1324&lt;0,6,  G1324&lt;50),  "Alerta",
   TRUE,           "Revisar")</f>
        <v>Excelente</v>
      </c>
      <c r="J1324" s="28">
        <f t="shared" si="20"/>
        <v>460000</v>
      </c>
    </row>
    <row r="1325" spans="1:10" ht="18" customHeight="1" x14ac:dyDescent="0.3">
      <c r="A1325" s="25" t="s">
        <v>2699</v>
      </c>
      <c r="B1325" s="8" t="s">
        <v>2700</v>
      </c>
      <c r="C1325" s="25" t="s">
        <v>59</v>
      </c>
      <c r="D1325" s="25" t="s">
        <v>114</v>
      </c>
      <c r="E1325" s="9">
        <v>3300000</v>
      </c>
      <c r="F1325" s="26">
        <v>0.97</v>
      </c>
      <c r="G1325" s="25">
        <v>83</v>
      </c>
      <c r="H1325" s="27">
        <v>15</v>
      </c>
      <c r="I1325" s="24" t="str" cm="1">
        <f t="array" ref="I1325">_xlfn.IFS(
   AND(F1325&gt;=0,9, G1325&gt;=85), "Excelente",
   AND(F1325&gt;=0,8, G1325&gt;=70), "Bueno",
   OR(F1325&lt;0,6,  G1325&lt;50),  "Alerta",
   TRUE,           "Revisar")</f>
        <v>Bueno</v>
      </c>
      <c r="J1325" s="28">
        <f t="shared" si="20"/>
        <v>330000</v>
      </c>
    </row>
    <row r="1326" spans="1:10" ht="18" customHeight="1" x14ac:dyDescent="0.3">
      <c r="A1326" s="18" t="s">
        <v>2701</v>
      </c>
      <c r="B1326" s="5" t="s">
        <v>2702</v>
      </c>
      <c r="C1326" s="18" t="s">
        <v>74</v>
      </c>
      <c r="D1326" s="18" t="s">
        <v>68</v>
      </c>
      <c r="E1326" s="6">
        <v>5000000</v>
      </c>
      <c r="F1326" s="19">
        <v>0.91</v>
      </c>
      <c r="G1326" s="18">
        <v>32</v>
      </c>
      <c r="H1326" s="20">
        <v>1.8</v>
      </c>
      <c r="I1326" s="24" t="str" cm="1">
        <f t="array" ref="I1326">_xlfn.IFS(
   AND(F1326&gt;=0,9, G1326&gt;=85), "Excelente",
   AND(F1326&gt;=0,8, G1326&gt;=70), "Bueno",
   OR(F1326&lt;0,6,  G1326&lt;50),  "Alerta",
   TRUE,           "Revisar")</f>
        <v>Alerta</v>
      </c>
      <c r="J1326" s="28">
        <f t="shared" si="20"/>
        <v>0</v>
      </c>
    </row>
    <row r="1327" spans="1:10" ht="18" customHeight="1" x14ac:dyDescent="0.3">
      <c r="A1327" s="25" t="s">
        <v>2703</v>
      </c>
      <c r="B1327" s="8" t="s">
        <v>2704</v>
      </c>
      <c r="C1327" s="25" t="s">
        <v>74</v>
      </c>
      <c r="D1327" s="25" t="s">
        <v>78</v>
      </c>
      <c r="E1327" s="9">
        <v>5500000</v>
      </c>
      <c r="F1327" s="26">
        <v>0.46</v>
      </c>
      <c r="G1327" s="25">
        <v>59</v>
      </c>
      <c r="H1327" s="27">
        <v>19.8</v>
      </c>
      <c r="I1327" s="24" t="str" cm="1">
        <f t="array" ref="I1327">_xlfn.IFS(
   AND(F1327&gt;=0,9, G1327&gt;=85), "Excelente",
   AND(F1327&gt;=0,8, G1327&gt;=70), "Bueno",
   OR(F1327&lt;0,6,  G1327&lt;50),  "Alerta",
   TRUE,           "Revisar")</f>
        <v>Alerta</v>
      </c>
      <c r="J1327" s="28">
        <f t="shared" si="20"/>
        <v>0</v>
      </c>
    </row>
    <row r="1328" spans="1:10" ht="18" customHeight="1" x14ac:dyDescent="0.3">
      <c r="A1328" s="18" t="s">
        <v>2705</v>
      </c>
      <c r="B1328" s="5" t="s">
        <v>2706</v>
      </c>
      <c r="C1328" s="18" t="s">
        <v>74</v>
      </c>
      <c r="D1328" s="18" t="s">
        <v>114</v>
      </c>
      <c r="E1328" s="6">
        <v>4900000</v>
      </c>
      <c r="F1328" s="19">
        <v>0.56000000000000005</v>
      </c>
      <c r="G1328" s="18">
        <v>68</v>
      </c>
      <c r="H1328" s="20">
        <v>5.2</v>
      </c>
      <c r="I1328" s="24" t="str" cm="1">
        <f t="array" ref="I1328">_xlfn.IFS(
   AND(F1328&gt;=0,9, G1328&gt;=85), "Excelente",
   AND(F1328&gt;=0,8, G1328&gt;=70), "Bueno",
   OR(F1328&lt;0,6,  G1328&lt;50),  "Alerta",
   TRUE,           "Revisar")</f>
        <v>Alerta</v>
      </c>
      <c r="J1328" s="28">
        <f t="shared" si="20"/>
        <v>0</v>
      </c>
    </row>
    <row r="1329" spans="1:10" ht="18" customHeight="1" x14ac:dyDescent="0.3">
      <c r="A1329" s="25" t="s">
        <v>2707</v>
      </c>
      <c r="B1329" s="8" t="s">
        <v>2708</v>
      </c>
      <c r="C1329" s="25" t="s">
        <v>81</v>
      </c>
      <c r="D1329" s="25" t="s">
        <v>60</v>
      </c>
      <c r="E1329" s="9">
        <v>11800000</v>
      </c>
      <c r="F1329" s="26">
        <v>0.78</v>
      </c>
      <c r="G1329" s="25">
        <v>43</v>
      </c>
      <c r="H1329" s="27">
        <v>2.5</v>
      </c>
      <c r="I1329" s="24" t="str" cm="1">
        <f t="array" ref="I1329">_xlfn.IFS(
   AND(F1329&gt;=0,9, G1329&gt;=85), "Excelente",
   AND(F1329&gt;=0,8, G1329&gt;=70), "Bueno",
   OR(F1329&lt;0,6,  G1329&lt;50),  "Alerta",
   TRUE,           "Revisar")</f>
        <v>Alerta</v>
      </c>
      <c r="J1329" s="28">
        <f t="shared" si="20"/>
        <v>0</v>
      </c>
    </row>
    <row r="1330" spans="1:10" ht="18" customHeight="1" x14ac:dyDescent="0.3">
      <c r="A1330" s="18" t="s">
        <v>2709</v>
      </c>
      <c r="B1330" s="5" t="s">
        <v>2710</v>
      </c>
      <c r="C1330" s="18" t="s">
        <v>74</v>
      </c>
      <c r="D1330" s="18" t="s">
        <v>114</v>
      </c>
      <c r="E1330" s="6">
        <v>11600000</v>
      </c>
      <c r="F1330" s="19">
        <v>0.97</v>
      </c>
      <c r="G1330" s="18">
        <v>61</v>
      </c>
      <c r="H1330" s="20">
        <v>4.9000000000000004</v>
      </c>
      <c r="I1330" s="24" t="str" cm="1">
        <f t="array" ref="I1330">_xlfn.IFS(
   AND(F1330&gt;=0,9, G1330&gt;=85), "Excelente",
   AND(F1330&gt;=0,8, G1330&gt;=70), "Bueno",
   OR(F1330&lt;0,6,  G1330&lt;50),  "Alerta",
   TRUE,           "Revisar")</f>
        <v>Alerta</v>
      </c>
      <c r="J1330" s="28">
        <f t="shared" si="20"/>
        <v>0</v>
      </c>
    </row>
    <row r="1331" spans="1:10" ht="18" customHeight="1" x14ac:dyDescent="0.3">
      <c r="A1331" s="25" t="s">
        <v>2711</v>
      </c>
      <c r="B1331" s="8" t="s">
        <v>2712</v>
      </c>
      <c r="C1331" s="25" t="s">
        <v>67</v>
      </c>
      <c r="D1331" s="25" t="s">
        <v>60</v>
      </c>
      <c r="E1331" s="9">
        <v>5400000</v>
      </c>
      <c r="F1331" s="26">
        <v>0.7</v>
      </c>
      <c r="G1331" s="25">
        <v>96</v>
      </c>
      <c r="H1331" s="27">
        <v>9.6999999999999993</v>
      </c>
      <c r="I1331" s="24" t="str" cm="1">
        <f t="array" ref="I1331">_xlfn.IFS(
   AND(F1331&gt;=0,9, G1331&gt;=85), "Excelente",
   AND(F1331&gt;=0,8, G1331&gt;=70), "Bueno",
   OR(F1331&lt;0,6,  G1331&lt;50),  "Alerta",
   TRUE,           "Revisar")</f>
        <v>Excelente</v>
      </c>
      <c r="J1331" s="28">
        <f t="shared" si="20"/>
        <v>540000</v>
      </c>
    </row>
    <row r="1332" spans="1:10" ht="18" customHeight="1" x14ac:dyDescent="0.3">
      <c r="A1332" s="18" t="s">
        <v>2713</v>
      </c>
      <c r="B1332" s="5" t="s">
        <v>2714</v>
      </c>
      <c r="C1332" s="18" t="s">
        <v>67</v>
      </c>
      <c r="D1332" s="18" t="s">
        <v>114</v>
      </c>
      <c r="E1332" s="6">
        <v>10100000</v>
      </c>
      <c r="F1332" s="19">
        <v>0.72</v>
      </c>
      <c r="G1332" s="18">
        <v>46</v>
      </c>
      <c r="H1332" s="20">
        <v>13.8</v>
      </c>
      <c r="I1332" s="24" t="str" cm="1">
        <f t="array" ref="I1332">_xlfn.IFS(
   AND(F1332&gt;=0,9, G1332&gt;=85), "Excelente",
   AND(F1332&gt;=0,8, G1332&gt;=70), "Bueno",
   OR(F1332&lt;0,6,  G1332&lt;50),  "Alerta",
   TRUE,           "Revisar")</f>
        <v>Alerta</v>
      </c>
      <c r="J1332" s="28">
        <f t="shared" si="20"/>
        <v>0</v>
      </c>
    </row>
    <row r="1333" spans="1:10" ht="18" customHeight="1" x14ac:dyDescent="0.3">
      <c r="A1333" s="25" t="s">
        <v>2715</v>
      </c>
      <c r="B1333" s="8" t="s">
        <v>2716</v>
      </c>
      <c r="C1333" s="25" t="s">
        <v>77</v>
      </c>
      <c r="D1333" s="25" t="s">
        <v>92</v>
      </c>
      <c r="E1333" s="9">
        <v>11500000</v>
      </c>
      <c r="F1333" s="26">
        <v>0.75</v>
      </c>
      <c r="G1333" s="25">
        <v>35</v>
      </c>
      <c r="H1333" s="27">
        <v>16.399999999999999</v>
      </c>
      <c r="I1333" s="24" t="str" cm="1">
        <f t="array" ref="I1333">_xlfn.IFS(
   AND(F1333&gt;=0,9, G1333&gt;=85), "Excelente",
   AND(F1333&gt;=0,8, G1333&gt;=70), "Bueno",
   OR(F1333&lt;0,6,  G1333&lt;50),  "Alerta",
   TRUE,           "Revisar")</f>
        <v>Alerta</v>
      </c>
      <c r="J1333" s="28">
        <f t="shared" si="20"/>
        <v>0</v>
      </c>
    </row>
    <row r="1334" spans="1:10" ht="18" customHeight="1" x14ac:dyDescent="0.3">
      <c r="A1334" s="18" t="s">
        <v>2717</v>
      </c>
      <c r="B1334" s="5" t="s">
        <v>2718</v>
      </c>
      <c r="C1334" s="18" t="s">
        <v>81</v>
      </c>
      <c r="D1334" s="18" t="s">
        <v>88</v>
      </c>
      <c r="E1334" s="6">
        <v>3800000</v>
      </c>
      <c r="F1334" s="19">
        <v>0.65</v>
      </c>
      <c r="G1334" s="18">
        <v>93</v>
      </c>
      <c r="H1334" s="20">
        <v>14.6</v>
      </c>
      <c r="I1334" s="24" t="str" cm="1">
        <f t="array" ref="I1334">_xlfn.IFS(
   AND(F1334&gt;=0,9, G1334&gt;=85), "Excelente",
   AND(F1334&gt;=0,8, G1334&gt;=70), "Bueno",
   OR(F1334&lt;0,6,  G1334&lt;50),  "Alerta",
   TRUE,           "Revisar")</f>
        <v>Excelente</v>
      </c>
      <c r="J1334" s="28">
        <f t="shared" si="20"/>
        <v>380000</v>
      </c>
    </row>
    <row r="1335" spans="1:10" ht="18" customHeight="1" x14ac:dyDescent="0.3">
      <c r="A1335" s="25" t="s">
        <v>2719</v>
      </c>
      <c r="B1335" s="8" t="s">
        <v>2720</v>
      </c>
      <c r="C1335" s="25" t="s">
        <v>67</v>
      </c>
      <c r="D1335" s="25" t="s">
        <v>78</v>
      </c>
      <c r="E1335" s="9">
        <v>8200000</v>
      </c>
      <c r="F1335" s="26">
        <v>0.94</v>
      </c>
      <c r="G1335" s="25">
        <v>86</v>
      </c>
      <c r="H1335" s="27">
        <v>0.9</v>
      </c>
      <c r="I1335" s="24" t="str" cm="1">
        <f t="array" ref="I1335">_xlfn.IFS(
   AND(F1335&gt;=0,9, G1335&gt;=85), "Excelente",
   AND(F1335&gt;=0,8, G1335&gt;=70), "Bueno",
   OR(F1335&lt;0,6,  G1335&lt;50),  "Alerta",
   TRUE,           "Revisar")</f>
        <v>Excelente</v>
      </c>
      <c r="J1335" s="28">
        <f t="shared" si="20"/>
        <v>820000</v>
      </c>
    </row>
    <row r="1336" spans="1:10" ht="18" customHeight="1" x14ac:dyDescent="0.3">
      <c r="A1336" s="18" t="s">
        <v>2721</v>
      </c>
      <c r="B1336" s="5" t="s">
        <v>2722</v>
      </c>
      <c r="C1336" s="18" t="s">
        <v>91</v>
      </c>
      <c r="D1336" s="18" t="s">
        <v>78</v>
      </c>
      <c r="E1336" s="6">
        <v>10100000</v>
      </c>
      <c r="F1336" s="19">
        <v>0.98</v>
      </c>
      <c r="G1336" s="18">
        <v>93</v>
      </c>
      <c r="H1336" s="20">
        <v>6.6</v>
      </c>
      <c r="I1336" s="24" t="str" cm="1">
        <f t="array" ref="I1336">_xlfn.IFS(
   AND(F1336&gt;=0,9, G1336&gt;=85), "Excelente",
   AND(F1336&gt;=0,8, G1336&gt;=70), "Bueno",
   OR(F1336&lt;0,6,  G1336&lt;50),  "Alerta",
   TRUE,           "Revisar")</f>
        <v>Excelente</v>
      </c>
      <c r="J1336" s="28">
        <f t="shared" si="20"/>
        <v>1010000</v>
      </c>
    </row>
    <row r="1337" spans="1:10" ht="18" customHeight="1" x14ac:dyDescent="0.3">
      <c r="A1337" s="25" t="s">
        <v>2723</v>
      </c>
      <c r="B1337" s="8" t="s">
        <v>2724</v>
      </c>
      <c r="C1337" s="25" t="s">
        <v>71</v>
      </c>
      <c r="D1337" s="25" t="s">
        <v>92</v>
      </c>
      <c r="E1337" s="9">
        <v>5800000</v>
      </c>
      <c r="F1337" s="26">
        <v>0.84</v>
      </c>
      <c r="G1337" s="25">
        <v>55</v>
      </c>
      <c r="H1337" s="27">
        <v>14.4</v>
      </c>
      <c r="I1337" s="24" t="str" cm="1">
        <f t="array" ref="I1337">_xlfn.IFS(
   AND(F1337&gt;=0,9, G1337&gt;=85), "Excelente",
   AND(F1337&gt;=0,8, G1337&gt;=70), "Bueno",
   OR(F1337&lt;0,6,  G1337&lt;50),  "Alerta",
   TRUE,           "Revisar")</f>
        <v>Alerta</v>
      </c>
      <c r="J1337" s="28">
        <f t="shared" si="20"/>
        <v>0</v>
      </c>
    </row>
    <row r="1338" spans="1:10" ht="18" customHeight="1" x14ac:dyDescent="0.3">
      <c r="A1338" s="18" t="s">
        <v>2725</v>
      </c>
      <c r="B1338" s="5" t="s">
        <v>2726</v>
      </c>
      <c r="C1338" s="18" t="s">
        <v>91</v>
      </c>
      <c r="D1338" s="18" t="s">
        <v>92</v>
      </c>
      <c r="E1338" s="6">
        <v>8900000</v>
      </c>
      <c r="F1338" s="19">
        <v>0.69</v>
      </c>
      <c r="G1338" s="18">
        <v>41</v>
      </c>
      <c r="H1338" s="20">
        <v>5.8</v>
      </c>
      <c r="I1338" s="24" t="str" cm="1">
        <f t="array" ref="I1338">_xlfn.IFS(
   AND(F1338&gt;=0,9, G1338&gt;=85), "Excelente",
   AND(F1338&gt;=0,8, G1338&gt;=70), "Bueno",
   OR(F1338&lt;0,6,  G1338&lt;50),  "Alerta",
   TRUE,           "Revisar")</f>
        <v>Alerta</v>
      </c>
      <c r="J1338" s="28">
        <f t="shared" si="20"/>
        <v>0</v>
      </c>
    </row>
    <row r="1339" spans="1:10" ht="18" customHeight="1" x14ac:dyDescent="0.3">
      <c r="A1339" s="25" t="s">
        <v>2727</v>
      </c>
      <c r="B1339" s="8" t="s">
        <v>2728</v>
      </c>
      <c r="C1339" s="25" t="s">
        <v>74</v>
      </c>
      <c r="D1339" s="25" t="s">
        <v>78</v>
      </c>
      <c r="E1339" s="9">
        <v>8400000</v>
      </c>
      <c r="F1339" s="26">
        <v>0.72</v>
      </c>
      <c r="G1339" s="25">
        <v>95</v>
      </c>
      <c r="H1339" s="27">
        <v>14.2</v>
      </c>
      <c r="I1339" s="24" t="str" cm="1">
        <f t="array" ref="I1339">_xlfn.IFS(
   AND(F1339&gt;=0,9, G1339&gt;=85), "Excelente",
   AND(F1339&gt;=0,8, G1339&gt;=70), "Bueno",
   OR(F1339&lt;0,6,  G1339&lt;50),  "Alerta",
   TRUE,           "Revisar")</f>
        <v>Excelente</v>
      </c>
      <c r="J1339" s="28">
        <f t="shared" si="20"/>
        <v>840000</v>
      </c>
    </row>
    <row r="1340" spans="1:10" ht="18" customHeight="1" x14ac:dyDescent="0.3">
      <c r="A1340" s="18" t="s">
        <v>2729</v>
      </c>
      <c r="B1340" s="5" t="s">
        <v>2730</v>
      </c>
      <c r="C1340" s="18" t="s">
        <v>74</v>
      </c>
      <c r="D1340" s="18" t="s">
        <v>64</v>
      </c>
      <c r="E1340" s="6">
        <v>6100000</v>
      </c>
      <c r="F1340" s="19">
        <v>0.69</v>
      </c>
      <c r="G1340" s="18">
        <v>77</v>
      </c>
      <c r="H1340" s="20">
        <v>2.9</v>
      </c>
      <c r="I1340" s="24" t="str" cm="1">
        <f t="array" ref="I1340">_xlfn.IFS(
   AND(F1340&gt;=0,9, G1340&gt;=85), "Excelente",
   AND(F1340&gt;=0,8, G1340&gt;=70), "Bueno",
   OR(F1340&lt;0,6,  G1340&lt;50),  "Alerta",
   TRUE,           "Revisar")</f>
        <v>Bueno</v>
      </c>
      <c r="J1340" s="28">
        <f t="shared" si="20"/>
        <v>610000</v>
      </c>
    </row>
    <row r="1341" spans="1:10" ht="18" customHeight="1" x14ac:dyDescent="0.3">
      <c r="A1341" s="25" t="s">
        <v>2731</v>
      </c>
      <c r="B1341" s="8" t="s">
        <v>2732</v>
      </c>
      <c r="C1341" s="25" t="s">
        <v>67</v>
      </c>
      <c r="D1341" s="25" t="s">
        <v>68</v>
      </c>
      <c r="E1341" s="9">
        <v>6000000</v>
      </c>
      <c r="F1341" s="26">
        <v>0.69</v>
      </c>
      <c r="G1341" s="25">
        <v>78</v>
      </c>
      <c r="H1341" s="27">
        <v>14.3</v>
      </c>
      <c r="I1341" s="24" t="str" cm="1">
        <f t="array" ref="I1341">_xlfn.IFS(
   AND(F1341&gt;=0,9, G1341&gt;=85), "Excelente",
   AND(F1341&gt;=0,8, G1341&gt;=70), "Bueno",
   OR(F1341&lt;0,6,  G1341&lt;50),  "Alerta",
   TRUE,           "Revisar")</f>
        <v>Bueno</v>
      </c>
      <c r="J1341" s="28">
        <f t="shared" si="20"/>
        <v>600000</v>
      </c>
    </row>
    <row r="1342" spans="1:10" ht="18" customHeight="1" x14ac:dyDescent="0.3">
      <c r="A1342" s="18" t="s">
        <v>2733</v>
      </c>
      <c r="B1342" s="5" t="s">
        <v>2734</v>
      </c>
      <c r="C1342" s="18" t="s">
        <v>91</v>
      </c>
      <c r="D1342" s="18" t="s">
        <v>114</v>
      </c>
      <c r="E1342" s="6">
        <v>11300000</v>
      </c>
      <c r="F1342" s="19">
        <v>0.98</v>
      </c>
      <c r="G1342" s="18">
        <v>66</v>
      </c>
      <c r="H1342" s="20">
        <v>0.2</v>
      </c>
      <c r="I1342" s="24" t="str" cm="1">
        <f t="array" ref="I1342">_xlfn.IFS(
   AND(F1342&gt;=0,9, G1342&gt;=85), "Excelente",
   AND(F1342&gt;=0,8, G1342&gt;=70), "Bueno",
   OR(F1342&lt;0,6,  G1342&lt;50),  "Alerta",
   TRUE,           "Revisar")</f>
        <v>Alerta</v>
      </c>
      <c r="J1342" s="28">
        <f t="shared" si="20"/>
        <v>0</v>
      </c>
    </row>
    <row r="1343" spans="1:10" ht="18" customHeight="1" x14ac:dyDescent="0.3">
      <c r="A1343" s="25" t="s">
        <v>2735</v>
      </c>
      <c r="B1343" s="8" t="s">
        <v>2736</v>
      </c>
      <c r="C1343" s="25" t="s">
        <v>77</v>
      </c>
      <c r="D1343" s="25" t="s">
        <v>105</v>
      </c>
      <c r="E1343" s="9">
        <v>10300000</v>
      </c>
      <c r="F1343" s="26">
        <v>0.77</v>
      </c>
      <c r="G1343" s="25">
        <v>53</v>
      </c>
      <c r="H1343" s="27">
        <v>5.4</v>
      </c>
      <c r="I1343" s="24" t="str" cm="1">
        <f t="array" ref="I1343">_xlfn.IFS(
   AND(F1343&gt;=0,9, G1343&gt;=85), "Excelente",
   AND(F1343&gt;=0,8, G1343&gt;=70), "Bueno",
   OR(F1343&lt;0,6,  G1343&lt;50),  "Alerta",
   TRUE,           "Revisar")</f>
        <v>Alerta</v>
      </c>
      <c r="J1343" s="28">
        <f t="shared" si="20"/>
        <v>0</v>
      </c>
    </row>
    <row r="1344" spans="1:10" ht="18" customHeight="1" x14ac:dyDescent="0.3">
      <c r="A1344" s="18" t="s">
        <v>2737</v>
      </c>
      <c r="B1344" s="5" t="s">
        <v>2738</v>
      </c>
      <c r="C1344" s="18" t="s">
        <v>81</v>
      </c>
      <c r="D1344" s="18" t="s">
        <v>64</v>
      </c>
      <c r="E1344" s="6">
        <v>7600000</v>
      </c>
      <c r="F1344" s="19">
        <v>0.77</v>
      </c>
      <c r="G1344" s="18">
        <v>88</v>
      </c>
      <c r="H1344" s="20">
        <v>13.8</v>
      </c>
      <c r="I1344" s="24" t="str" cm="1">
        <f t="array" ref="I1344">_xlfn.IFS(
   AND(F1344&gt;=0,9, G1344&gt;=85), "Excelente",
   AND(F1344&gt;=0,8, G1344&gt;=70), "Bueno",
   OR(F1344&lt;0,6,  G1344&lt;50),  "Alerta",
   TRUE,           "Revisar")</f>
        <v>Excelente</v>
      </c>
      <c r="J1344" s="28">
        <f t="shared" si="20"/>
        <v>760000</v>
      </c>
    </row>
    <row r="1345" spans="1:10" ht="18" customHeight="1" x14ac:dyDescent="0.3">
      <c r="A1345" s="25" t="s">
        <v>2739</v>
      </c>
      <c r="B1345" s="8" t="s">
        <v>2740</v>
      </c>
      <c r="C1345" s="25" t="s">
        <v>91</v>
      </c>
      <c r="D1345" s="25" t="s">
        <v>60</v>
      </c>
      <c r="E1345" s="9">
        <v>6600000</v>
      </c>
      <c r="F1345" s="26">
        <v>0.98</v>
      </c>
      <c r="G1345" s="25">
        <v>89</v>
      </c>
      <c r="H1345" s="27">
        <v>0.4</v>
      </c>
      <c r="I1345" s="24" t="str" cm="1">
        <f t="array" ref="I1345">_xlfn.IFS(
   AND(F1345&gt;=0,9, G1345&gt;=85), "Excelente",
   AND(F1345&gt;=0,8, G1345&gt;=70), "Bueno",
   OR(F1345&lt;0,6,  G1345&lt;50),  "Alerta",
   TRUE,           "Revisar")</f>
        <v>Excelente</v>
      </c>
      <c r="J1345" s="28">
        <f t="shared" si="20"/>
        <v>660000</v>
      </c>
    </row>
    <row r="1346" spans="1:10" ht="18" customHeight="1" x14ac:dyDescent="0.3">
      <c r="A1346" s="18" t="s">
        <v>2741</v>
      </c>
      <c r="B1346" s="5" t="s">
        <v>2742</v>
      </c>
      <c r="C1346" s="18" t="s">
        <v>91</v>
      </c>
      <c r="D1346" s="18" t="s">
        <v>60</v>
      </c>
      <c r="E1346" s="6">
        <v>3600000</v>
      </c>
      <c r="F1346" s="19">
        <v>0.79</v>
      </c>
      <c r="G1346" s="18">
        <v>98</v>
      </c>
      <c r="H1346" s="20">
        <v>6.3</v>
      </c>
      <c r="I1346" s="24" t="str" cm="1">
        <f t="array" ref="I1346">_xlfn.IFS(
   AND(F1346&gt;=0,9, G1346&gt;=85), "Excelente",
   AND(F1346&gt;=0,8, G1346&gt;=70), "Bueno",
   OR(F1346&lt;0,6,  G1346&lt;50),  "Alerta",
   TRUE,           "Revisar")</f>
        <v>Excelente</v>
      </c>
      <c r="J1346" s="28">
        <f t="shared" si="20"/>
        <v>360000</v>
      </c>
    </row>
    <row r="1347" spans="1:10" ht="18" customHeight="1" x14ac:dyDescent="0.3">
      <c r="A1347" s="25" t="s">
        <v>2743</v>
      </c>
      <c r="B1347" s="8" t="s">
        <v>2744</v>
      </c>
      <c r="C1347" s="25" t="s">
        <v>77</v>
      </c>
      <c r="D1347" s="25" t="s">
        <v>64</v>
      </c>
      <c r="E1347" s="9">
        <v>8500000</v>
      </c>
      <c r="F1347" s="26">
        <v>0.64</v>
      </c>
      <c r="G1347" s="25">
        <v>70</v>
      </c>
      <c r="H1347" s="27">
        <v>5.8</v>
      </c>
      <c r="I1347" s="24" t="str" cm="1">
        <f t="array" ref="I1347">_xlfn.IFS(
   AND(F1347&gt;=0,9, G1347&gt;=85), "Excelente",
   AND(F1347&gt;=0,8, G1347&gt;=70), "Bueno",
   OR(F1347&lt;0,6,  G1347&lt;50),  "Alerta",
   TRUE,           "Revisar")</f>
        <v>Bueno</v>
      </c>
      <c r="J1347" s="28">
        <f t="shared" si="20"/>
        <v>850000</v>
      </c>
    </row>
    <row r="1348" spans="1:10" ht="18" customHeight="1" x14ac:dyDescent="0.3">
      <c r="A1348" s="18" t="s">
        <v>2745</v>
      </c>
      <c r="B1348" s="5" t="s">
        <v>2746</v>
      </c>
      <c r="C1348" s="18" t="s">
        <v>91</v>
      </c>
      <c r="D1348" s="18" t="s">
        <v>78</v>
      </c>
      <c r="E1348" s="6">
        <v>6600000</v>
      </c>
      <c r="F1348" s="19">
        <v>0.63</v>
      </c>
      <c r="G1348" s="18">
        <v>86</v>
      </c>
      <c r="H1348" s="20">
        <v>13.1</v>
      </c>
      <c r="I1348" s="24" t="str" cm="1">
        <f t="array" ref="I1348">_xlfn.IFS(
   AND(F1348&gt;=0,9, G1348&gt;=85), "Excelente",
   AND(F1348&gt;=0,8, G1348&gt;=70), "Bueno",
   OR(F1348&lt;0,6,  G1348&lt;50),  "Alerta",
   TRUE,           "Revisar")</f>
        <v>Excelente</v>
      </c>
      <c r="J1348" s="28">
        <f t="shared" si="20"/>
        <v>660000</v>
      </c>
    </row>
    <row r="1349" spans="1:10" ht="18" customHeight="1" x14ac:dyDescent="0.3">
      <c r="A1349" s="25" t="s">
        <v>2747</v>
      </c>
      <c r="B1349" s="8" t="s">
        <v>2748</v>
      </c>
      <c r="C1349" s="25" t="s">
        <v>91</v>
      </c>
      <c r="D1349" s="25" t="s">
        <v>60</v>
      </c>
      <c r="E1349" s="9">
        <v>5800000</v>
      </c>
      <c r="F1349" s="26">
        <v>0.65</v>
      </c>
      <c r="G1349" s="25">
        <v>64</v>
      </c>
      <c r="H1349" s="27">
        <v>7.7</v>
      </c>
      <c r="I1349" s="24" t="str" cm="1">
        <f t="array" ref="I1349">_xlfn.IFS(
   AND(F1349&gt;=0,9, G1349&gt;=85), "Excelente",
   AND(F1349&gt;=0,8, G1349&gt;=70), "Bueno",
   OR(F1349&lt;0,6,  G1349&lt;50),  "Alerta",
   TRUE,           "Revisar")</f>
        <v>Alerta</v>
      </c>
      <c r="J1349" s="28">
        <f t="shared" si="20"/>
        <v>0</v>
      </c>
    </row>
    <row r="1350" spans="1:10" ht="18" customHeight="1" x14ac:dyDescent="0.3">
      <c r="A1350" s="18" t="s">
        <v>2749</v>
      </c>
      <c r="B1350" s="5" t="s">
        <v>2750</v>
      </c>
      <c r="C1350" s="18" t="s">
        <v>67</v>
      </c>
      <c r="D1350" s="18" t="s">
        <v>88</v>
      </c>
      <c r="E1350" s="6">
        <v>5000000</v>
      </c>
      <c r="F1350" s="19">
        <v>0.83</v>
      </c>
      <c r="G1350" s="18">
        <v>95</v>
      </c>
      <c r="H1350" s="20">
        <v>2.2000000000000002</v>
      </c>
      <c r="I1350" s="24" t="str" cm="1">
        <f t="array" ref="I1350">_xlfn.IFS(
   AND(F1350&gt;=0,9, G1350&gt;=85), "Excelente",
   AND(F1350&gt;=0,8, G1350&gt;=70), "Bueno",
   OR(F1350&lt;0,6,  G1350&lt;50),  "Alerta",
   TRUE,           "Revisar")</f>
        <v>Excelente</v>
      </c>
      <c r="J1350" s="28">
        <f t="shared" si="20"/>
        <v>500000</v>
      </c>
    </row>
    <row r="1351" spans="1:10" ht="18" customHeight="1" x14ac:dyDescent="0.3">
      <c r="A1351" s="25" t="s">
        <v>2751</v>
      </c>
      <c r="B1351" s="8" t="s">
        <v>2752</v>
      </c>
      <c r="C1351" s="25" t="s">
        <v>74</v>
      </c>
      <c r="D1351" s="25" t="s">
        <v>114</v>
      </c>
      <c r="E1351" s="9">
        <v>8700000</v>
      </c>
      <c r="F1351" s="26">
        <v>0.73</v>
      </c>
      <c r="G1351" s="25">
        <v>96</v>
      </c>
      <c r="H1351" s="27">
        <v>14.2</v>
      </c>
      <c r="I1351" s="24" t="str" cm="1">
        <f t="array" ref="I1351">_xlfn.IFS(
   AND(F1351&gt;=0,9, G1351&gt;=85), "Excelente",
   AND(F1351&gt;=0,8, G1351&gt;=70), "Bueno",
   OR(F1351&lt;0,6,  G1351&lt;50),  "Alerta",
   TRUE,           "Revisar")</f>
        <v>Excelente</v>
      </c>
      <c r="J1351" s="28">
        <f t="shared" si="20"/>
        <v>870000</v>
      </c>
    </row>
    <row r="1352" spans="1:10" ht="18" customHeight="1" x14ac:dyDescent="0.3">
      <c r="A1352" s="18" t="s">
        <v>2753</v>
      </c>
      <c r="B1352" s="5" t="s">
        <v>2754</v>
      </c>
      <c r="C1352" s="18" t="s">
        <v>67</v>
      </c>
      <c r="D1352" s="18" t="s">
        <v>105</v>
      </c>
      <c r="E1352" s="6">
        <v>8500000</v>
      </c>
      <c r="F1352" s="19">
        <v>0.91</v>
      </c>
      <c r="G1352" s="18">
        <v>64</v>
      </c>
      <c r="H1352" s="20">
        <v>4.4000000000000004</v>
      </c>
      <c r="I1352" s="24" t="str" cm="1">
        <f t="array" ref="I1352">_xlfn.IFS(
   AND(F1352&gt;=0,9, G1352&gt;=85), "Excelente",
   AND(F1352&gt;=0,8, G1352&gt;=70), "Bueno",
   OR(F1352&lt;0,6,  G1352&lt;50),  "Alerta",
   TRUE,           "Revisar")</f>
        <v>Alerta</v>
      </c>
      <c r="J1352" s="28">
        <f t="shared" si="20"/>
        <v>0</v>
      </c>
    </row>
    <row r="1353" spans="1:10" ht="18" customHeight="1" x14ac:dyDescent="0.3">
      <c r="A1353" s="25" t="s">
        <v>2755</v>
      </c>
      <c r="B1353" s="8" t="s">
        <v>2756</v>
      </c>
      <c r="C1353" s="25" t="s">
        <v>74</v>
      </c>
      <c r="D1353" s="25" t="s">
        <v>92</v>
      </c>
      <c r="E1353" s="9">
        <v>11500000</v>
      </c>
      <c r="F1353" s="26">
        <v>0.57999999999999996</v>
      </c>
      <c r="G1353" s="25">
        <v>41</v>
      </c>
      <c r="H1353" s="27">
        <v>3.7</v>
      </c>
      <c r="I1353" s="24" t="str" cm="1">
        <f t="array" ref="I1353">_xlfn.IFS(
   AND(F1353&gt;=0,9, G1353&gt;=85), "Excelente",
   AND(F1353&gt;=0,8, G1353&gt;=70), "Bueno",
   OR(F1353&lt;0,6,  G1353&lt;50),  "Alerta",
   TRUE,           "Revisar")</f>
        <v>Alerta</v>
      </c>
      <c r="J1353" s="28">
        <f t="shared" si="20"/>
        <v>0</v>
      </c>
    </row>
    <row r="1354" spans="1:10" ht="18" customHeight="1" x14ac:dyDescent="0.3">
      <c r="A1354" s="18" t="s">
        <v>2757</v>
      </c>
      <c r="B1354" s="5" t="s">
        <v>2758</v>
      </c>
      <c r="C1354" s="18" t="s">
        <v>59</v>
      </c>
      <c r="D1354" s="18" t="s">
        <v>114</v>
      </c>
      <c r="E1354" s="6">
        <v>4000000</v>
      </c>
      <c r="F1354" s="19">
        <v>0.85</v>
      </c>
      <c r="G1354" s="18">
        <v>46</v>
      </c>
      <c r="H1354" s="20">
        <v>10.199999999999999</v>
      </c>
      <c r="I1354" s="24" t="str" cm="1">
        <f t="array" ref="I1354">_xlfn.IFS(
   AND(F1354&gt;=0,9, G1354&gt;=85), "Excelente",
   AND(F1354&gt;=0,8, G1354&gt;=70), "Bueno",
   OR(F1354&lt;0,6,  G1354&lt;50),  "Alerta",
   TRUE,           "Revisar")</f>
        <v>Alerta</v>
      </c>
      <c r="J1354" s="28">
        <f t="shared" si="20"/>
        <v>0</v>
      </c>
    </row>
    <row r="1355" spans="1:10" ht="18" customHeight="1" x14ac:dyDescent="0.3">
      <c r="A1355" s="25" t="s">
        <v>2759</v>
      </c>
      <c r="B1355" s="8" t="s">
        <v>2760</v>
      </c>
      <c r="C1355" s="25" t="s">
        <v>91</v>
      </c>
      <c r="D1355" s="25" t="s">
        <v>64</v>
      </c>
      <c r="E1355" s="9">
        <v>6600000</v>
      </c>
      <c r="F1355" s="26">
        <v>0.85</v>
      </c>
      <c r="G1355" s="25">
        <v>84</v>
      </c>
      <c r="H1355" s="27">
        <v>18.7</v>
      </c>
      <c r="I1355" s="24" t="str" cm="1">
        <f t="array" ref="I1355">_xlfn.IFS(
   AND(F1355&gt;=0,9, G1355&gt;=85), "Excelente",
   AND(F1355&gt;=0,8, G1355&gt;=70), "Bueno",
   OR(F1355&lt;0,6,  G1355&lt;50),  "Alerta",
   TRUE,           "Revisar")</f>
        <v>Bueno</v>
      </c>
      <c r="J1355" s="28">
        <f t="shared" si="20"/>
        <v>660000</v>
      </c>
    </row>
    <row r="1356" spans="1:10" ht="18" customHeight="1" x14ac:dyDescent="0.3">
      <c r="A1356" s="18" t="s">
        <v>2761</v>
      </c>
      <c r="B1356" s="5" t="s">
        <v>2762</v>
      </c>
      <c r="C1356" s="18" t="s">
        <v>67</v>
      </c>
      <c r="D1356" s="18" t="s">
        <v>105</v>
      </c>
      <c r="E1356" s="6">
        <v>5700000</v>
      </c>
      <c r="F1356" s="19">
        <v>0.77</v>
      </c>
      <c r="G1356" s="18">
        <v>36</v>
      </c>
      <c r="H1356" s="20">
        <v>14.4</v>
      </c>
      <c r="I1356" s="24" t="str" cm="1">
        <f t="array" ref="I1356">_xlfn.IFS(
   AND(F1356&gt;=0,9, G1356&gt;=85), "Excelente",
   AND(F1356&gt;=0,8, G1356&gt;=70), "Bueno",
   OR(F1356&lt;0,6,  G1356&lt;50),  "Alerta",
   TRUE,           "Revisar")</f>
        <v>Alerta</v>
      </c>
      <c r="J1356" s="28">
        <f t="shared" ref="J1356:J1419" si="21">IF(OR(I1356="Excelente",I1356="Bueno"),E1356*0.1,0)</f>
        <v>0</v>
      </c>
    </row>
    <row r="1357" spans="1:10" ht="18" customHeight="1" x14ac:dyDescent="0.3">
      <c r="A1357" s="25" t="s">
        <v>2763</v>
      </c>
      <c r="B1357" s="8" t="s">
        <v>2764</v>
      </c>
      <c r="C1357" s="25" t="s">
        <v>81</v>
      </c>
      <c r="D1357" s="25" t="s">
        <v>92</v>
      </c>
      <c r="E1357" s="9">
        <v>10700000</v>
      </c>
      <c r="F1357" s="26">
        <v>0.73</v>
      </c>
      <c r="G1357" s="25">
        <v>61</v>
      </c>
      <c r="H1357" s="27">
        <v>6</v>
      </c>
      <c r="I1357" s="24" t="str" cm="1">
        <f t="array" ref="I1357">_xlfn.IFS(
   AND(F1357&gt;=0,9, G1357&gt;=85), "Excelente",
   AND(F1357&gt;=0,8, G1357&gt;=70), "Bueno",
   OR(F1357&lt;0,6,  G1357&lt;50),  "Alerta",
   TRUE,           "Revisar")</f>
        <v>Alerta</v>
      </c>
      <c r="J1357" s="28">
        <f t="shared" si="21"/>
        <v>0</v>
      </c>
    </row>
    <row r="1358" spans="1:10" ht="18" customHeight="1" x14ac:dyDescent="0.3">
      <c r="A1358" s="18" t="s">
        <v>2765</v>
      </c>
      <c r="B1358" s="5" t="s">
        <v>2766</v>
      </c>
      <c r="C1358" s="18" t="s">
        <v>59</v>
      </c>
      <c r="D1358" s="18" t="s">
        <v>92</v>
      </c>
      <c r="E1358" s="6">
        <v>3100000</v>
      </c>
      <c r="F1358" s="19">
        <v>0.56999999999999995</v>
      </c>
      <c r="G1358" s="18">
        <v>62</v>
      </c>
      <c r="H1358" s="20">
        <v>8.3000000000000007</v>
      </c>
      <c r="I1358" s="24" t="str" cm="1">
        <f t="array" ref="I1358">_xlfn.IFS(
   AND(F1358&gt;=0,9, G1358&gt;=85), "Excelente",
   AND(F1358&gt;=0,8, G1358&gt;=70), "Bueno",
   OR(F1358&lt;0,6,  G1358&lt;50),  "Alerta",
   TRUE,           "Revisar")</f>
        <v>Alerta</v>
      </c>
      <c r="J1358" s="28">
        <f t="shared" si="21"/>
        <v>0</v>
      </c>
    </row>
    <row r="1359" spans="1:10" ht="18" customHeight="1" x14ac:dyDescent="0.3">
      <c r="A1359" s="25" t="s">
        <v>2767</v>
      </c>
      <c r="B1359" s="8" t="s">
        <v>2768</v>
      </c>
      <c r="C1359" s="25" t="s">
        <v>59</v>
      </c>
      <c r="D1359" s="25" t="s">
        <v>105</v>
      </c>
      <c r="E1359" s="9">
        <v>12000000</v>
      </c>
      <c r="F1359" s="26">
        <v>0.59</v>
      </c>
      <c r="G1359" s="25">
        <v>77</v>
      </c>
      <c r="H1359" s="27">
        <v>2.9</v>
      </c>
      <c r="I1359" s="24" t="str" cm="1">
        <f t="array" ref="I1359">_xlfn.IFS(
   AND(F1359&gt;=0,9, G1359&gt;=85), "Excelente",
   AND(F1359&gt;=0,8, G1359&gt;=70), "Bueno",
   OR(F1359&lt;0,6,  G1359&lt;50),  "Alerta",
   TRUE,           "Revisar")</f>
        <v>Bueno</v>
      </c>
      <c r="J1359" s="28">
        <f t="shared" si="21"/>
        <v>1200000</v>
      </c>
    </row>
    <row r="1360" spans="1:10" ht="18" customHeight="1" x14ac:dyDescent="0.3">
      <c r="A1360" s="18" t="s">
        <v>2769</v>
      </c>
      <c r="B1360" s="5" t="s">
        <v>2770</v>
      </c>
      <c r="C1360" s="18" t="s">
        <v>77</v>
      </c>
      <c r="D1360" s="18" t="s">
        <v>114</v>
      </c>
      <c r="E1360" s="6">
        <v>11100000</v>
      </c>
      <c r="F1360" s="19">
        <v>0.5</v>
      </c>
      <c r="G1360" s="18">
        <v>38</v>
      </c>
      <c r="H1360" s="20">
        <v>4.5</v>
      </c>
      <c r="I1360" s="24" t="str" cm="1">
        <f t="array" ref="I1360">_xlfn.IFS(
   AND(F1360&gt;=0,9, G1360&gt;=85), "Excelente",
   AND(F1360&gt;=0,8, G1360&gt;=70), "Bueno",
   OR(F1360&lt;0,6,  G1360&lt;50),  "Alerta",
   TRUE,           "Revisar")</f>
        <v>Alerta</v>
      </c>
      <c r="J1360" s="28">
        <f t="shared" si="21"/>
        <v>0</v>
      </c>
    </row>
    <row r="1361" spans="1:10" ht="18" customHeight="1" x14ac:dyDescent="0.3">
      <c r="A1361" s="25" t="s">
        <v>2771</v>
      </c>
      <c r="B1361" s="8" t="s">
        <v>2772</v>
      </c>
      <c r="C1361" s="25" t="s">
        <v>74</v>
      </c>
      <c r="D1361" s="25" t="s">
        <v>105</v>
      </c>
      <c r="E1361" s="9">
        <v>7100000</v>
      </c>
      <c r="F1361" s="26">
        <v>0.62</v>
      </c>
      <c r="G1361" s="25">
        <v>77</v>
      </c>
      <c r="H1361" s="27">
        <v>10.3</v>
      </c>
      <c r="I1361" s="24" t="str" cm="1">
        <f t="array" ref="I1361">_xlfn.IFS(
   AND(F1361&gt;=0,9, G1361&gt;=85), "Excelente",
   AND(F1361&gt;=0,8, G1361&gt;=70), "Bueno",
   OR(F1361&lt;0,6,  G1361&lt;50),  "Alerta",
   TRUE,           "Revisar")</f>
        <v>Bueno</v>
      </c>
      <c r="J1361" s="28">
        <f t="shared" si="21"/>
        <v>710000</v>
      </c>
    </row>
    <row r="1362" spans="1:10" ht="18" customHeight="1" x14ac:dyDescent="0.3">
      <c r="A1362" s="18" t="s">
        <v>2773</v>
      </c>
      <c r="B1362" s="5" t="s">
        <v>2774</v>
      </c>
      <c r="C1362" s="18" t="s">
        <v>77</v>
      </c>
      <c r="D1362" s="18" t="s">
        <v>64</v>
      </c>
      <c r="E1362" s="6">
        <v>4100000</v>
      </c>
      <c r="F1362" s="19">
        <v>0.79</v>
      </c>
      <c r="G1362" s="18">
        <v>57</v>
      </c>
      <c r="H1362" s="20">
        <v>0.1</v>
      </c>
      <c r="I1362" s="24" t="str" cm="1">
        <f t="array" ref="I1362">_xlfn.IFS(
   AND(F1362&gt;=0,9, G1362&gt;=85), "Excelente",
   AND(F1362&gt;=0,8, G1362&gt;=70), "Bueno",
   OR(F1362&lt;0,6,  G1362&lt;50),  "Alerta",
   TRUE,           "Revisar")</f>
        <v>Alerta</v>
      </c>
      <c r="J1362" s="28">
        <f t="shared" si="21"/>
        <v>0</v>
      </c>
    </row>
    <row r="1363" spans="1:10" ht="18" customHeight="1" x14ac:dyDescent="0.3">
      <c r="A1363" s="25" t="s">
        <v>2775</v>
      </c>
      <c r="B1363" s="8" t="s">
        <v>2776</v>
      </c>
      <c r="C1363" s="25" t="s">
        <v>74</v>
      </c>
      <c r="D1363" s="25" t="s">
        <v>64</v>
      </c>
      <c r="E1363" s="9">
        <v>11300000</v>
      </c>
      <c r="F1363" s="26">
        <v>0.98</v>
      </c>
      <c r="G1363" s="25">
        <v>67</v>
      </c>
      <c r="H1363" s="27">
        <v>11.4</v>
      </c>
      <c r="I1363" s="24" t="str" cm="1">
        <f t="array" ref="I1363">_xlfn.IFS(
   AND(F1363&gt;=0,9, G1363&gt;=85), "Excelente",
   AND(F1363&gt;=0,8, G1363&gt;=70), "Bueno",
   OR(F1363&lt;0,6,  G1363&lt;50),  "Alerta",
   TRUE,           "Revisar")</f>
        <v>Alerta</v>
      </c>
      <c r="J1363" s="28">
        <f t="shared" si="21"/>
        <v>0</v>
      </c>
    </row>
    <row r="1364" spans="1:10" ht="18" customHeight="1" x14ac:dyDescent="0.3">
      <c r="A1364" s="18" t="s">
        <v>2777</v>
      </c>
      <c r="B1364" s="5" t="s">
        <v>2778</v>
      </c>
      <c r="C1364" s="18" t="s">
        <v>67</v>
      </c>
      <c r="D1364" s="18" t="s">
        <v>60</v>
      </c>
      <c r="E1364" s="6">
        <v>7100000</v>
      </c>
      <c r="F1364" s="19">
        <v>0.86</v>
      </c>
      <c r="G1364" s="18">
        <v>39</v>
      </c>
      <c r="H1364" s="20">
        <v>15.6</v>
      </c>
      <c r="I1364" s="24" t="str" cm="1">
        <f t="array" ref="I1364">_xlfn.IFS(
   AND(F1364&gt;=0,9, G1364&gt;=85), "Excelente",
   AND(F1364&gt;=0,8, G1364&gt;=70), "Bueno",
   OR(F1364&lt;0,6,  G1364&lt;50),  "Alerta",
   TRUE,           "Revisar")</f>
        <v>Alerta</v>
      </c>
      <c r="J1364" s="28">
        <f t="shared" si="21"/>
        <v>0</v>
      </c>
    </row>
    <row r="1365" spans="1:10" ht="18" customHeight="1" x14ac:dyDescent="0.3">
      <c r="A1365" s="25" t="s">
        <v>2779</v>
      </c>
      <c r="B1365" s="8" t="s">
        <v>2780</v>
      </c>
      <c r="C1365" s="25" t="s">
        <v>91</v>
      </c>
      <c r="D1365" s="25" t="s">
        <v>68</v>
      </c>
      <c r="E1365" s="9">
        <v>7900000</v>
      </c>
      <c r="F1365" s="26">
        <v>0.57999999999999996</v>
      </c>
      <c r="G1365" s="25">
        <v>85</v>
      </c>
      <c r="H1365" s="27">
        <v>9</v>
      </c>
      <c r="I1365" s="24" t="str" cm="1">
        <f t="array" ref="I1365">_xlfn.IFS(
   AND(F1365&gt;=0,9, G1365&gt;=85), "Excelente",
   AND(F1365&gt;=0,8, G1365&gt;=70), "Bueno",
   OR(F1365&lt;0,6,  G1365&lt;50),  "Alerta",
   TRUE,           "Revisar")</f>
        <v>Excelente</v>
      </c>
      <c r="J1365" s="28">
        <f t="shared" si="21"/>
        <v>790000</v>
      </c>
    </row>
    <row r="1366" spans="1:10" ht="18" customHeight="1" x14ac:dyDescent="0.3">
      <c r="A1366" s="18" t="s">
        <v>2781</v>
      </c>
      <c r="B1366" s="5" t="s">
        <v>2782</v>
      </c>
      <c r="C1366" s="18" t="s">
        <v>74</v>
      </c>
      <c r="D1366" s="18" t="s">
        <v>78</v>
      </c>
      <c r="E1366" s="6">
        <v>7900000</v>
      </c>
      <c r="F1366" s="19">
        <v>0.72</v>
      </c>
      <c r="G1366" s="18">
        <v>84</v>
      </c>
      <c r="H1366" s="20">
        <v>14.3</v>
      </c>
      <c r="I1366" s="24" t="str" cm="1">
        <f t="array" ref="I1366">_xlfn.IFS(
   AND(F1366&gt;=0,9, G1366&gt;=85), "Excelente",
   AND(F1366&gt;=0,8, G1366&gt;=70), "Bueno",
   OR(F1366&lt;0,6,  G1366&lt;50),  "Alerta",
   TRUE,           "Revisar")</f>
        <v>Bueno</v>
      </c>
      <c r="J1366" s="28">
        <f t="shared" si="21"/>
        <v>790000</v>
      </c>
    </row>
    <row r="1367" spans="1:10" ht="18" customHeight="1" x14ac:dyDescent="0.3">
      <c r="A1367" s="25" t="s">
        <v>2783</v>
      </c>
      <c r="B1367" s="8" t="s">
        <v>2784</v>
      </c>
      <c r="C1367" s="25" t="s">
        <v>91</v>
      </c>
      <c r="D1367" s="25" t="s">
        <v>88</v>
      </c>
      <c r="E1367" s="9">
        <v>9500000</v>
      </c>
      <c r="F1367" s="26">
        <v>0.55000000000000004</v>
      </c>
      <c r="G1367" s="25">
        <v>89</v>
      </c>
      <c r="H1367" s="27">
        <v>7.9</v>
      </c>
      <c r="I1367" s="24" t="str" cm="1">
        <f t="array" ref="I1367">_xlfn.IFS(
   AND(F1367&gt;=0,9, G1367&gt;=85), "Excelente",
   AND(F1367&gt;=0,8, G1367&gt;=70), "Bueno",
   OR(F1367&lt;0,6,  G1367&lt;50),  "Alerta",
   TRUE,           "Revisar")</f>
        <v>Excelente</v>
      </c>
      <c r="J1367" s="28">
        <f t="shared" si="21"/>
        <v>950000</v>
      </c>
    </row>
    <row r="1368" spans="1:10" ht="18" customHeight="1" x14ac:dyDescent="0.3">
      <c r="A1368" s="18" t="s">
        <v>2785</v>
      </c>
      <c r="B1368" s="5" t="s">
        <v>2626</v>
      </c>
      <c r="C1368" s="18" t="s">
        <v>91</v>
      </c>
      <c r="D1368" s="18" t="s">
        <v>78</v>
      </c>
      <c r="E1368" s="6">
        <v>9900000</v>
      </c>
      <c r="F1368" s="19">
        <v>0.88</v>
      </c>
      <c r="G1368" s="18">
        <v>41</v>
      </c>
      <c r="H1368" s="20">
        <v>4.7</v>
      </c>
      <c r="I1368" s="24" t="str" cm="1">
        <f t="array" ref="I1368">_xlfn.IFS(
   AND(F1368&gt;=0,9, G1368&gt;=85), "Excelente",
   AND(F1368&gt;=0,8, G1368&gt;=70), "Bueno",
   OR(F1368&lt;0,6,  G1368&lt;50),  "Alerta",
   TRUE,           "Revisar")</f>
        <v>Alerta</v>
      </c>
      <c r="J1368" s="28">
        <f t="shared" si="21"/>
        <v>0</v>
      </c>
    </row>
    <row r="1369" spans="1:10" ht="18" customHeight="1" x14ac:dyDescent="0.3">
      <c r="A1369" s="25" t="s">
        <v>2786</v>
      </c>
      <c r="B1369" s="8" t="s">
        <v>2787</v>
      </c>
      <c r="C1369" s="25" t="s">
        <v>91</v>
      </c>
      <c r="D1369" s="25" t="s">
        <v>114</v>
      </c>
      <c r="E1369" s="9">
        <v>9900000</v>
      </c>
      <c r="F1369" s="26">
        <v>0.72</v>
      </c>
      <c r="G1369" s="25">
        <v>95</v>
      </c>
      <c r="H1369" s="27">
        <v>18</v>
      </c>
      <c r="I1369" s="24" t="str" cm="1">
        <f t="array" ref="I1369">_xlfn.IFS(
   AND(F1369&gt;=0,9, G1369&gt;=85), "Excelente",
   AND(F1369&gt;=0,8, G1369&gt;=70), "Bueno",
   OR(F1369&lt;0,6,  G1369&lt;50),  "Alerta",
   TRUE,           "Revisar")</f>
        <v>Excelente</v>
      </c>
      <c r="J1369" s="28">
        <f t="shared" si="21"/>
        <v>990000</v>
      </c>
    </row>
    <row r="1370" spans="1:10" ht="18" customHeight="1" x14ac:dyDescent="0.3">
      <c r="A1370" s="18" t="s">
        <v>2788</v>
      </c>
      <c r="B1370" s="5" t="s">
        <v>2789</v>
      </c>
      <c r="C1370" s="18" t="s">
        <v>74</v>
      </c>
      <c r="D1370" s="18" t="s">
        <v>64</v>
      </c>
      <c r="E1370" s="6">
        <v>11400000</v>
      </c>
      <c r="F1370" s="19">
        <v>0.56000000000000005</v>
      </c>
      <c r="G1370" s="18">
        <v>57</v>
      </c>
      <c r="H1370" s="20">
        <v>7.1</v>
      </c>
      <c r="I1370" s="24" t="str" cm="1">
        <f t="array" ref="I1370">_xlfn.IFS(
   AND(F1370&gt;=0,9, G1370&gt;=85), "Excelente",
   AND(F1370&gt;=0,8, G1370&gt;=70), "Bueno",
   OR(F1370&lt;0,6,  G1370&lt;50),  "Alerta",
   TRUE,           "Revisar")</f>
        <v>Alerta</v>
      </c>
      <c r="J1370" s="28">
        <f t="shared" si="21"/>
        <v>0</v>
      </c>
    </row>
    <row r="1371" spans="1:10" ht="18" customHeight="1" x14ac:dyDescent="0.3">
      <c r="A1371" s="25" t="s">
        <v>2790</v>
      </c>
      <c r="B1371" s="8" t="s">
        <v>2791</v>
      </c>
      <c r="C1371" s="25" t="s">
        <v>59</v>
      </c>
      <c r="D1371" s="25" t="s">
        <v>105</v>
      </c>
      <c r="E1371" s="9">
        <v>9700000</v>
      </c>
      <c r="F1371" s="26">
        <v>0.81</v>
      </c>
      <c r="G1371" s="25">
        <v>92</v>
      </c>
      <c r="H1371" s="27">
        <v>0.8</v>
      </c>
      <c r="I1371" s="24" t="str" cm="1">
        <f t="array" ref="I1371">_xlfn.IFS(
   AND(F1371&gt;=0,9, G1371&gt;=85), "Excelente",
   AND(F1371&gt;=0,8, G1371&gt;=70), "Bueno",
   OR(F1371&lt;0,6,  G1371&lt;50),  "Alerta",
   TRUE,           "Revisar")</f>
        <v>Excelente</v>
      </c>
      <c r="J1371" s="28">
        <f t="shared" si="21"/>
        <v>970000</v>
      </c>
    </row>
    <row r="1372" spans="1:10" ht="18" customHeight="1" x14ac:dyDescent="0.3">
      <c r="A1372" s="18" t="s">
        <v>2792</v>
      </c>
      <c r="B1372" s="5" t="s">
        <v>2793</v>
      </c>
      <c r="C1372" s="18" t="s">
        <v>81</v>
      </c>
      <c r="D1372" s="18" t="s">
        <v>92</v>
      </c>
      <c r="E1372" s="6">
        <v>3400000</v>
      </c>
      <c r="F1372" s="19">
        <v>0.48</v>
      </c>
      <c r="G1372" s="18">
        <v>90</v>
      </c>
      <c r="H1372" s="20">
        <v>12.4</v>
      </c>
      <c r="I1372" s="24" t="str" cm="1">
        <f t="array" ref="I1372">_xlfn.IFS(
   AND(F1372&gt;=0,9, G1372&gt;=85), "Excelente",
   AND(F1372&gt;=0,8, G1372&gt;=70), "Bueno",
   OR(F1372&lt;0,6,  G1372&lt;50),  "Alerta",
   TRUE,           "Revisar")</f>
        <v>Excelente</v>
      </c>
      <c r="J1372" s="28">
        <f t="shared" si="21"/>
        <v>340000</v>
      </c>
    </row>
    <row r="1373" spans="1:10" ht="18" customHeight="1" x14ac:dyDescent="0.3">
      <c r="A1373" s="25" t="s">
        <v>2794</v>
      </c>
      <c r="B1373" s="8" t="s">
        <v>2795</v>
      </c>
      <c r="C1373" s="25" t="s">
        <v>71</v>
      </c>
      <c r="D1373" s="25" t="s">
        <v>92</v>
      </c>
      <c r="E1373" s="9">
        <v>11000000</v>
      </c>
      <c r="F1373" s="26">
        <v>0.57999999999999996</v>
      </c>
      <c r="G1373" s="25">
        <v>77</v>
      </c>
      <c r="H1373" s="27">
        <v>2.9</v>
      </c>
      <c r="I1373" s="24" t="str" cm="1">
        <f t="array" ref="I1373">_xlfn.IFS(
   AND(F1373&gt;=0,9, G1373&gt;=85), "Excelente",
   AND(F1373&gt;=0,8, G1373&gt;=70), "Bueno",
   OR(F1373&lt;0,6,  G1373&lt;50),  "Alerta",
   TRUE,           "Revisar")</f>
        <v>Bueno</v>
      </c>
      <c r="J1373" s="28">
        <f t="shared" si="21"/>
        <v>1100000</v>
      </c>
    </row>
    <row r="1374" spans="1:10" ht="18" customHeight="1" x14ac:dyDescent="0.3">
      <c r="A1374" s="18" t="s">
        <v>2796</v>
      </c>
      <c r="B1374" s="5" t="s">
        <v>2797</v>
      </c>
      <c r="C1374" s="18" t="s">
        <v>81</v>
      </c>
      <c r="D1374" s="18" t="s">
        <v>88</v>
      </c>
      <c r="E1374" s="6">
        <v>10000000</v>
      </c>
      <c r="F1374" s="19">
        <v>0.48</v>
      </c>
      <c r="G1374" s="18">
        <v>46</v>
      </c>
      <c r="H1374" s="20">
        <v>10.5</v>
      </c>
      <c r="I1374" s="24" t="str" cm="1">
        <f t="array" ref="I1374">_xlfn.IFS(
   AND(F1374&gt;=0,9, G1374&gt;=85), "Excelente",
   AND(F1374&gt;=0,8, G1374&gt;=70), "Bueno",
   OR(F1374&lt;0,6,  G1374&lt;50),  "Alerta",
   TRUE,           "Revisar")</f>
        <v>Alerta</v>
      </c>
      <c r="J1374" s="28">
        <f t="shared" si="21"/>
        <v>0</v>
      </c>
    </row>
    <row r="1375" spans="1:10" ht="18" customHeight="1" x14ac:dyDescent="0.3">
      <c r="A1375" s="25" t="s">
        <v>2798</v>
      </c>
      <c r="B1375" s="8" t="s">
        <v>2799</v>
      </c>
      <c r="C1375" s="25" t="s">
        <v>67</v>
      </c>
      <c r="D1375" s="25" t="s">
        <v>88</v>
      </c>
      <c r="E1375" s="9">
        <v>9800000</v>
      </c>
      <c r="F1375" s="26">
        <v>0.71</v>
      </c>
      <c r="G1375" s="25">
        <v>66</v>
      </c>
      <c r="H1375" s="27">
        <v>3.6</v>
      </c>
      <c r="I1375" s="24" t="str" cm="1">
        <f t="array" ref="I1375">_xlfn.IFS(
   AND(F1375&gt;=0,9, G1375&gt;=85), "Excelente",
   AND(F1375&gt;=0,8, G1375&gt;=70), "Bueno",
   OR(F1375&lt;0,6,  G1375&lt;50),  "Alerta",
   TRUE,           "Revisar")</f>
        <v>Alerta</v>
      </c>
      <c r="J1375" s="28">
        <f t="shared" si="21"/>
        <v>0</v>
      </c>
    </row>
    <row r="1376" spans="1:10" ht="18" customHeight="1" x14ac:dyDescent="0.3">
      <c r="A1376" s="18" t="s">
        <v>2800</v>
      </c>
      <c r="B1376" s="5" t="s">
        <v>2801</v>
      </c>
      <c r="C1376" s="18" t="s">
        <v>63</v>
      </c>
      <c r="D1376" s="18" t="s">
        <v>105</v>
      </c>
      <c r="E1376" s="6">
        <v>11600000</v>
      </c>
      <c r="F1376" s="19">
        <v>0.77</v>
      </c>
      <c r="G1376" s="18">
        <v>98</v>
      </c>
      <c r="H1376" s="20">
        <v>13.2</v>
      </c>
      <c r="I1376" s="24" t="str" cm="1">
        <f t="array" ref="I1376">_xlfn.IFS(
   AND(F1376&gt;=0,9, G1376&gt;=85), "Excelente",
   AND(F1376&gt;=0,8, G1376&gt;=70), "Bueno",
   OR(F1376&lt;0,6,  G1376&lt;50),  "Alerta",
   TRUE,           "Revisar")</f>
        <v>Excelente</v>
      </c>
      <c r="J1376" s="28">
        <f t="shared" si="21"/>
        <v>1160000</v>
      </c>
    </row>
    <row r="1377" spans="1:10" ht="18" customHeight="1" x14ac:dyDescent="0.3">
      <c r="A1377" s="25" t="s">
        <v>2802</v>
      </c>
      <c r="B1377" s="8" t="s">
        <v>2803</v>
      </c>
      <c r="C1377" s="25" t="s">
        <v>81</v>
      </c>
      <c r="D1377" s="25" t="s">
        <v>92</v>
      </c>
      <c r="E1377" s="9">
        <v>3300000</v>
      </c>
      <c r="F1377" s="26">
        <v>1</v>
      </c>
      <c r="G1377" s="25">
        <v>99</v>
      </c>
      <c r="H1377" s="27">
        <v>12.7</v>
      </c>
      <c r="I1377" s="24" t="str" cm="1">
        <f t="array" ref="I1377">_xlfn.IFS(
   AND(F1377&gt;=0,9, G1377&gt;=85), "Excelente",
   AND(F1377&gt;=0,8, G1377&gt;=70), "Bueno",
   OR(F1377&lt;0,6,  G1377&lt;50),  "Alerta",
   TRUE,           "Revisar")</f>
        <v>Excelente</v>
      </c>
      <c r="J1377" s="28">
        <f t="shared" si="21"/>
        <v>330000</v>
      </c>
    </row>
    <row r="1378" spans="1:10" ht="18" customHeight="1" x14ac:dyDescent="0.3">
      <c r="A1378" s="18" t="s">
        <v>2804</v>
      </c>
      <c r="B1378" s="5" t="s">
        <v>2805</v>
      </c>
      <c r="C1378" s="18" t="s">
        <v>59</v>
      </c>
      <c r="D1378" s="18" t="s">
        <v>60</v>
      </c>
      <c r="E1378" s="6">
        <v>4300000</v>
      </c>
      <c r="F1378" s="19">
        <v>0.93</v>
      </c>
      <c r="G1378" s="18">
        <v>58</v>
      </c>
      <c r="H1378" s="20">
        <v>12.8</v>
      </c>
      <c r="I1378" s="24" t="str" cm="1">
        <f t="array" ref="I1378">_xlfn.IFS(
   AND(F1378&gt;=0,9, G1378&gt;=85), "Excelente",
   AND(F1378&gt;=0,8, G1378&gt;=70), "Bueno",
   OR(F1378&lt;0,6,  G1378&lt;50),  "Alerta",
   TRUE,           "Revisar")</f>
        <v>Alerta</v>
      </c>
      <c r="J1378" s="28">
        <f t="shared" si="21"/>
        <v>0</v>
      </c>
    </row>
    <row r="1379" spans="1:10" ht="18" customHeight="1" x14ac:dyDescent="0.3">
      <c r="A1379" s="25" t="s">
        <v>2806</v>
      </c>
      <c r="B1379" s="8" t="s">
        <v>2807</v>
      </c>
      <c r="C1379" s="25" t="s">
        <v>81</v>
      </c>
      <c r="D1379" s="25" t="s">
        <v>105</v>
      </c>
      <c r="E1379" s="9">
        <v>11900000</v>
      </c>
      <c r="F1379" s="26">
        <v>0.65</v>
      </c>
      <c r="G1379" s="25">
        <v>97</v>
      </c>
      <c r="H1379" s="27">
        <v>5.5</v>
      </c>
      <c r="I1379" s="24" t="str" cm="1">
        <f t="array" ref="I1379">_xlfn.IFS(
   AND(F1379&gt;=0,9, G1379&gt;=85), "Excelente",
   AND(F1379&gt;=0,8, G1379&gt;=70), "Bueno",
   OR(F1379&lt;0,6,  G1379&lt;50),  "Alerta",
   TRUE,           "Revisar")</f>
        <v>Excelente</v>
      </c>
      <c r="J1379" s="28">
        <f t="shared" si="21"/>
        <v>1190000</v>
      </c>
    </row>
    <row r="1380" spans="1:10" ht="18" customHeight="1" x14ac:dyDescent="0.3">
      <c r="A1380" s="18" t="s">
        <v>2808</v>
      </c>
      <c r="B1380" s="5" t="s">
        <v>2809</v>
      </c>
      <c r="C1380" s="18" t="s">
        <v>91</v>
      </c>
      <c r="D1380" s="18" t="s">
        <v>64</v>
      </c>
      <c r="E1380" s="6">
        <v>8700000</v>
      </c>
      <c r="F1380" s="19">
        <v>0.73</v>
      </c>
      <c r="G1380" s="18">
        <v>47</v>
      </c>
      <c r="H1380" s="20">
        <v>8.3000000000000007</v>
      </c>
      <c r="I1380" s="24" t="str" cm="1">
        <f t="array" ref="I1380">_xlfn.IFS(
   AND(F1380&gt;=0,9, G1380&gt;=85), "Excelente",
   AND(F1380&gt;=0,8, G1380&gt;=70), "Bueno",
   OR(F1380&lt;0,6,  G1380&lt;50),  "Alerta",
   TRUE,           "Revisar")</f>
        <v>Alerta</v>
      </c>
      <c r="J1380" s="28">
        <f t="shared" si="21"/>
        <v>0</v>
      </c>
    </row>
    <row r="1381" spans="1:10" ht="18" customHeight="1" x14ac:dyDescent="0.3">
      <c r="A1381" s="25" t="s">
        <v>2810</v>
      </c>
      <c r="B1381" s="8" t="s">
        <v>2811</v>
      </c>
      <c r="C1381" s="25" t="s">
        <v>63</v>
      </c>
      <c r="D1381" s="25" t="s">
        <v>92</v>
      </c>
      <c r="E1381" s="9">
        <v>8500000</v>
      </c>
      <c r="F1381" s="26">
        <v>0.6</v>
      </c>
      <c r="G1381" s="25">
        <v>68</v>
      </c>
      <c r="H1381" s="27">
        <v>6.7</v>
      </c>
      <c r="I1381" s="24" t="str" cm="1">
        <f t="array" ref="I1381">_xlfn.IFS(
   AND(F1381&gt;=0,9, G1381&gt;=85), "Excelente",
   AND(F1381&gt;=0,8, G1381&gt;=70), "Bueno",
   OR(F1381&lt;0,6,  G1381&lt;50),  "Alerta",
   TRUE,           "Revisar")</f>
        <v>Alerta</v>
      </c>
      <c r="J1381" s="28">
        <f t="shared" si="21"/>
        <v>0</v>
      </c>
    </row>
    <row r="1382" spans="1:10" ht="18" customHeight="1" x14ac:dyDescent="0.3">
      <c r="A1382" s="18" t="s">
        <v>2812</v>
      </c>
      <c r="B1382" s="5" t="s">
        <v>2813</v>
      </c>
      <c r="C1382" s="18" t="s">
        <v>77</v>
      </c>
      <c r="D1382" s="18" t="s">
        <v>88</v>
      </c>
      <c r="E1382" s="6">
        <v>4000000</v>
      </c>
      <c r="F1382" s="19">
        <v>0.8</v>
      </c>
      <c r="G1382" s="18">
        <v>44</v>
      </c>
      <c r="H1382" s="20">
        <v>5.0999999999999996</v>
      </c>
      <c r="I1382" s="24" t="str" cm="1">
        <f t="array" ref="I1382">_xlfn.IFS(
   AND(F1382&gt;=0,9, G1382&gt;=85), "Excelente",
   AND(F1382&gt;=0,8, G1382&gt;=70), "Bueno",
   OR(F1382&lt;0,6,  G1382&lt;50),  "Alerta",
   TRUE,           "Revisar")</f>
        <v>Alerta</v>
      </c>
      <c r="J1382" s="28">
        <f t="shared" si="21"/>
        <v>0</v>
      </c>
    </row>
    <row r="1383" spans="1:10" ht="18" customHeight="1" x14ac:dyDescent="0.3">
      <c r="A1383" s="25" t="s">
        <v>2814</v>
      </c>
      <c r="B1383" s="8" t="s">
        <v>2815</v>
      </c>
      <c r="C1383" s="25" t="s">
        <v>59</v>
      </c>
      <c r="D1383" s="25" t="s">
        <v>114</v>
      </c>
      <c r="E1383" s="9">
        <v>3600000</v>
      </c>
      <c r="F1383" s="26">
        <v>0.48</v>
      </c>
      <c r="G1383" s="25">
        <v>84</v>
      </c>
      <c r="H1383" s="27">
        <v>5.6</v>
      </c>
      <c r="I1383" s="24" t="str" cm="1">
        <f t="array" ref="I1383">_xlfn.IFS(
   AND(F1383&gt;=0,9, G1383&gt;=85), "Excelente",
   AND(F1383&gt;=0,8, G1383&gt;=70), "Bueno",
   OR(F1383&lt;0,6,  G1383&lt;50),  "Alerta",
   TRUE,           "Revisar")</f>
        <v>Bueno</v>
      </c>
      <c r="J1383" s="28">
        <f t="shared" si="21"/>
        <v>360000</v>
      </c>
    </row>
    <row r="1384" spans="1:10" ht="18" customHeight="1" x14ac:dyDescent="0.3">
      <c r="A1384" s="18" t="s">
        <v>2816</v>
      </c>
      <c r="B1384" s="5" t="s">
        <v>2817</v>
      </c>
      <c r="C1384" s="18" t="s">
        <v>81</v>
      </c>
      <c r="D1384" s="18" t="s">
        <v>92</v>
      </c>
      <c r="E1384" s="6">
        <v>7700000</v>
      </c>
      <c r="F1384" s="19">
        <v>0.62</v>
      </c>
      <c r="G1384" s="18">
        <v>65</v>
      </c>
      <c r="H1384" s="20">
        <v>6.4</v>
      </c>
      <c r="I1384" s="24" t="str" cm="1">
        <f t="array" ref="I1384">_xlfn.IFS(
   AND(F1384&gt;=0,9, G1384&gt;=85), "Excelente",
   AND(F1384&gt;=0,8, G1384&gt;=70), "Bueno",
   OR(F1384&lt;0,6,  G1384&lt;50),  "Alerta",
   TRUE,           "Revisar")</f>
        <v>Alerta</v>
      </c>
      <c r="J1384" s="28">
        <f t="shared" si="21"/>
        <v>0</v>
      </c>
    </row>
    <row r="1385" spans="1:10" ht="18" customHeight="1" x14ac:dyDescent="0.3">
      <c r="A1385" s="25" t="s">
        <v>2818</v>
      </c>
      <c r="B1385" s="8" t="s">
        <v>2819</v>
      </c>
      <c r="C1385" s="25" t="s">
        <v>74</v>
      </c>
      <c r="D1385" s="25" t="s">
        <v>78</v>
      </c>
      <c r="E1385" s="9">
        <v>9800000</v>
      </c>
      <c r="F1385" s="26">
        <v>0.7</v>
      </c>
      <c r="G1385" s="25">
        <v>48</v>
      </c>
      <c r="H1385" s="27">
        <v>10.1</v>
      </c>
      <c r="I1385" s="24" t="str" cm="1">
        <f t="array" ref="I1385">_xlfn.IFS(
   AND(F1385&gt;=0,9, G1385&gt;=85), "Excelente",
   AND(F1385&gt;=0,8, G1385&gt;=70), "Bueno",
   OR(F1385&lt;0,6,  G1385&lt;50),  "Alerta",
   TRUE,           "Revisar")</f>
        <v>Alerta</v>
      </c>
      <c r="J1385" s="28">
        <f t="shared" si="21"/>
        <v>0</v>
      </c>
    </row>
    <row r="1386" spans="1:10" ht="18" customHeight="1" x14ac:dyDescent="0.3">
      <c r="A1386" s="18" t="s">
        <v>2820</v>
      </c>
      <c r="B1386" s="5" t="s">
        <v>2821</v>
      </c>
      <c r="C1386" s="18" t="s">
        <v>59</v>
      </c>
      <c r="D1386" s="18" t="s">
        <v>64</v>
      </c>
      <c r="E1386" s="6">
        <v>2800000</v>
      </c>
      <c r="F1386" s="19">
        <v>0.5</v>
      </c>
      <c r="G1386" s="18">
        <v>47</v>
      </c>
      <c r="H1386" s="20">
        <v>1</v>
      </c>
      <c r="I1386" s="24" t="str" cm="1">
        <f t="array" ref="I1386">_xlfn.IFS(
   AND(F1386&gt;=0,9, G1386&gt;=85), "Excelente",
   AND(F1386&gt;=0,8, G1386&gt;=70), "Bueno",
   OR(F1386&lt;0,6,  G1386&lt;50),  "Alerta",
   TRUE,           "Revisar")</f>
        <v>Alerta</v>
      </c>
      <c r="J1386" s="28">
        <f t="shared" si="21"/>
        <v>0</v>
      </c>
    </row>
    <row r="1387" spans="1:10" ht="18" customHeight="1" x14ac:dyDescent="0.3">
      <c r="A1387" s="25" t="s">
        <v>2822</v>
      </c>
      <c r="B1387" s="8" t="s">
        <v>2823</v>
      </c>
      <c r="C1387" s="25" t="s">
        <v>67</v>
      </c>
      <c r="D1387" s="25" t="s">
        <v>92</v>
      </c>
      <c r="E1387" s="9">
        <v>9000000</v>
      </c>
      <c r="F1387" s="26">
        <v>0.72</v>
      </c>
      <c r="G1387" s="25">
        <v>30</v>
      </c>
      <c r="H1387" s="27">
        <v>10.5</v>
      </c>
      <c r="I1387" s="24" t="str" cm="1">
        <f t="array" ref="I1387">_xlfn.IFS(
   AND(F1387&gt;=0,9, G1387&gt;=85), "Excelente",
   AND(F1387&gt;=0,8, G1387&gt;=70), "Bueno",
   OR(F1387&lt;0,6,  G1387&lt;50),  "Alerta",
   TRUE,           "Revisar")</f>
        <v>Alerta</v>
      </c>
      <c r="J1387" s="28">
        <f t="shared" si="21"/>
        <v>0</v>
      </c>
    </row>
    <row r="1388" spans="1:10" ht="18" customHeight="1" x14ac:dyDescent="0.3">
      <c r="A1388" s="18" t="s">
        <v>2824</v>
      </c>
      <c r="B1388" s="5" t="s">
        <v>2825</v>
      </c>
      <c r="C1388" s="18" t="s">
        <v>59</v>
      </c>
      <c r="D1388" s="18" t="s">
        <v>92</v>
      </c>
      <c r="E1388" s="6">
        <v>6100000</v>
      </c>
      <c r="F1388" s="19">
        <v>0.53</v>
      </c>
      <c r="G1388" s="18">
        <v>100</v>
      </c>
      <c r="H1388" s="20">
        <v>12.6</v>
      </c>
      <c r="I1388" s="24" t="str" cm="1">
        <f t="array" ref="I1388">_xlfn.IFS(
   AND(F1388&gt;=0,9, G1388&gt;=85), "Excelente",
   AND(F1388&gt;=0,8, G1388&gt;=70), "Bueno",
   OR(F1388&lt;0,6,  G1388&lt;50),  "Alerta",
   TRUE,           "Revisar")</f>
        <v>Excelente</v>
      </c>
      <c r="J1388" s="28">
        <f t="shared" si="21"/>
        <v>610000</v>
      </c>
    </row>
    <row r="1389" spans="1:10" ht="18" customHeight="1" x14ac:dyDescent="0.3">
      <c r="A1389" s="25" t="s">
        <v>2826</v>
      </c>
      <c r="B1389" s="8" t="s">
        <v>2827</v>
      </c>
      <c r="C1389" s="25" t="s">
        <v>59</v>
      </c>
      <c r="D1389" s="25" t="s">
        <v>114</v>
      </c>
      <c r="E1389" s="9">
        <v>9000000</v>
      </c>
      <c r="F1389" s="26">
        <v>0.55000000000000004</v>
      </c>
      <c r="G1389" s="25">
        <v>38</v>
      </c>
      <c r="H1389" s="27">
        <v>8</v>
      </c>
      <c r="I1389" s="24" t="str" cm="1">
        <f t="array" ref="I1389">_xlfn.IFS(
   AND(F1389&gt;=0,9, G1389&gt;=85), "Excelente",
   AND(F1389&gt;=0,8, G1389&gt;=70), "Bueno",
   OR(F1389&lt;0,6,  G1389&lt;50),  "Alerta",
   TRUE,           "Revisar")</f>
        <v>Alerta</v>
      </c>
      <c r="J1389" s="28">
        <f t="shared" si="21"/>
        <v>0</v>
      </c>
    </row>
    <row r="1390" spans="1:10" ht="18" customHeight="1" x14ac:dyDescent="0.3">
      <c r="A1390" s="18" t="s">
        <v>2828</v>
      </c>
      <c r="B1390" s="5" t="s">
        <v>2829</v>
      </c>
      <c r="C1390" s="18" t="s">
        <v>59</v>
      </c>
      <c r="D1390" s="18" t="s">
        <v>114</v>
      </c>
      <c r="E1390" s="6">
        <v>4600000</v>
      </c>
      <c r="F1390" s="19">
        <v>0.6</v>
      </c>
      <c r="G1390" s="18">
        <v>98</v>
      </c>
      <c r="H1390" s="20">
        <v>12</v>
      </c>
      <c r="I1390" s="24" t="str" cm="1">
        <f t="array" ref="I1390">_xlfn.IFS(
   AND(F1390&gt;=0,9, G1390&gt;=85), "Excelente",
   AND(F1390&gt;=0,8, G1390&gt;=70), "Bueno",
   OR(F1390&lt;0,6,  G1390&lt;50),  "Alerta",
   TRUE,           "Revisar")</f>
        <v>Excelente</v>
      </c>
      <c r="J1390" s="28">
        <f t="shared" si="21"/>
        <v>460000</v>
      </c>
    </row>
    <row r="1391" spans="1:10" ht="18" customHeight="1" x14ac:dyDescent="0.3">
      <c r="A1391" s="25" t="s">
        <v>2830</v>
      </c>
      <c r="B1391" s="8" t="s">
        <v>2831</v>
      </c>
      <c r="C1391" s="25" t="s">
        <v>77</v>
      </c>
      <c r="D1391" s="25" t="s">
        <v>60</v>
      </c>
      <c r="E1391" s="9">
        <v>9700000</v>
      </c>
      <c r="F1391" s="26">
        <v>0.74</v>
      </c>
      <c r="G1391" s="25">
        <v>71</v>
      </c>
      <c r="H1391" s="27">
        <v>0.3</v>
      </c>
      <c r="I1391" s="24" t="str" cm="1">
        <f t="array" ref="I1391">_xlfn.IFS(
   AND(F1391&gt;=0,9, G1391&gt;=85), "Excelente",
   AND(F1391&gt;=0,8, G1391&gt;=70), "Bueno",
   OR(F1391&lt;0,6,  G1391&lt;50),  "Alerta",
   TRUE,           "Revisar")</f>
        <v>Bueno</v>
      </c>
      <c r="J1391" s="28">
        <f t="shared" si="21"/>
        <v>970000</v>
      </c>
    </row>
    <row r="1392" spans="1:10" ht="18" customHeight="1" x14ac:dyDescent="0.3">
      <c r="A1392" s="18" t="s">
        <v>2832</v>
      </c>
      <c r="B1392" s="5" t="s">
        <v>2833</v>
      </c>
      <c r="C1392" s="18" t="s">
        <v>67</v>
      </c>
      <c r="D1392" s="18" t="s">
        <v>92</v>
      </c>
      <c r="E1392" s="6">
        <v>7900000</v>
      </c>
      <c r="F1392" s="19">
        <v>0.52</v>
      </c>
      <c r="G1392" s="18">
        <v>36</v>
      </c>
      <c r="H1392" s="20">
        <v>6</v>
      </c>
      <c r="I1392" s="24" t="str" cm="1">
        <f t="array" ref="I1392">_xlfn.IFS(
   AND(F1392&gt;=0,9, G1392&gt;=85), "Excelente",
   AND(F1392&gt;=0,8, G1392&gt;=70), "Bueno",
   OR(F1392&lt;0,6,  G1392&lt;50),  "Alerta",
   TRUE,           "Revisar")</f>
        <v>Alerta</v>
      </c>
      <c r="J1392" s="28">
        <f t="shared" si="21"/>
        <v>0</v>
      </c>
    </row>
    <row r="1393" spans="1:10" ht="18" customHeight="1" x14ac:dyDescent="0.3">
      <c r="A1393" s="25" t="s">
        <v>2834</v>
      </c>
      <c r="B1393" s="8" t="s">
        <v>2835</v>
      </c>
      <c r="C1393" s="25" t="s">
        <v>71</v>
      </c>
      <c r="D1393" s="25" t="s">
        <v>78</v>
      </c>
      <c r="E1393" s="9">
        <v>5800000</v>
      </c>
      <c r="F1393" s="26">
        <v>0.8</v>
      </c>
      <c r="G1393" s="25">
        <v>98</v>
      </c>
      <c r="H1393" s="27">
        <v>12.8</v>
      </c>
      <c r="I1393" s="24" t="str" cm="1">
        <f t="array" ref="I1393">_xlfn.IFS(
   AND(F1393&gt;=0,9, G1393&gt;=85), "Excelente",
   AND(F1393&gt;=0,8, G1393&gt;=70), "Bueno",
   OR(F1393&lt;0,6,  G1393&lt;50),  "Alerta",
   TRUE,           "Revisar")</f>
        <v>Excelente</v>
      </c>
      <c r="J1393" s="28">
        <f t="shared" si="21"/>
        <v>580000</v>
      </c>
    </row>
    <row r="1394" spans="1:10" ht="18" customHeight="1" x14ac:dyDescent="0.3">
      <c r="A1394" s="18" t="s">
        <v>2836</v>
      </c>
      <c r="B1394" s="5" t="s">
        <v>2837</v>
      </c>
      <c r="C1394" s="18" t="s">
        <v>71</v>
      </c>
      <c r="D1394" s="18" t="s">
        <v>114</v>
      </c>
      <c r="E1394" s="6">
        <v>8400000</v>
      </c>
      <c r="F1394" s="19">
        <v>0.76</v>
      </c>
      <c r="G1394" s="18">
        <v>67</v>
      </c>
      <c r="H1394" s="20">
        <v>14.6</v>
      </c>
      <c r="I1394" s="24" t="str" cm="1">
        <f t="array" ref="I1394">_xlfn.IFS(
   AND(F1394&gt;=0,9, G1394&gt;=85), "Excelente",
   AND(F1394&gt;=0,8, G1394&gt;=70), "Bueno",
   OR(F1394&lt;0,6,  G1394&lt;50),  "Alerta",
   TRUE,           "Revisar")</f>
        <v>Alerta</v>
      </c>
      <c r="J1394" s="28">
        <f t="shared" si="21"/>
        <v>0</v>
      </c>
    </row>
    <row r="1395" spans="1:10" ht="18" customHeight="1" x14ac:dyDescent="0.3">
      <c r="A1395" s="25" t="s">
        <v>2838</v>
      </c>
      <c r="B1395" s="8" t="s">
        <v>2839</v>
      </c>
      <c r="C1395" s="25" t="s">
        <v>67</v>
      </c>
      <c r="D1395" s="25" t="s">
        <v>92</v>
      </c>
      <c r="E1395" s="9">
        <v>12000000</v>
      </c>
      <c r="F1395" s="26">
        <v>0.72</v>
      </c>
      <c r="G1395" s="25">
        <v>39</v>
      </c>
      <c r="H1395" s="27">
        <v>5.7</v>
      </c>
      <c r="I1395" s="24" t="str" cm="1">
        <f t="array" ref="I1395">_xlfn.IFS(
   AND(F1395&gt;=0,9, G1395&gt;=85), "Excelente",
   AND(F1395&gt;=0,8, G1395&gt;=70), "Bueno",
   OR(F1395&lt;0,6,  G1395&lt;50),  "Alerta",
   TRUE,           "Revisar")</f>
        <v>Alerta</v>
      </c>
      <c r="J1395" s="28">
        <f t="shared" si="21"/>
        <v>0</v>
      </c>
    </row>
    <row r="1396" spans="1:10" ht="18" customHeight="1" x14ac:dyDescent="0.3">
      <c r="A1396" s="18" t="s">
        <v>2840</v>
      </c>
      <c r="B1396" s="5" t="s">
        <v>2841</v>
      </c>
      <c r="C1396" s="18" t="s">
        <v>71</v>
      </c>
      <c r="D1396" s="18" t="s">
        <v>60</v>
      </c>
      <c r="E1396" s="6">
        <v>10800000</v>
      </c>
      <c r="F1396" s="19">
        <v>0.6</v>
      </c>
      <c r="G1396" s="18">
        <v>40</v>
      </c>
      <c r="H1396" s="20">
        <v>17.5</v>
      </c>
      <c r="I1396" s="24" t="str" cm="1">
        <f t="array" ref="I1396">_xlfn.IFS(
   AND(F1396&gt;=0,9, G1396&gt;=85), "Excelente",
   AND(F1396&gt;=0,8, G1396&gt;=70), "Bueno",
   OR(F1396&lt;0,6,  G1396&lt;50),  "Alerta",
   TRUE,           "Revisar")</f>
        <v>Alerta</v>
      </c>
      <c r="J1396" s="28">
        <f t="shared" si="21"/>
        <v>0</v>
      </c>
    </row>
    <row r="1397" spans="1:10" ht="18" customHeight="1" x14ac:dyDescent="0.3">
      <c r="A1397" s="25" t="s">
        <v>2842</v>
      </c>
      <c r="B1397" s="8" t="s">
        <v>2843</v>
      </c>
      <c r="C1397" s="25" t="s">
        <v>71</v>
      </c>
      <c r="D1397" s="25" t="s">
        <v>64</v>
      </c>
      <c r="E1397" s="9">
        <v>8200000</v>
      </c>
      <c r="F1397" s="26">
        <v>0.69</v>
      </c>
      <c r="G1397" s="25">
        <v>87</v>
      </c>
      <c r="H1397" s="27">
        <v>1.5</v>
      </c>
      <c r="I1397" s="24" t="str" cm="1">
        <f t="array" ref="I1397">_xlfn.IFS(
   AND(F1397&gt;=0,9, G1397&gt;=85), "Excelente",
   AND(F1397&gt;=0,8, G1397&gt;=70), "Bueno",
   OR(F1397&lt;0,6,  G1397&lt;50),  "Alerta",
   TRUE,           "Revisar")</f>
        <v>Excelente</v>
      </c>
      <c r="J1397" s="28">
        <f t="shared" si="21"/>
        <v>820000</v>
      </c>
    </row>
    <row r="1398" spans="1:10" ht="18" customHeight="1" x14ac:dyDescent="0.3">
      <c r="A1398" s="18" t="s">
        <v>2844</v>
      </c>
      <c r="B1398" s="5" t="s">
        <v>2845</v>
      </c>
      <c r="C1398" s="18" t="s">
        <v>67</v>
      </c>
      <c r="D1398" s="18" t="s">
        <v>68</v>
      </c>
      <c r="E1398" s="6">
        <v>7100000</v>
      </c>
      <c r="F1398" s="19">
        <v>0.63</v>
      </c>
      <c r="G1398" s="18">
        <v>47</v>
      </c>
      <c r="H1398" s="20">
        <v>4.9000000000000004</v>
      </c>
      <c r="I1398" s="24" t="str" cm="1">
        <f t="array" ref="I1398">_xlfn.IFS(
   AND(F1398&gt;=0,9, G1398&gt;=85), "Excelente",
   AND(F1398&gt;=0,8, G1398&gt;=70), "Bueno",
   OR(F1398&lt;0,6,  G1398&lt;50),  "Alerta",
   TRUE,           "Revisar")</f>
        <v>Alerta</v>
      </c>
      <c r="J1398" s="28">
        <f t="shared" si="21"/>
        <v>0</v>
      </c>
    </row>
    <row r="1399" spans="1:10" ht="18" customHeight="1" x14ac:dyDescent="0.3">
      <c r="A1399" s="25" t="s">
        <v>2846</v>
      </c>
      <c r="B1399" s="8" t="s">
        <v>2847</v>
      </c>
      <c r="C1399" s="25" t="s">
        <v>67</v>
      </c>
      <c r="D1399" s="25" t="s">
        <v>68</v>
      </c>
      <c r="E1399" s="9">
        <v>5400000</v>
      </c>
      <c r="F1399" s="26">
        <v>0.92</v>
      </c>
      <c r="G1399" s="25">
        <v>55</v>
      </c>
      <c r="H1399" s="27">
        <v>5</v>
      </c>
      <c r="I1399" s="24" t="str" cm="1">
        <f t="array" ref="I1399">_xlfn.IFS(
   AND(F1399&gt;=0,9, G1399&gt;=85), "Excelente",
   AND(F1399&gt;=0,8, G1399&gt;=70), "Bueno",
   OR(F1399&lt;0,6,  G1399&lt;50),  "Alerta",
   TRUE,           "Revisar")</f>
        <v>Alerta</v>
      </c>
      <c r="J1399" s="28">
        <f t="shared" si="21"/>
        <v>0</v>
      </c>
    </row>
    <row r="1400" spans="1:10" ht="18" customHeight="1" x14ac:dyDescent="0.3">
      <c r="A1400" s="18" t="s">
        <v>2848</v>
      </c>
      <c r="B1400" s="5" t="s">
        <v>2849</v>
      </c>
      <c r="C1400" s="18" t="s">
        <v>81</v>
      </c>
      <c r="D1400" s="18" t="s">
        <v>60</v>
      </c>
      <c r="E1400" s="6">
        <v>4600000</v>
      </c>
      <c r="F1400" s="19">
        <v>0.6</v>
      </c>
      <c r="G1400" s="18">
        <v>66</v>
      </c>
      <c r="H1400" s="20">
        <v>6.4</v>
      </c>
      <c r="I1400" s="24" t="str" cm="1">
        <f t="array" ref="I1400">_xlfn.IFS(
   AND(F1400&gt;=0,9, G1400&gt;=85), "Excelente",
   AND(F1400&gt;=0,8, G1400&gt;=70), "Bueno",
   OR(F1400&lt;0,6,  G1400&lt;50),  "Alerta",
   TRUE,           "Revisar")</f>
        <v>Alerta</v>
      </c>
      <c r="J1400" s="28">
        <f t="shared" si="21"/>
        <v>0</v>
      </c>
    </row>
    <row r="1401" spans="1:10" ht="18" customHeight="1" x14ac:dyDescent="0.3">
      <c r="A1401" s="25" t="s">
        <v>2850</v>
      </c>
      <c r="B1401" s="8" t="s">
        <v>2851</v>
      </c>
      <c r="C1401" s="25" t="s">
        <v>91</v>
      </c>
      <c r="D1401" s="25" t="s">
        <v>78</v>
      </c>
      <c r="E1401" s="9">
        <v>9200000</v>
      </c>
      <c r="F1401" s="26">
        <v>0.56000000000000005</v>
      </c>
      <c r="G1401" s="25">
        <v>97</v>
      </c>
      <c r="H1401" s="27">
        <v>5.6</v>
      </c>
      <c r="I1401" s="24" t="str" cm="1">
        <f t="array" ref="I1401">_xlfn.IFS(
   AND(F1401&gt;=0,9, G1401&gt;=85), "Excelente",
   AND(F1401&gt;=0,8, G1401&gt;=70), "Bueno",
   OR(F1401&lt;0,6,  G1401&lt;50),  "Alerta",
   TRUE,           "Revisar")</f>
        <v>Excelente</v>
      </c>
      <c r="J1401" s="28">
        <f t="shared" si="21"/>
        <v>920000</v>
      </c>
    </row>
    <row r="1402" spans="1:10" ht="18" customHeight="1" x14ac:dyDescent="0.3">
      <c r="A1402" s="18" t="s">
        <v>2852</v>
      </c>
      <c r="B1402" s="5" t="s">
        <v>2853</v>
      </c>
      <c r="C1402" s="18" t="s">
        <v>77</v>
      </c>
      <c r="D1402" s="18" t="s">
        <v>88</v>
      </c>
      <c r="E1402" s="6">
        <v>11900000</v>
      </c>
      <c r="F1402" s="19">
        <v>0.52</v>
      </c>
      <c r="G1402" s="18">
        <v>39</v>
      </c>
      <c r="H1402" s="20">
        <v>2.8</v>
      </c>
      <c r="I1402" s="24" t="str" cm="1">
        <f t="array" ref="I1402">_xlfn.IFS(
   AND(F1402&gt;=0,9, G1402&gt;=85), "Excelente",
   AND(F1402&gt;=0,8, G1402&gt;=70), "Bueno",
   OR(F1402&lt;0,6,  G1402&lt;50),  "Alerta",
   TRUE,           "Revisar")</f>
        <v>Alerta</v>
      </c>
      <c r="J1402" s="28">
        <f t="shared" si="21"/>
        <v>0</v>
      </c>
    </row>
    <row r="1403" spans="1:10" ht="18" customHeight="1" x14ac:dyDescent="0.3">
      <c r="A1403" s="25" t="s">
        <v>2854</v>
      </c>
      <c r="B1403" s="8" t="s">
        <v>2855</v>
      </c>
      <c r="C1403" s="25" t="s">
        <v>59</v>
      </c>
      <c r="D1403" s="25" t="s">
        <v>64</v>
      </c>
      <c r="E1403" s="9">
        <v>10900000</v>
      </c>
      <c r="F1403" s="26">
        <v>0.53</v>
      </c>
      <c r="G1403" s="25">
        <v>42</v>
      </c>
      <c r="H1403" s="27">
        <v>0.6</v>
      </c>
      <c r="I1403" s="24" t="str" cm="1">
        <f t="array" ref="I1403">_xlfn.IFS(
   AND(F1403&gt;=0,9, G1403&gt;=85), "Excelente",
   AND(F1403&gt;=0,8, G1403&gt;=70), "Bueno",
   OR(F1403&lt;0,6,  G1403&lt;50),  "Alerta",
   TRUE,           "Revisar")</f>
        <v>Alerta</v>
      </c>
      <c r="J1403" s="28">
        <f t="shared" si="21"/>
        <v>0</v>
      </c>
    </row>
    <row r="1404" spans="1:10" ht="18" customHeight="1" x14ac:dyDescent="0.3">
      <c r="A1404" s="18" t="s">
        <v>2856</v>
      </c>
      <c r="B1404" s="5" t="s">
        <v>2857</v>
      </c>
      <c r="C1404" s="18" t="s">
        <v>71</v>
      </c>
      <c r="D1404" s="18" t="s">
        <v>68</v>
      </c>
      <c r="E1404" s="6">
        <v>4800000</v>
      </c>
      <c r="F1404" s="19">
        <v>0.69</v>
      </c>
      <c r="G1404" s="18">
        <v>70</v>
      </c>
      <c r="H1404" s="20">
        <v>8.3000000000000007</v>
      </c>
      <c r="I1404" s="24" t="str" cm="1">
        <f t="array" ref="I1404">_xlfn.IFS(
   AND(F1404&gt;=0,9, G1404&gt;=85), "Excelente",
   AND(F1404&gt;=0,8, G1404&gt;=70), "Bueno",
   OR(F1404&lt;0,6,  G1404&lt;50),  "Alerta",
   TRUE,           "Revisar")</f>
        <v>Bueno</v>
      </c>
      <c r="J1404" s="28">
        <f t="shared" si="21"/>
        <v>480000</v>
      </c>
    </row>
    <row r="1405" spans="1:10" ht="18" customHeight="1" x14ac:dyDescent="0.3">
      <c r="A1405" s="25" t="s">
        <v>2858</v>
      </c>
      <c r="B1405" s="8" t="s">
        <v>2859</v>
      </c>
      <c r="C1405" s="25" t="s">
        <v>63</v>
      </c>
      <c r="D1405" s="25" t="s">
        <v>88</v>
      </c>
      <c r="E1405" s="9">
        <v>8300000</v>
      </c>
      <c r="F1405" s="26">
        <v>0.56999999999999995</v>
      </c>
      <c r="G1405" s="25">
        <v>53</v>
      </c>
      <c r="H1405" s="27">
        <v>1.3</v>
      </c>
      <c r="I1405" s="24" t="str" cm="1">
        <f t="array" ref="I1405">_xlfn.IFS(
   AND(F1405&gt;=0,9, G1405&gt;=85), "Excelente",
   AND(F1405&gt;=0,8, G1405&gt;=70), "Bueno",
   OR(F1405&lt;0,6,  G1405&lt;50),  "Alerta",
   TRUE,           "Revisar")</f>
        <v>Alerta</v>
      </c>
      <c r="J1405" s="28">
        <f t="shared" si="21"/>
        <v>0</v>
      </c>
    </row>
    <row r="1406" spans="1:10" ht="18" customHeight="1" x14ac:dyDescent="0.3">
      <c r="A1406" s="18" t="s">
        <v>2860</v>
      </c>
      <c r="B1406" s="5" t="s">
        <v>2861</v>
      </c>
      <c r="C1406" s="18" t="s">
        <v>77</v>
      </c>
      <c r="D1406" s="18" t="s">
        <v>88</v>
      </c>
      <c r="E1406" s="6">
        <v>9600000</v>
      </c>
      <c r="F1406" s="19">
        <v>0.9</v>
      </c>
      <c r="G1406" s="18">
        <v>60</v>
      </c>
      <c r="H1406" s="20">
        <v>15.4</v>
      </c>
      <c r="I1406" s="24" t="str" cm="1">
        <f t="array" ref="I1406">_xlfn.IFS(
   AND(F1406&gt;=0,9, G1406&gt;=85), "Excelente",
   AND(F1406&gt;=0,8, G1406&gt;=70), "Bueno",
   OR(F1406&lt;0,6,  G1406&lt;50),  "Alerta",
   TRUE,           "Revisar")</f>
        <v>Alerta</v>
      </c>
      <c r="J1406" s="28">
        <f t="shared" si="21"/>
        <v>0</v>
      </c>
    </row>
    <row r="1407" spans="1:10" ht="18" customHeight="1" x14ac:dyDescent="0.3">
      <c r="A1407" s="25" t="s">
        <v>2862</v>
      </c>
      <c r="B1407" s="8" t="s">
        <v>2863</v>
      </c>
      <c r="C1407" s="25" t="s">
        <v>74</v>
      </c>
      <c r="D1407" s="25" t="s">
        <v>92</v>
      </c>
      <c r="E1407" s="9">
        <v>10500000</v>
      </c>
      <c r="F1407" s="26">
        <v>0.72</v>
      </c>
      <c r="G1407" s="25">
        <v>75</v>
      </c>
      <c r="H1407" s="27">
        <v>17.3</v>
      </c>
      <c r="I1407" s="24" t="str" cm="1">
        <f t="array" ref="I1407">_xlfn.IFS(
   AND(F1407&gt;=0,9, G1407&gt;=85), "Excelente",
   AND(F1407&gt;=0,8, G1407&gt;=70), "Bueno",
   OR(F1407&lt;0,6,  G1407&lt;50),  "Alerta",
   TRUE,           "Revisar")</f>
        <v>Bueno</v>
      </c>
      <c r="J1407" s="28">
        <f t="shared" si="21"/>
        <v>1050000</v>
      </c>
    </row>
    <row r="1408" spans="1:10" ht="18" customHeight="1" x14ac:dyDescent="0.3">
      <c r="A1408" s="18" t="s">
        <v>2864</v>
      </c>
      <c r="B1408" s="5" t="s">
        <v>2865</v>
      </c>
      <c r="C1408" s="18" t="s">
        <v>74</v>
      </c>
      <c r="D1408" s="18" t="s">
        <v>88</v>
      </c>
      <c r="E1408" s="6">
        <v>10700000</v>
      </c>
      <c r="F1408" s="19">
        <v>0.99</v>
      </c>
      <c r="G1408" s="18">
        <v>35</v>
      </c>
      <c r="H1408" s="20">
        <v>18.2</v>
      </c>
      <c r="I1408" s="24" t="str" cm="1">
        <f t="array" ref="I1408">_xlfn.IFS(
   AND(F1408&gt;=0,9, G1408&gt;=85), "Excelente",
   AND(F1408&gt;=0,8, G1408&gt;=70), "Bueno",
   OR(F1408&lt;0,6,  G1408&lt;50),  "Alerta",
   TRUE,           "Revisar")</f>
        <v>Alerta</v>
      </c>
      <c r="J1408" s="28">
        <f t="shared" si="21"/>
        <v>0</v>
      </c>
    </row>
    <row r="1409" spans="1:10" ht="18" customHeight="1" x14ac:dyDescent="0.3">
      <c r="A1409" s="25" t="s">
        <v>2866</v>
      </c>
      <c r="B1409" s="8" t="s">
        <v>2867</v>
      </c>
      <c r="C1409" s="25" t="s">
        <v>63</v>
      </c>
      <c r="D1409" s="25" t="s">
        <v>92</v>
      </c>
      <c r="E1409" s="9">
        <v>4400000</v>
      </c>
      <c r="F1409" s="26">
        <v>0.78</v>
      </c>
      <c r="G1409" s="25">
        <v>55</v>
      </c>
      <c r="H1409" s="27">
        <v>0</v>
      </c>
      <c r="I1409" s="24" t="str" cm="1">
        <f t="array" ref="I1409">_xlfn.IFS(
   AND(F1409&gt;=0,9, G1409&gt;=85), "Excelente",
   AND(F1409&gt;=0,8, G1409&gt;=70), "Bueno",
   OR(F1409&lt;0,6,  G1409&lt;50),  "Alerta",
   TRUE,           "Revisar")</f>
        <v>Alerta</v>
      </c>
      <c r="J1409" s="28">
        <f t="shared" si="21"/>
        <v>0</v>
      </c>
    </row>
    <row r="1410" spans="1:10" ht="18" customHeight="1" x14ac:dyDescent="0.3">
      <c r="A1410" s="18" t="s">
        <v>2868</v>
      </c>
      <c r="B1410" s="5" t="s">
        <v>2869</v>
      </c>
      <c r="C1410" s="18" t="s">
        <v>74</v>
      </c>
      <c r="D1410" s="18" t="s">
        <v>64</v>
      </c>
      <c r="E1410" s="6">
        <v>4800000</v>
      </c>
      <c r="F1410" s="19">
        <v>0.68</v>
      </c>
      <c r="G1410" s="18">
        <v>76</v>
      </c>
      <c r="H1410" s="20">
        <v>5.7</v>
      </c>
      <c r="I1410" s="24" t="str" cm="1">
        <f t="array" ref="I1410">_xlfn.IFS(
   AND(F1410&gt;=0,9, G1410&gt;=85), "Excelente",
   AND(F1410&gt;=0,8, G1410&gt;=70), "Bueno",
   OR(F1410&lt;0,6,  G1410&lt;50),  "Alerta",
   TRUE,           "Revisar")</f>
        <v>Bueno</v>
      </c>
      <c r="J1410" s="28">
        <f t="shared" si="21"/>
        <v>480000</v>
      </c>
    </row>
    <row r="1411" spans="1:10" ht="18" customHeight="1" x14ac:dyDescent="0.3">
      <c r="A1411" s="25" t="s">
        <v>2870</v>
      </c>
      <c r="B1411" s="8" t="s">
        <v>2871</v>
      </c>
      <c r="C1411" s="25" t="s">
        <v>59</v>
      </c>
      <c r="D1411" s="25" t="s">
        <v>88</v>
      </c>
      <c r="E1411" s="9">
        <v>3500000</v>
      </c>
      <c r="F1411" s="26">
        <v>0.65</v>
      </c>
      <c r="G1411" s="25">
        <v>77</v>
      </c>
      <c r="H1411" s="27">
        <v>7.3</v>
      </c>
      <c r="I1411" s="24" t="str" cm="1">
        <f t="array" ref="I1411">_xlfn.IFS(
   AND(F1411&gt;=0,9, G1411&gt;=85), "Excelente",
   AND(F1411&gt;=0,8, G1411&gt;=70), "Bueno",
   OR(F1411&lt;0,6,  G1411&lt;50),  "Alerta",
   TRUE,           "Revisar")</f>
        <v>Bueno</v>
      </c>
      <c r="J1411" s="28">
        <f t="shared" si="21"/>
        <v>350000</v>
      </c>
    </row>
    <row r="1412" spans="1:10" ht="18" customHeight="1" x14ac:dyDescent="0.3">
      <c r="A1412" s="18" t="s">
        <v>2872</v>
      </c>
      <c r="B1412" s="5" t="s">
        <v>2873</v>
      </c>
      <c r="C1412" s="18" t="s">
        <v>91</v>
      </c>
      <c r="D1412" s="18" t="s">
        <v>78</v>
      </c>
      <c r="E1412" s="6">
        <v>7000000</v>
      </c>
      <c r="F1412" s="19">
        <v>0.85</v>
      </c>
      <c r="G1412" s="18">
        <v>36</v>
      </c>
      <c r="H1412" s="20">
        <v>12.7</v>
      </c>
      <c r="I1412" s="24" t="str" cm="1">
        <f t="array" ref="I1412">_xlfn.IFS(
   AND(F1412&gt;=0,9, G1412&gt;=85), "Excelente",
   AND(F1412&gt;=0,8, G1412&gt;=70), "Bueno",
   OR(F1412&lt;0,6,  G1412&lt;50),  "Alerta",
   TRUE,           "Revisar")</f>
        <v>Alerta</v>
      </c>
      <c r="J1412" s="28">
        <f t="shared" si="21"/>
        <v>0</v>
      </c>
    </row>
    <row r="1413" spans="1:10" ht="18" customHeight="1" x14ac:dyDescent="0.3">
      <c r="A1413" s="25" t="s">
        <v>2874</v>
      </c>
      <c r="B1413" s="8" t="s">
        <v>2875</v>
      </c>
      <c r="C1413" s="25" t="s">
        <v>59</v>
      </c>
      <c r="D1413" s="25" t="s">
        <v>92</v>
      </c>
      <c r="E1413" s="9">
        <v>9500000</v>
      </c>
      <c r="F1413" s="26">
        <v>0.66</v>
      </c>
      <c r="G1413" s="25">
        <v>86</v>
      </c>
      <c r="H1413" s="27">
        <v>2.8</v>
      </c>
      <c r="I1413" s="24" t="str" cm="1">
        <f t="array" ref="I1413">_xlfn.IFS(
   AND(F1413&gt;=0,9, G1413&gt;=85), "Excelente",
   AND(F1413&gt;=0,8, G1413&gt;=70), "Bueno",
   OR(F1413&lt;0,6,  G1413&lt;50),  "Alerta",
   TRUE,           "Revisar")</f>
        <v>Excelente</v>
      </c>
      <c r="J1413" s="28">
        <f t="shared" si="21"/>
        <v>950000</v>
      </c>
    </row>
    <row r="1414" spans="1:10" ht="18" customHeight="1" x14ac:dyDescent="0.3">
      <c r="A1414" s="18" t="s">
        <v>2876</v>
      </c>
      <c r="B1414" s="5" t="s">
        <v>2877</v>
      </c>
      <c r="C1414" s="18" t="s">
        <v>81</v>
      </c>
      <c r="D1414" s="18" t="s">
        <v>114</v>
      </c>
      <c r="E1414" s="6">
        <v>11100000</v>
      </c>
      <c r="F1414" s="19">
        <v>0.97</v>
      </c>
      <c r="G1414" s="18">
        <v>85</v>
      </c>
      <c r="H1414" s="20">
        <v>0.3</v>
      </c>
      <c r="I1414" s="24" t="str" cm="1">
        <f t="array" ref="I1414">_xlfn.IFS(
   AND(F1414&gt;=0,9, G1414&gt;=85), "Excelente",
   AND(F1414&gt;=0,8, G1414&gt;=70), "Bueno",
   OR(F1414&lt;0,6,  G1414&lt;50),  "Alerta",
   TRUE,           "Revisar")</f>
        <v>Excelente</v>
      </c>
      <c r="J1414" s="28">
        <f t="shared" si="21"/>
        <v>1110000</v>
      </c>
    </row>
    <row r="1415" spans="1:10" ht="18" customHeight="1" x14ac:dyDescent="0.3">
      <c r="A1415" s="25" t="s">
        <v>2878</v>
      </c>
      <c r="B1415" s="8" t="s">
        <v>2879</v>
      </c>
      <c r="C1415" s="25" t="s">
        <v>91</v>
      </c>
      <c r="D1415" s="25" t="s">
        <v>88</v>
      </c>
      <c r="E1415" s="9">
        <v>3600000</v>
      </c>
      <c r="F1415" s="26">
        <v>0.63</v>
      </c>
      <c r="G1415" s="25">
        <v>53</v>
      </c>
      <c r="H1415" s="27">
        <v>18.5</v>
      </c>
      <c r="I1415" s="24" t="str" cm="1">
        <f t="array" ref="I1415">_xlfn.IFS(
   AND(F1415&gt;=0,9, G1415&gt;=85), "Excelente",
   AND(F1415&gt;=0,8, G1415&gt;=70), "Bueno",
   OR(F1415&lt;0,6,  G1415&lt;50),  "Alerta",
   TRUE,           "Revisar")</f>
        <v>Alerta</v>
      </c>
      <c r="J1415" s="28">
        <f t="shared" si="21"/>
        <v>0</v>
      </c>
    </row>
    <row r="1416" spans="1:10" ht="18" customHeight="1" x14ac:dyDescent="0.3">
      <c r="A1416" s="18" t="s">
        <v>2880</v>
      </c>
      <c r="B1416" s="5" t="s">
        <v>2881</v>
      </c>
      <c r="C1416" s="18" t="s">
        <v>63</v>
      </c>
      <c r="D1416" s="18" t="s">
        <v>114</v>
      </c>
      <c r="E1416" s="6">
        <v>7000000</v>
      </c>
      <c r="F1416" s="19">
        <v>0.91</v>
      </c>
      <c r="G1416" s="18">
        <v>62</v>
      </c>
      <c r="H1416" s="20">
        <v>5.3</v>
      </c>
      <c r="I1416" s="24" t="str" cm="1">
        <f t="array" ref="I1416">_xlfn.IFS(
   AND(F1416&gt;=0,9, G1416&gt;=85), "Excelente",
   AND(F1416&gt;=0,8, G1416&gt;=70), "Bueno",
   OR(F1416&lt;0,6,  G1416&lt;50),  "Alerta",
   TRUE,           "Revisar")</f>
        <v>Alerta</v>
      </c>
      <c r="J1416" s="28">
        <f t="shared" si="21"/>
        <v>0</v>
      </c>
    </row>
    <row r="1417" spans="1:10" ht="18" customHeight="1" x14ac:dyDescent="0.3">
      <c r="A1417" s="25" t="s">
        <v>2882</v>
      </c>
      <c r="B1417" s="8" t="s">
        <v>2883</v>
      </c>
      <c r="C1417" s="25" t="s">
        <v>59</v>
      </c>
      <c r="D1417" s="25" t="s">
        <v>60</v>
      </c>
      <c r="E1417" s="9">
        <v>5100000</v>
      </c>
      <c r="F1417" s="26">
        <v>0.83</v>
      </c>
      <c r="G1417" s="25">
        <v>37</v>
      </c>
      <c r="H1417" s="27">
        <v>8.3000000000000007</v>
      </c>
      <c r="I1417" s="24" t="str" cm="1">
        <f t="array" ref="I1417">_xlfn.IFS(
   AND(F1417&gt;=0,9, G1417&gt;=85), "Excelente",
   AND(F1417&gt;=0,8, G1417&gt;=70), "Bueno",
   OR(F1417&lt;0,6,  G1417&lt;50),  "Alerta",
   TRUE,           "Revisar")</f>
        <v>Alerta</v>
      </c>
      <c r="J1417" s="28">
        <f t="shared" si="21"/>
        <v>0</v>
      </c>
    </row>
    <row r="1418" spans="1:10" ht="18" customHeight="1" x14ac:dyDescent="0.3">
      <c r="A1418" s="18" t="s">
        <v>2884</v>
      </c>
      <c r="B1418" s="5" t="s">
        <v>2885</v>
      </c>
      <c r="C1418" s="18" t="s">
        <v>59</v>
      </c>
      <c r="D1418" s="18" t="s">
        <v>105</v>
      </c>
      <c r="E1418" s="6">
        <v>9300000</v>
      </c>
      <c r="F1418" s="19">
        <v>0.97</v>
      </c>
      <c r="G1418" s="18">
        <v>90</v>
      </c>
      <c r="H1418" s="20">
        <v>2.4</v>
      </c>
      <c r="I1418" s="24" t="str" cm="1">
        <f t="array" ref="I1418">_xlfn.IFS(
   AND(F1418&gt;=0,9, G1418&gt;=85), "Excelente",
   AND(F1418&gt;=0,8, G1418&gt;=70), "Bueno",
   OR(F1418&lt;0,6,  G1418&lt;50),  "Alerta",
   TRUE,           "Revisar")</f>
        <v>Excelente</v>
      </c>
      <c r="J1418" s="28">
        <f t="shared" si="21"/>
        <v>930000</v>
      </c>
    </row>
    <row r="1419" spans="1:10" ht="18" customHeight="1" x14ac:dyDescent="0.3">
      <c r="A1419" s="25" t="s">
        <v>2886</v>
      </c>
      <c r="B1419" s="8" t="s">
        <v>2887</v>
      </c>
      <c r="C1419" s="25" t="s">
        <v>77</v>
      </c>
      <c r="D1419" s="25" t="s">
        <v>68</v>
      </c>
      <c r="E1419" s="9">
        <v>6300000</v>
      </c>
      <c r="F1419" s="26">
        <v>0.53</v>
      </c>
      <c r="G1419" s="25">
        <v>40</v>
      </c>
      <c r="H1419" s="27">
        <v>3.5</v>
      </c>
      <c r="I1419" s="24" t="str" cm="1">
        <f t="array" ref="I1419">_xlfn.IFS(
   AND(F1419&gt;=0,9, G1419&gt;=85), "Excelente",
   AND(F1419&gt;=0,8, G1419&gt;=70), "Bueno",
   OR(F1419&lt;0,6,  G1419&lt;50),  "Alerta",
   TRUE,           "Revisar")</f>
        <v>Alerta</v>
      </c>
      <c r="J1419" s="28">
        <f t="shared" si="21"/>
        <v>0</v>
      </c>
    </row>
    <row r="1420" spans="1:10" ht="18" customHeight="1" x14ac:dyDescent="0.3">
      <c r="A1420" s="18" t="s">
        <v>2888</v>
      </c>
      <c r="B1420" s="5" t="s">
        <v>2889</v>
      </c>
      <c r="C1420" s="18" t="s">
        <v>91</v>
      </c>
      <c r="D1420" s="18" t="s">
        <v>105</v>
      </c>
      <c r="E1420" s="6">
        <v>10700000</v>
      </c>
      <c r="F1420" s="19">
        <v>0.89</v>
      </c>
      <c r="G1420" s="18">
        <v>66</v>
      </c>
      <c r="H1420" s="20">
        <v>5.2</v>
      </c>
      <c r="I1420" s="24" t="str" cm="1">
        <f t="array" ref="I1420">_xlfn.IFS(
   AND(F1420&gt;=0,9, G1420&gt;=85), "Excelente",
   AND(F1420&gt;=0,8, G1420&gt;=70), "Bueno",
   OR(F1420&lt;0,6,  G1420&lt;50),  "Alerta",
   TRUE,           "Revisar")</f>
        <v>Alerta</v>
      </c>
      <c r="J1420" s="28">
        <f t="shared" ref="J1420:J1483" si="22">IF(OR(I1420="Excelente",I1420="Bueno"),E1420*0.1,0)</f>
        <v>0</v>
      </c>
    </row>
    <row r="1421" spans="1:10" ht="18" customHeight="1" x14ac:dyDescent="0.3">
      <c r="A1421" s="25" t="s">
        <v>2890</v>
      </c>
      <c r="B1421" s="8" t="s">
        <v>2891</v>
      </c>
      <c r="C1421" s="25" t="s">
        <v>63</v>
      </c>
      <c r="D1421" s="25" t="s">
        <v>105</v>
      </c>
      <c r="E1421" s="9">
        <v>8000000</v>
      </c>
      <c r="F1421" s="26">
        <v>0.75</v>
      </c>
      <c r="G1421" s="25">
        <v>67</v>
      </c>
      <c r="H1421" s="27">
        <v>13.7</v>
      </c>
      <c r="I1421" s="24" t="str" cm="1">
        <f t="array" ref="I1421">_xlfn.IFS(
   AND(F1421&gt;=0,9, G1421&gt;=85), "Excelente",
   AND(F1421&gt;=0,8, G1421&gt;=70), "Bueno",
   OR(F1421&lt;0,6,  G1421&lt;50),  "Alerta",
   TRUE,           "Revisar")</f>
        <v>Alerta</v>
      </c>
      <c r="J1421" s="28">
        <f t="shared" si="22"/>
        <v>0</v>
      </c>
    </row>
    <row r="1422" spans="1:10" ht="18" customHeight="1" x14ac:dyDescent="0.3">
      <c r="A1422" s="18" t="s">
        <v>2892</v>
      </c>
      <c r="B1422" s="5" t="s">
        <v>2893</v>
      </c>
      <c r="C1422" s="18" t="s">
        <v>77</v>
      </c>
      <c r="D1422" s="18" t="s">
        <v>92</v>
      </c>
      <c r="E1422" s="6">
        <v>11000000</v>
      </c>
      <c r="F1422" s="19">
        <v>0.95</v>
      </c>
      <c r="G1422" s="18">
        <v>71</v>
      </c>
      <c r="H1422" s="20">
        <v>8.6</v>
      </c>
      <c r="I1422" s="24" t="str" cm="1">
        <f t="array" ref="I1422">_xlfn.IFS(
   AND(F1422&gt;=0,9, G1422&gt;=85), "Excelente",
   AND(F1422&gt;=0,8, G1422&gt;=70), "Bueno",
   OR(F1422&lt;0,6,  G1422&lt;50),  "Alerta",
   TRUE,           "Revisar")</f>
        <v>Bueno</v>
      </c>
      <c r="J1422" s="28">
        <f t="shared" si="22"/>
        <v>1100000</v>
      </c>
    </row>
    <row r="1423" spans="1:10" ht="18" customHeight="1" x14ac:dyDescent="0.3">
      <c r="A1423" s="25" t="s">
        <v>2894</v>
      </c>
      <c r="B1423" s="8" t="s">
        <v>2895</v>
      </c>
      <c r="C1423" s="25" t="s">
        <v>91</v>
      </c>
      <c r="D1423" s="25" t="s">
        <v>60</v>
      </c>
      <c r="E1423" s="9">
        <v>4300000</v>
      </c>
      <c r="F1423" s="26">
        <v>0.86</v>
      </c>
      <c r="G1423" s="25">
        <v>98</v>
      </c>
      <c r="H1423" s="27">
        <v>2.1</v>
      </c>
      <c r="I1423" s="24" t="str" cm="1">
        <f t="array" ref="I1423">_xlfn.IFS(
   AND(F1423&gt;=0,9, G1423&gt;=85), "Excelente",
   AND(F1423&gt;=0,8, G1423&gt;=70), "Bueno",
   OR(F1423&lt;0,6,  G1423&lt;50),  "Alerta",
   TRUE,           "Revisar")</f>
        <v>Excelente</v>
      </c>
      <c r="J1423" s="28">
        <f t="shared" si="22"/>
        <v>430000</v>
      </c>
    </row>
    <row r="1424" spans="1:10" ht="18" customHeight="1" x14ac:dyDescent="0.3">
      <c r="A1424" s="18" t="s">
        <v>2896</v>
      </c>
      <c r="B1424" s="5" t="s">
        <v>2897</v>
      </c>
      <c r="C1424" s="18" t="s">
        <v>74</v>
      </c>
      <c r="D1424" s="18" t="s">
        <v>60</v>
      </c>
      <c r="E1424" s="6">
        <v>5700000</v>
      </c>
      <c r="F1424" s="19">
        <v>0.53</v>
      </c>
      <c r="G1424" s="18">
        <v>52</v>
      </c>
      <c r="H1424" s="20">
        <v>5.2</v>
      </c>
      <c r="I1424" s="24" t="str" cm="1">
        <f t="array" ref="I1424">_xlfn.IFS(
   AND(F1424&gt;=0,9, G1424&gt;=85), "Excelente",
   AND(F1424&gt;=0,8, G1424&gt;=70), "Bueno",
   OR(F1424&lt;0,6,  G1424&lt;50),  "Alerta",
   TRUE,           "Revisar")</f>
        <v>Alerta</v>
      </c>
      <c r="J1424" s="28">
        <f t="shared" si="22"/>
        <v>0</v>
      </c>
    </row>
    <row r="1425" spans="1:10" ht="18" customHeight="1" x14ac:dyDescent="0.3">
      <c r="A1425" s="25" t="s">
        <v>2898</v>
      </c>
      <c r="B1425" s="8" t="s">
        <v>2899</v>
      </c>
      <c r="C1425" s="25" t="s">
        <v>77</v>
      </c>
      <c r="D1425" s="25" t="s">
        <v>114</v>
      </c>
      <c r="E1425" s="9">
        <v>2800000</v>
      </c>
      <c r="F1425" s="26">
        <v>0.46</v>
      </c>
      <c r="G1425" s="25">
        <v>100</v>
      </c>
      <c r="H1425" s="27">
        <v>16.399999999999999</v>
      </c>
      <c r="I1425" s="24" t="str" cm="1">
        <f t="array" ref="I1425">_xlfn.IFS(
   AND(F1425&gt;=0,9, G1425&gt;=85), "Excelente",
   AND(F1425&gt;=0,8, G1425&gt;=70), "Bueno",
   OR(F1425&lt;0,6,  G1425&lt;50),  "Alerta",
   TRUE,           "Revisar")</f>
        <v>Excelente</v>
      </c>
      <c r="J1425" s="28">
        <f t="shared" si="22"/>
        <v>280000</v>
      </c>
    </row>
    <row r="1426" spans="1:10" ht="18" customHeight="1" x14ac:dyDescent="0.3">
      <c r="A1426" s="18" t="s">
        <v>2900</v>
      </c>
      <c r="B1426" s="5" t="s">
        <v>2584</v>
      </c>
      <c r="C1426" s="18" t="s">
        <v>67</v>
      </c>
      <c r="D1426" s="18" t="s">
        <v>105</v>
      </c>
      <c r="E1426" s="6">
        <v>10700000</v>
      </c>
      <c r="F1426" s="19">
        <v>0.48</v>
      </c>
      <c r="G1426" s="18">
        <v>64</v>
      </c>
      <c r="H1426" s="20">
        <v>19.5</v>
      </c>
      <c r="I1426" s="24" t="str" cm="1">
        <f t="array" ref="I1426">_xlfn.IFS(
   AND(F1426&gt;=0,9, G1426&gt;=85), "Excelente",
   AND(F1426&gt;=0,8, G1426&gt;=70), "Bueno",
   OR(F1426&lt;0,6,  G1426&lt;50),  "Alerta",
   TRUE,           "Revisar")</f>
        <v>Alerta</v>
      </c>
      <c r="J1426" s="28">
        <f t="shared" si="22"/>
        <v>0</v>
      </c>
    </row>
    <row r="1427" spans="1:10" ht="18" customHeight="1" x14ac:dyDescent="0.3">
      <c r="A1427" s="25" t="s">
        <v>2901</v>
      </c>
      <c r="B1427" s="8" t="s">
        <v>2902</v>
      </c>
      <c r="C1427" s="25" t="s">
        <v>81</v>
      </c>
      <c r="D1427" s="25" t="s">
        <v>88</v>
      </c>
      <c r="E1427" s="9">
        <v>7600000</v>
      </c>
      <c r="F1427" s="26">
        <v>0.96</v>
      </c>
      <c r="G1427" s="25">
        <v>31</v>
      </c>
      <c r="H1427" s="27">
        <v>8.1999999999999993</v>
      </c>
      <c r="I1427" s="24" t="str" cm="1">
        <f t="array" ref="I1427">_xlfn.IFS(
   AND(F1427&gt;=0,9, G1427&gt;=85), "Excelente",
   AND(F1427&gt;=0,8, G1427&gt;=70), "Bueno",
   OR(F1427&lt;0,6,  G1427&lt;50),  "Alerta",
   TRUE,           "Revisar")</f>
        <v>Alerta</v>
      </c>
      <c r="J1427" s="28">
        <f t="shared" si="22"/>
        <v>0</v>
      </c>
    </row>
    <row r="1428" spans="1:10" ht="18" customHeight="1" x14ac:dyDescent="0.3">
      <c r="A1428" s="18" t="s">
        <v>2903</v>
      </c>
      <c r="B1428" s="5" t="s">
        <v>2520</v>
      </c>
      <c r="C1428" s="18" t="s">
        <v>67</v>
      </c>
      <c r="D1428" s="18" t="s">
        <v>105</v>
      </c>
      <c r="E1428" s="6">
        <v>6200000</v>
      </c>
      <c r="F1428" s="19">
        <v>0.48</v>
      </c>
      <c r="G1428" s="18">
        <v>34</v>
      </c>
      <c r="H1428" s="20">
        <v>14.8</v>
      </c>
      <c r="I1428" s="24" t="str" cm="1">
        <f t="array" ref="I1428">_xlfn.IFS(
   AND(F1428&gt;=0,9, G1428&gt;=85), "Excelente",
   AND(F1428&gt;=0,8, G1428&gt;=70), "Bueno",
   OR(F1428&lt;0,6,  G1428&lt;50),  "Alerta",
   TRUE,           "Revisar")</f>
        <v>Alerta</v>
      </c>
      <c r="J1428" s="28">
        <f t="shared" si="22"/>
        <v>0</v>
      </c>
    </row>
    <row r="1429" spans="1:10" ht="18" customHeight="1" x14ac:dyDescent="0.3">
      <c r="A1429" s="25" t="s">
        <v>2904</v>
      </c>
      <c r="B1429" s="8" t="s">
        <v>2905</v>
      </c>
      <c r="C1429" s="25" t="s">
        <v>59</v>
      </c>
      <c r="D1429" s="25" t="s">
        <v>88</v>
      </c>
      <c r="E1429" s="9">
        <v>11800000</v>
      </c>
      <c r="F1429" s="26">
        <v>0.68</v>
      </c>
      <c r="G1429" s="25">
        <v>42</v>
      </c>
      <c r="H1429" s="27">
        <v>16.100000000000001</v>
      </c>
      <c r="I1429" s="24" t="str" cm="1">
        <f t="array" ref="I1429">_xlfn.IFS(
   AND(F1429&gt;=0,9, G1429&gt;=85), "Excelente",
   AND(F1429&gt;=0,8, G1429&gt;=70), "Bueno",
   OR(F1429&lt;0,6,  G1429&lt;50),  "Alerta",
   TRUE,           "Revisar")</f>
        <v>Alerta</v>
      </c>
      <c r="J1429" s="28">
        <f t="shared" si="22"/>
        <v>0</v>
      </c>
    </row>
    <row r="1430" spans="1:10" ht="18" customHeight="1" x14ac:dyDescent="0.3">
      <c r="A1430" s="18" t="s">
        <v>2906</v>
      </c>
      <c r="B1430" s="5" t="s">
        <v>2907</v>
      </c>
      <c r="C1430" s="18" t="s">
        <v>71</v>
      </c>
      <c r="D1430" s="18" t="s">
        <v>60</v>
      </c>
      <c r="E1430" s="6">
        <v>4500000</v>
      </c>
      <c r="F1430" s="19">
        <v>0.57999999999999996</v>
      </c>
      <c r="G1430" s="18">
        <v>38</v>
      </c>
      <c r="H1430" s="20">
        <v>13</v>
      </c>
      <c r="I1430" s="24" t="str" cm="1">
        <f t="array" ref="I1430">_xlfn.IFS(
   AND(F1430&gt;=0,9, G1430&gt;=85), "Excelente",
   AND(F1430&gt;=0,8, G1430&gt;=70), "Bueno",
   OR(F1430&lt;0,6,  G1430&lt;50),  "Alerta",
   TRUE,           "Revisar")</f>
        <v>Alerta</v>
      </c>
      <c r="J1430" s="28">
        <f t="shared" si="22"/>
        <v>0</v>
      </c>
    </row>
    <row r="1431" spans="1:10" ht="18" customHeight="1" x14ac:dyDescent="0.3">
      <c r="A1431" s="25" t="s">
        <v>2908</v>
      </c>
      <c r="B1431" s="8" t="s">
        <v>2909</v>
      </c>
      <c r="C1431" s="25" t="s">
        <v>67</v>
      </c>
      <c r="D1431" s="25" t="s">
        <v>92</v>
      </c>
      <c r="E1431" s="9">
        <v>5500000</v>
      </c>
      <c r="F1431" s="26">
        <v>0.99</v>
      </c>
      <c r="G1431" s="25">
        <v>77</v>
      </c>
      <c r="H1431" s="27">
        <v>7.1</v>
      </c>
      <c r="I1431" s="24" t="str" cm="1">
        <f t="array" ref="I1431">_xlfn.IFS(
   AND(F1431&gt;=0,9, G1431&gt;=85), "Excelente",
   AND(F1431&gt;=0,8, G1431&gt;=70), "Bueno",
   OR(F1431&lt;0,6,  G1431&lt;50),  "Alerta",
   TRUE,           "Revisar")</f>
        <v>Bueno</v>
      </c>
      <c r="J1431" s="28">
        <f t="shared" si="22"/>
        <v>550000</v>
      </c>
    </row>
    <row r="1432" spans="1:10" ht="18" customHeight="1" x14ac:dyDescent="0.3">
      <c r="A1432" s="18" t="s">
        <v>2910</v>
      </c>
      <c r="B1432" s="5" t="s">
        <v>2911</v>
      </c>
      <c r="C1432" s="18" t="s">
        <v>91</v>
      </c>
      <c r="D1432" s="18" t="s">
        <v>92</v>
      </c>
      <c r="E1432" s="6">
        <v>11500000</v>
      </c>
      <c r="F1432" s="19">
        <v>0.56000000000000005</v>
      </c>
      <c r="G1432" s="18">
        <v>97</v>
      </c>
      <c r="H1432" s="20">
        <v>7.2</v>
      </c>
      <c r="I1432" s="24" t="str" cm="1">
        <f t="array" ref="I1432">_xlfn.IFS(
   AND(F1432&gt;=0,9, G1432&gt;=85), "Excelente",
   AND(F1432&gt;=0,8, G1432&gt;=70), "Bueno",
   OR(F1432&lt;0,6,  G1432&lt;50),  "Alerta",
   TRUE,           "Revisar")</f>
        <v>Excelente</v>
      </c>
      <c r="J1432" s="28">
        <f t="shared" si="22"/>
        <v>1150000</v>
      </c>
    </row>
    <row r="1433" spans="1:10" ht="18" customHeight="1" x14ac:dyDescent="0.3">
      <c r="A1433" s="25" t="s">
        <v>2912</v>
      </c>
      <c r="B1433" s="8" t="s">
        <v>2913</v>
      </c>
      <c r="C1433" s="25" t="s">
        <v>71</v>
      </c>
      <c r="D1433" s="25" t="s">
        <v>64</v>
      </c>
      <c r="E1433" s="9">
        <v>8900000</v>
      </c>
      <c r="F1433" s="26">
        <v>0.78</v>
      </c>
      <c r="G1433" s="25">
        <v>73</v>
      </c>
      <c r="H1433" s="27">
        <v>12.4</v>
      </c>
      <c r="I1433" s="24" t="str" cm="1">
        <f t="array" ref="I1433">_xlfn.IFS(
   AND(F1433&gt;=0,9, G1433&gt;=85), "Excelente",
   AND(F1433&gt;=0,8, G1433&gt;=70), "Bueno",
   OR(F1433&lt;0,6,  G1433&lt;50),  "Alerta",
   TRUE,           "Revisar")</f>
        <v>Bueno</v>
      </c>
      <c r="J1433" s="28">
        <f t="shared" si="22"/>
        <v>890000</v>
      </c>
    </row>
    <row r="1434" spans="1:10" ht="18" customHeight="1" x14ac:dyDescent="0.3">
      <c r="A1434" s="18" t="s">
        <v>2914</v>
      </c>
      <c r="B1434" s="5" t="s">
        <v>2915</v>
      </c>
      <c r="C1434" s="18" t="s">
        <v>91</v>
      </c>
      <c r="D1434" s="18" t="s">
        <v>60</v>
      </c>
      <c r="E1434" s="6">
        <v>9400000</v>
      </c>
      <c r="F1434" s="19">
        <v>0.88</v>
      </c>
      <c r="G1434" s="18">
        <v>68</v>
      </c>
      <c r="H1434" s="20">
        <v>10.8</v>
      </c>
      <c r="I1434" s="24" t="str" cm="1">
        <f t="array" ref="I1434">_xlfn.IFS(
   AND(F1434&gt;=0,9, G1434&gt;=85), "Excelente",
   AND(F1434&gt;=0,8, G1434&gt;=70), "Bueno",
   OR(F1434&lt;0,6,  G1434&lt;50),  "Alerta",
   TRUE,           "Revisar")</f>
        <v>Alerta</v>
      </c>
      <c r="J1434" s="28">
        <f t="shared" si="22"/>
        <v>0</v>
      </c>
    </row>
    <row r="1435" spans="1:10" ht="18" customHeight="1" x14ac:dyDescent="0.3">
      <c r="A1435" s="25" t="s">
        <v>2916</v>
      </c>
      <c r="B1435" s="8" t="s">
        <v>2917</v>
      </c>
      <c r="C1435" s="25" t="s">
        <v>67</v>
      </c>
      <c r="D1435" s="25" t="s">
        <v>88</v>
      </c>
      <c r="E1435" s="9">
        <v>9900000</v>
      </c>
      <c r="F1435" s="26">
        <v>0.61</v>
      </c>
      <c r="G1435" s="25">
        <v>30</v>
      </c>
      <c r="H1435" s="27">
        <v>11.6</v>
      </c>
      <c r="I1435" s="24" t="str" cm="1">
        <f t="array" ref="I1435">_xlfn.IFS(
   AND(F1435&gt;=0,9, G1435&gt;=85), "Excelente",
   AND(F1435&gt;=0,8, G1435&gt;=70), "Bueno",
   OR(F1435&lt;0,6,  G1435&lt;50),  "Alerta",
   TRUE,           "Revisar")</f>
        <v>Alerta</v>
      </c>
      <c r="J1435" s="28">
        <f t="shared" si="22"/>
        <v>0</v>
      </c>
    </row>
    <row r="1436" spans="1:10" ht="18" customHeight="1" x14ac:dyDescent="0.3">
      <c r="A1436" s="18" t="s">
        <v>2918</v>
      </c>
      <c r="B1436" s="5" t="s">
        <v>2919</v>
      </c>
      <c r="C1436" s="18" t="s">
        <v>71</v>
      </c>
      <c r="D1436" s="18" t="s">
        <v>105</v>
      </c>
      <c r="E1436" s="6">
        <v>8800000</v>
      </c>
      <c r="F1436" s="19">
        <v>0.79</v>
      </c>
      <c r="G1436" s="18">
        <v>70</v>
      </c>
      <c r="H1436" s="20">
        <v>10.5</v>
      </c>
      <c r="I1436" s="24" t="str" cm="1">
        <f t="array" ref="I1436">_xlfn.IFS(
   AND(F1436&gt;=0,9, G1436&gt;=85), "Excelente",
   AND(F1436&gt;=0,8, G1436&gt;=70), "Bueno",
   OR(F1436&lt;0,6,  G1436&lt;50),  "Alerta",
   TRUE,           "Revisar")</f>
        <v>Bueno</v>
      </c>
      <c r="J1436" s="28">
        <f t="shared" si="22"/>
        <v>880000</v>
      </c>
    </row>
    <row r="1437" spans="1:10" ht="18" customHeight="1" x14ac:dyDescent="0.3">
      <c r="A1437" s="25" t="s">
        <v>2920</v>
      </c>
      <c r="B1437" s="8" t="s">
        <v>2921</v>
      </c>
      <c r="C1437" s="25" t="s">
        <v>71</v>
      </c>
      <c r="D1437" s="25" t="s">
        <v>105</v>
      </c>
      <c r="E1437" s="9">
        <v>8400000</v>
      </c>
      <c r="F1437" s="26">
        <v>0.95</v>
      </c>
      <c r="G1437" s="25">
        <v>76</v>
      </c>
      <c r="H1437" s="27">
        <v>5.2</v>
      </c>
      <c r="I1437" s="24" t="str" cm="1">
        <f t="array" ref="I1437">_xlfn.IFS(
   AND(F1437&gt;=0,9, G1437&gt;=85), "Excelente",
   AND(F1437&gt;=0,8, G1437&gt;=70), "Bueno",
   OR(F1437&lt;0,6,  G1437&lt;50),  "Alerta",
   TRUE,           "Revisar")</f>
        <v>Bueno</v>
      </c>
      <c r="J1437" s="28">
        <f t="shared" si="22"/>
        <v>840000</v>
      </c>
    </row>
    <row r="1438" spans="1:10" ht="18" customHeight="1" x14ac:dyDescent="0.3">
      <c r="A1438" s="18" t="s">
        <v>2922</v>
      </c>
      <c r="B1438" s="5" t="s">
        <v>2923</v>
      </c>
      <c r="C1438" s="18" t="s">
        <v>81</v>
      </c>
      <c r="D1438" s="18" t="s">
        <v>92</v>
      </c>
      <c r="E1438" s="6">
        <v>3100000</v>
      </c>
      <c r="F1438" s="19">
        <v>0.5</v>
      </c>
      <c r="G1438" s="18">
        <v>88</v>
      </c>
      <c r="H1438" s="20">
        <v>8.6</v>
      </c>
      <c r="I1438" s="24" t="str" cm="1">
        <f t="array" ref="I1438">_xlfn.IFS(
   AND(F1438&gt;=0,9, G1438&gt;=85), "Excelente",
   AND(F1438&gt;=0,8, G1438&gt;=70), "Bueno",
   OR(F1438&lt;0,6,  G1438&lt;50),  "Alerta",
   TRUE,           "Revisar")</f>
        <v>Excelente</v>
      </c>
      <c r="J1438" s="28">
        <f t="shared" si="22"/>
        <v>310000</v>
      </c>
    </row>
    <row r="1439" spans="1:10" ht="18" customHeight="1" x14ac:dyDescent="0.3">
      <c r="A1439" s="25" t="s">
        <v>2924</v>
      </c>
      <c r="B1439" s="8" t="s">
        <v>2925</v>
      </c>
      <c r="C1439" s="25" t="s">
        <v>63</v>
      </c>
      <c r="D1439" s="25" t="s">
        <v>78</v>
      </c>
      <c r="E1439" s="9">
        <v>10100000</v>
      </c>
      <c r="F1439" s="26">
        <v>0.6</v>
      </c>
      <c r="G1439" s="25">
        <v>80</v>
      </c>
      <c r="H1439" s="27">
        <v>11.7</v>
      </c>
      <c r="I1439" s="24" t="str" cm="1">
        <f t="array" ref="I1439">_xlfn.IFS(
   AND(F1439&gt;=0,9, G1439&gt;=85), "Excelente",
   AND(F1439&gt;=0,8, G1439&gt;=70), "Bueno",
   OR(F1439&lt;0,6,  G1439&lt;50),  "Alerta",
   TRUE,           "Revisar")</f>
        <v>Bueno</v>
      </c>
      <c r="J1439" s="28">
        <f t="shared" si="22"/>
        <v>1010000</v>
      </c>
    </row>
    <row r="1440" spans="1:10" ht="18" customHeight="1" x14ac:dyDescent="0.3">
      <c r="A1440" s="18" t="s">
        <v>2926</v>
      </c>
      <c r="B1440" s="5" t="s">
        <v>2927</v>
      </c>
      <c r="C1440" s="18" t="s">
        <v>59</v>
      </c>
      <c r="D1440" s="18" t="s">
        <v>92</v>
      </c>
      <c r="E1440" s="6">
        <v>9000000</v>
      </c>
      <c r="F1440" s="19">
        <v>0.73</v>
      </c>
      <c r="G1440" s="18">
        <v>90</v>
      </c>
      <c r="H1440" s="20">
        <v>15.6</v>
      </c>
      <c r="I1440" s="24" t="str" cm="1">
        <f t="array" ref="I1440">_xlfn.IFS(
   AND(F1440&gt;=0,9, G1440&gt;=85), "Excelente",
   AND(F1440&gt;=0,8, G1440&gt;=70), "Bueno",
   OR(F1440&lt;0,6,  G1440&lt;50),  "Alerta",
   TRUE,           "Revisar")</f>
        <v>Excelente</v>
      </c>
      <c r="J1440" s="28">
        <f t="shared" si="22"/>
        <v>900000</v>
      </c>
    </row>
    <row r="1441" spans="1:10" ht="18" customHeight="1" x14ac:dyDescent="0.3">
      <c r="A1441" s="25" t="s">
        <v>2928</v>
      </c>
      <c r="B1441" s="8" t="s">
        <v>2548</v>
      </c>
      <c r="C1441" s="25" t="s">
        <v>81</v>
      </c>
      <c r="D1441" s="25" t="s">
        <v>64</v>
      </c>
      <c r="E1441" s="9">
        <v>5400000</v>
      </c>
      <c r="F1441" s="26">
        <v>0.96</v>
      </c>
      <c r="G1441" s="25">
        <v>66</v>
      </c>
      <c r="H1441" s="27">
        <v>12.2</v>
      </c>
      <c r="I1441" s="24" t="str" cm="1">
        <f t="array" ref="I1441">_xlfn.IFS(
   AND(F1441&gt;=0,9, G1441&gt;=85), "Excelente",
   AND(F1441&gt;=0,8, G1441&gt;=70), "Bueno",
   OR(F1441&lt;0,6,  G1441&lt;50),  "Alerta",
   TRUE,           "Revisar")</f>
        <v>Alerta</v>
      </c>
      <c r="J1441" s="28">
        <f t="shared" si="22"/>
        <v>0</v>
      </c>
    </row>
    <row r="1442" spans="1:10" ht="18" customHeight="1" x14ac:dyDescent="0.3">
      <c r="A1442" s="18" t="s">
        <v>2929</v>
      </c>
      <c r="B1442" s="5" t="s">
        <v>2930</v>
      </c>
      <c r="C1442" s="18" t="s">
        <v>71</v>
      </c>
      <c r="D1442" s="18" t="s">
        <v>114</v>
      </c>
      <c r="E1442" s="6">
        <v>4900000</v>
      </c>
      <c r="F1442" s="19">
        <v>0.97</v>
      </c>
      <c r="G1442" s="18">
        <v>41</v>
      </c>
      <c r="H1442" s="20">
        <v>7.3</v>
      </c>
      <c r="I1442" s="24" t="str" cm="1">
        <f t="array" ref="I1442">_xlfn.IFS(
   AND(F1442&gt;=0,9, G1442&gt;=85), "Excelente",
   AND(F1442&gt;=0,8, G1442&gt;=70), "Bueno",
   OR(F1442&lt;0,6,  G1442&lt;50),  "Alerta",
   TRUE,           "Revisar")</f>
        <v>Alerta</v>
      </c>
      <c r="J1442" s="28">
        <f t="shared" si="22"/>
        <v>0</v>
      </c>
    </row>
    <row r="1443" spans="1:10" ht="18" customHeight="1" x14ac:dyDescent="0.3">
      <c r="A1443" s="25" t="s">
        <v>2931</v>
      </c>
      <c r="B1443" s="8" t="s">
        <v>2932</v>
      </c>
      <c r="C1443" s="25" t="s">
        <v>74</v>
      </c>
      <c r="D1443" s="25" t="s">
        <v>105</v>
      </c>
      <c r="E1443" s="9">
        <v>4300000</v>
      </c>
      <c r="F1443" s="26">
        <v>0.89</v>
      </c>
      <c r="G1443" s="25">
        <v>91</v>
      </c>
      <c r="H1443" s="27">
        <v>9.1</v>
      </c>
      <c r="I1443" s="24" t="str" cm="1">
        <f t="array" ref="I1443">_xlfn.IFS(
   AND(F1443&gt;=0,9, G1443&gt;=85), "Excelente",
   AND(F1443&gt;=0,8, G1443&gt;=70), "Bueno",
   OR(F1443&lt;0,6,  G1443&lt;50),  "Alerta",
   TRUE,           "Revisar")</f>
        <v>Excelente</v>
      </c>
      <c r="J1443" s="28">
        <f t="shared" si="22"/>
        <v>430000</v>
      </c>
    </row>
    <row r="1444" spans="1:10" ht="18" customHeight="1" x14ac:dyDescent="0.3">
      <c r="A1444" s="18" t="s">
        <v>2933</v>
      </c>
      <c r="B1444" s="5" t="s">
        <v>2934</v>
      </c>
      <c r="C1444" s="18" t="s">
        <v>63</v>
      </c>
      <c r="D1444" s="18" t="s">
        <v>88</v>
      </c>
      <c r="E1444" s="6">
        <v>5400000</v>
      </c>
      <c r="F1444" s="19">
        <v>0.59</v>
      </c>
      <c r="G1444" s="18">
        <v>54</v>
      </c>
      <c r="H1444" s="20">
        <v>3.7</v>
      </c>
      <c r="I1444" s="24" t="str" cm="1">
        <f t="array" ref="I1444">_xlfn.IFS(
   AND(F1444&gt;=0,9, G1444&gt;=85), "Excelente",
   AND(F1444&gt;=0,8, G1444&gt;=70), "Bueno",
   OR(F1444&lt;0,6,  G1444&lt;50),  "Alerta",
   TRUE,           "Revisar")</f>
        <v>Alerta</v>
      </c>
      <c r="J1444" s="28">
        <f t="shared" si="22"/>
        <v>0</v>
      </c>
    </row>
    <row r="1445" spans="1:10" ht="18" customHeight="1" x14ac:dyDescent="0.3">
      <c r="A1445" s="25" t="s">
        <v>2935</v>
      </c>
      <c r="B1445" s="8" t="s">
        <v>2936</v>
      </c>
      <c r="C1445" s="25" t="s">
        <v>59</v>
      </c>
      <c r="D1445" s="25" t="s">
        <v>105</v>
      </c>
      <c r="E1445" s="9">
        <v>11600000</v>
      </c>
      <c r="F1445" s="26">
        <v>0.47</v>
      </c>
      <c r="G1445" s="25">
        <v>33</v>
      </c>
      <c r="H1445" s="27">
        <v>2.5</v>
      </c>
      <c r="I1445" s="24" t="str" cm="1">
        <f t="array" ref="I1445">_xlfn.IFS(
   AND(F1445&gt;=0,9, G1445&gt;=85), "Excelente",
   AND(F1445&gt;=0,8, G1445&gt;=70), "Bueno",
   OR(F1445&lt;0,6,  G1445&lt;50),  "Alerta",
   TRUE,           "Revisar")</f>
        <v>Alerta</v>
      </c>
      <c r="J1445" s="28">
        <f t="shared" si="22"/>
        <v>0</v>
      </c>
    </row>
    <row r="1446" spans="1:10" ht="18" customHeight="1" x14ac:dyDescent="0.3">
      <c r="A1446" s="18" t="s">
        <v>2937</v>
      </c>
      <c r="B1446" s="5" t="s">
        <v>2938</v>
      </c>
      <c r="C1446" s="18" t="s">
        <v>63</v>
      </c>
      <c r="D1446" s="18" t="s">
        <v>64</v>
      </c>
      <c r="E1446" s="6">
        <v>11800000</v>
      </c>
      <c r="F1446" s="19">
        <v>1</v>
      </c>
      <c r="G1446" s="18">
        <v>92</v>
      </c>
      <c r="H1446" s="20">
        <v>7.4</v>
      </c>
      <c r="I1446" s="24" t="str" cm="1">
        <f t="array" ref="I1446">_xlfn.IFS(
   AND(F1446&gt;=0,9, G1446&gt;=85), "Excelente",
   AND(F1446&gt;=0,8, G1446&gt;=70), "Bueno",
   OR(F1446&lt;0,6,  G1446&lt;50),  "Alerta",
   TRUE,           "Revisar")</f>
        <v>Excelente</v>
      </c>
      <c r="J1446" s="28">
        <f t="shared" si="22"/>
        <v>1180000</v>
      </c>
    </row>
    <row r="1447" spans="1:10" ht="18" customHeight="1" x14ac:dyDescent="0.3">
      <c r="A1447" s="25" t="s">
        <v>2939</v>
      </c>
      <c r="B1447" s="8" t="s">
        <v>2940</v>
      </c>
      <c r="C1447" s="25" t="s">
        <v>74</v>
      </c>
      <c r="D1447" s="25" t="s">
        <v>114</v>
      </c>
      <c r="E1447" s="9">
        <v>9300000</v>
      </c>
      <c r="F1447" s="26">
        <v>0.48</v>
      </c>
      <c r="G1447" s="25">
        <v>48</v>
      </c>
      <c r="H1447" s="27">
        <v>16.600000000000001</v>
      </c>
      <c r="I1447" s="24" t="str" cm="1">
        <f t="array" ref="I1447">_xlfn.IFS(
   AND(F1447&gt;=0,9, G1447&gt;=85), "Excelente",
   AND(F1447&gt;=0,8, G1447&gt;=70), "Bueno",
   OR(F1447&lt;0,6,  G1447&lt;50),  "Alerta",
   TRUE,           "Revisar")</f>
        <v>Alerta</v>
      </c>
      <c r="J1447" s="28">
        <f t="shared" si="22"/>
        <v>0</v>
      </c>
    </row>
    <row r="1448" spans="1:10" ht="18" customHeight="1" x14ac:dyDescent="0.3">
      <c r="A1448" s="18" t="s">
        <v>2941</v>
      </c>
      <c r="B1448" s="5" t="s">
        <v>2942</v>
      </c>
      <c r="C1448" s="18" t="s">
        <v>63</v>
      </c>
      <c r="D1448" s="18" t="s">
        <v>88</v>
      </c>
      <c r="E1448" s="6">
        <v>10600000</v>
      </c>
      <c r="F1448" s="19">
        <v>0.56999999999999995</v>
      </c>
      <c r="G1448" s="18">
        <v>93</v>
      </c>
      <c r="H1448" s="20">
        <v>16</v>
      </c>
      <c r="I1448" s="24" t="str" cm="1">
        <f t="array" ref="I1448">_xlfn.IFS(
   AND(F1448&gt;=0,9, G1448&gt;=85), "Excelente",
   AND(F1448&gt;=0,8, G1448&gt;=70), "Bueno",
   OR(F1448&lt;0,6,  G1448&lt;50),  "Alerta",
   TRUE,           "Revisar")</f>
        <v>Excelente</v>
      </c>
      <c r="J1448" s="28">
        <f t="shared" si="22"/>
        <v>1060000</v>
      </c>
    </row>
    <row r="1449" spans="1:10" ht="18" customHeight="1" x14ac:dyDescent="0.3">
      <c r="A1449" s="25" t="s">
        <v>2943</v>
      </c>
      <c r="B1449" s="8" t="s">
        <v>2944</v>
      </c>
      <c r="C1449" s="25" t="s">
        <v>63</v>
      </c>
      <c r="D1449" s="25" t="s">
        <v>92</v>
      </c>
      <c r="E1449" s="9">
        <v>4800000</v>
      </c>
      <c r="F1449" s="26">
        <v>0.84</v>
      </c>
      <c r="G1449" s="25">
        <v>70</v>
      </c>
      <c r="H1449" s="27">
        <v>3.8</v>
      </c>
      <c r="I1449" s="24" t="str" cm="1">
        <f t="array" ref="I1449">_xlfn.IFS(
   AND(F1449&gt;=0,9, G1449&gt;=85), "Excelente",
   AND(F1449&gt;=0,8, G1449&gt;=70), "Bueno",
   OR(F1449&lt;0,6,  G1449&lt;50),  "Alerta",
   TRUE,           "Revisar")</f>
        <v>Bueno</v>
      </c>
      <c r="J1449" s="28">
        <f t="shared" si="22"/>
        <v>480000</v>
      </c>
    </row>
    <row r="1450" spans="1:10" ht="18" customHeight="1" x14ac:dyDescent="0.3">
      <c r="A1450" s="18" t="s">
        <v>2945</v>
      </c>
      <c r="B1450" s="5" t="s">
        <v>2946</v>
      </c>
      <c r="C1450" s="18" t="s">
        <v>74</v>
      </c>
      <c r="D1450" s="18" t="s">
        <v>68</v>
      </c>
      <c r="E1450" s="6">
        <v>10000000</v>
      </c>
      <c r="F1450" s="19">
        <v>0.79</v>
      </c>
      <c r="G1450" s="18">
        <v>97</v>
      </c>
      <c r="H1450" s="20">
        <v>4.5999999999999996</v>
      </c>
      <c r="I1450" s="24" t="str" cm="1">
        <f t="array" ref="I1450">_xlfn.IFS(
   AND(F1450&gt;=0,9, G1450&gt;=85), "Excelente",
   AND(F1450&gt;=0,8, G1450&gt;=70), "Bueno",
   OR(F1450&lt;0,6,  G1450&lt;50),  "Alerta",
   TRUE,           "Revisar")</f>
        <v>Excelente</v>
      </c>
      <c r="J1450" s="28">
        <f t="shared" si="22"/>
        <v>1000000</v>
      </c>
    </row>
    <row r="1451" spans="1:10" ht="18" customHeight="1" x14ac:dyDescent="0.3">
      <c r="A1451" s="25" t="s">
        <v>2947</v>
      </c>
      <c r="B1451" s="8" t="s">
        <v>2948</v>
      </c>
      <c r="C1451" s="25" t="s">
        <v>81</v>
      </c>
      <c r="D1451" s="25" t="s">
        <v>114</v>
      </c>
      <c r="E1451" s="9">
        <v>10200000</v>
      </c>
      <c r="F1451" s="26">
        <v>0.72</v>
      </c>
      <c r="G1451" s="25">
        <v>83</v>
      </c>
      <c r="H1451" s="27">
        <v>0.2</v>
      </c>
      <c r="I1451" s="24" t="str" cm="1">
        <f t="array" ref="I1451">_xlfn.IFS(
   AND(F1451&gt;=0,9, G1451&gt;=85), "Excelente",
   AND(F1451&gt;=0,8, G1451&gt;=70), "Bueno",
   OR(F1451&lt;0,6,  G1451&lt;50),  "Alerta",
   TRUE,           "Revisar")</f>
        <v>Bueno</v>
      </c>
      <c r="J1451" s="28">
        <f t="shared" si="22"/>
        <v>1020000</v>
      </c>
    </row>
    <row r="1452" spans="1:10" ht="18" customHeight="1" x14ac:dyDescent="0.3">
      <c r="A1452" s="18" t="s">
        <v>2949</v>
      </c>
      <c r="B1452" s="5" t="s">
        <v>2950</v>
      </c>
      <c r="C1452" s="18" t="s">
        <v>63</v>
      </c>
      <c r="D1452" s="18" t="s">
        <v>60</v>
      </c>
      <c r="E1452" s="6">
        <v>5600000</v>
      </c>
      <c r="F1452" s="19">
        <v>0.88</v>
      </c>
      <c r="G1452" s="18">
        <v>89</v>
      </c>
      <c r="H1452" s="20">
        <v>19.7</v>
      </c>
      <c r="I1452" s="24" t="str" cm="1">
        <f t="array" ref="I1452">_xlfn.IFS(
   AND(F1452&gt;=0,9, G1452&gt;=85), "Excelente",
   AND(F1452&gt;=0,8, G1452&gt;=70), "Bueno",
   OR(F1452&lt;0,6,  G1452&lt;50),  "Alerta",
   TRUE,           "Revisar")</f>
        <v>Excelente</v>
      </c>
      <c r="J1452" s="28">
        <f t="shared" si="22"/>
        <v>560000</v>
      </c>
    </row>
    <row r="1453" spans="1:10" ht="18" customHeight="1" x14ac:dyDescent="0.3">
      <c r="A1453" s="25" t="s">
        <v>2951</v>
      </c>
      <c r="B1453" s="8" t="s">
        <v>2952</v>
      </c>
      <c r="C1453" s="25" t="s">
        <v>63</v>
      </c>
      <c r="D1453" s="25" t="s">
        <v>114</v>
      </c>
      <c r="E1453" s="9">
        <v>11900000</v>
      </c>
      <c r="F1453" s="26">
        <v>0.5</v>
      </c>
      <c r="G1453" s="25">
        <v>86</v>
      </c>
      <c r="H1453" s="27">
        <v>15.6</v>
      </c>
      <c r="I1453" s="24" t="str" cm="1">
        <f t="array" ref="I1453">_xlfn.IFS(
   AND(F1453&gt;=0,9, G1453&gt;=85), "Excelente",
   AND(F1453&gt;=0,8, G1453&gt;=70), "Bueno",
   OR(F1453&lt;0,6,  G1453&lt;50),  "Alerta",
   TRUE,           "Revisar")</f>
        <v>Excelente</v>
      </c>
      <c r="J1453" s="28">
        <f t="shared" si="22"/>
        <v>1190000</v>
      </c>
    </row>
    <row r="1454" spans="1:10" ht="18" customHeight="1" x14ac:dyDescent="0.3">
      <c r="A1454" s="18" t="s">
        <v>2953</v>
      </c>
      <c r="B1454" s="5" t="s">
        <v>2954</v>
      </c>
      <c r="C1454" s="18" t="s">
        <v>71</v>
      </c>
      <c r="D1454" s="18" t="s">
        <v>64</v>
      </c>
      <c r="E1454" s="6">
        <v>9900000</v>
      </c>
      <c r="F1454" s="19">
        <v>0.72</v>
      </c>
      <c r="G1454" s="18">
        <v>41</v>
      </c>
      <c r="H1454" s="20">
        <v>8</v>
      </c>
      <c r="I1454" s="24" t="str" cm="1">
        <f t="array" ref="I1454">_xlfn.IFS(
   AND(F1454&gt;=0,9, G1454&gt;=85), "Excelente",
   AND(F1454&gt;=0,8, G1454&gt;=70), "Bueno",
   OR(F1454&lt;0,6,  G1454&lt;50),  "Alerta",
   TRUE,           "Revisar")</f>
        <v>Alerta</v>
      </c>
      <c r="J1454" s="28">
        <f t="shared" si="22"/>
        <v>0</v>
      </c>
    </row>
    <row r="1455" spans="1:10" ht="18" customHeight="1" x14ac:dyDescent="0.3">
      <c r="A1455" s="25" t="s">
        <v>2955</v>
      </c>
      <c r="B1455" s="8" t="s">
        <v>2956</v>
      </c>
      <c r="C1455" s="25" t="s">
        <v>77</v>
      </c>
      <c r="D1455" s="25" t="s">
        <v>64</v>
      </c>
      <c r="E1455" s="9">
        <v>5000000</v>
      </c>
      <c r="F1455" s="26">
        <v>0.61</v>
      </c>
      <c r="G1455" s="25">
        <v>85</v>
      </c>
      <c r="H1455" s="27">
        <v>3</v>
      </c>
      <c r="I1455" s="24" t="str" cm="1">
        <f t="array" ref="I1455">_xlfn.IFS(
   AND(F1455&gt;=0,9, G1455&gt;=85), "Excelente",
   AND(F1455&gt;=0,8, G1455&gt;=70), "Bueno",
   OR(F1455&lt;0,6,  G1455&lt;50),  "Alerta",
   TRUE,           "Revisar")</f>
        <v>Excelente</v>
      </c>
      <c r="J1455" s="28">
        <f t="shared" si="22"/>
        <v>500000</v>
      </c>
    </row>
    <row r="1456" spans="1:10" ht="18" customHeight="1" x14ac:dyDescent="0.3">
      <c r="A1456" s="18" t="s">
        <v>2957</v>
      </c>
      <c r="B1456" s="5" t="s">
        <v>2958</v>
      </c>
      <c r="C1456" s="18" t="s">
        <v>74</v>
      </c>
      <c r="D1456" s="18" t="s">
        <v>105</v>
      </c>
      <c r="E1456" s="6">
        <v>8100000</v>
      </c>
      <c r="F1456" s="19">
        <v>0.81</v>
      </c>
      <c r="G1456" s="18">
        <v>70</v>
      </c>
      <c r="H1456" s="20">
        <v>15.8</v>
      </c>
      <c r="I1456" s="24" t="str" cm="1">
        <f t="array" ref="I1456">_xlfn.IFS(
   AND(F1456&gt;=0,9, G1456&gt;=85), "Excelente",
   AND(F1456&gt;=0,8, G1456&gt;=70), "Bueno",
   OR(F1456&lt;0,6,  G1456&lt;50),  "Alerta",
   TRUE,           "Revisar")</f>
        <v>Bueno</v>
      </c>
      <c r="J1456" s="28">
        <f t="shared" si="22"/>
        <v>810000</v>
      </c>
    </row>
    <row r="1457" spans="1:10" ht="18" customHeight="1" x14ac:dyDescent="0.3">
      <c r="A1457" s="25" t="s">
        <v>2959</v>
      </c>
      <c r="B1457" s="8" t="s">
        <v>2960</v>
      </c>
      <c r="C1457" s="25" t="s">
        <v>81</v>
      </c>
      <c r="D1457" s="25" t="s">
        <v>64</v>
      </c>
      <c r="E1457" s="9">
        <v>8600000</v>
      </c>
      <c r="F1457" s="26">
        <v>0.56999999999999995</v>
      </c>
      <c r="G1457" s="25">
        <v>73</v>
      </c>
      <c r="H1457" s="27">
        <v>5.0999999999999996</v>
      </c>
      <c r="I1457" s="24" t="str" cm="1">
        <f t="array" ref="I1457">_xlfn.IFS(
   AND(F1457&gt;=0,9, G1457&gt;=85), "Excelente",
   AND(F1457&gt;=0,8, G1457&gt;=70), "Bueno",
   OR(F1457&lt;0,6,  G1457&lt;50),  "Alerta",
   TRUE,           "Revisar")</f>
        <v>Bueno</v>
      </c>
      <c r="J1457" s="28">
        <f t="shared" si="22"/>
        <v>860000</v>
      </c>
    </row>
    <row r="1458" spans="1:10" ht="18" customHeight="1" x14ac:dyDescent="0.3">
      <c r="A1458" s="18" t="s">
        <v>2961</v>
      </c>
      <c r="B1458" s="5" t="s">
        <v>2962</v>
      </c>
      <c r="C1458" s="18" t="s">
        <v>71</v>
      </c>
      <c r="D1458" s="18" t="s">
        <v>92</v>
      </c>
      <c r="E1458" s="6">
        <v>8700000</v>
      </c>
      <c r="F1458" s="19">
        <v>0.87</v>
      </c>
      <c r="G1458" s="18">
        <v>61</v>
      </c>
      <c r="H1458" s="20">
        <v>10.6</v>
      </c>
      <c r="I1458" s="24" t="str" cm="1">
        <f t="array" ref="I1458">_xlfn.IFS(
   AND(F1458&gt;=0,9, G1458&gt;=85), "Excelente",
   AND(F1458&gt;=0,8, G1458&gt;=70), "Bueno",
   OR(F1458&lt;0,6,  G1458&lt;50),  "Alerta",
   TRUE,           "Revisar")</f>
        <v>Alerta</v>
      </c>
      <c r="J1458" s="28">
        <f t="shared" si="22"/>
        <v>0</v>
      </c>
    </row>
    <row r="1459" spans="1:10" ht="18" customHeight="1" x14ac:dyDescent="0.3">
      <c r="A1459" s="25" t="s">
        <v>2963</v>
      </c>
      <c r="B1459" s="8" t="s">
        <v>2964</v>
      </c>
      <c r="C1459" s="25" t="s">
        <v>63</v>
      </c>
      <c r="D1459" s="25" t="s">
        <v>114</v>
      </c>
      <c r="E1459" s="9">
        <v>6200000</v>
      </c>
      <c r="F1459" s="26">
        <v>0.8</v>
      </c>
      <c r="G1459" s="25">
        <v>60</v>
      </c>
      <c r="H1459" s="27">
        <v>12.2</v>
      </c>
      <c r="I1459" s="24" t="str" cm="1">
        <f t="array" ref="I1459">_xlfn.IFS(
   AND(F1459&gt;=0,9, G1459&gt;=85), "Excelente",
   AND(F1459&gt;=0,8, G1459&gt;=70), "Bueno",
   OR(F1459&lt;0,6,  G1459&lt;50),  "Alerta",
   TRUE,           "Revisar")</f>
        <v>Alerta</v>
      </c>
      <c r="J1459" s="28">
        <f t="shared" si="22"/>
        <v>0</v>
      </c>
    </row>
    <row r="1460" spans="1:10" ht="18" customHeight="1" x14ac:dyDescent="0.3">
      <c r="A1460" s="18" t="s">
        <v>2965</v>
      </c>
      <c r="B1460" s="5" t="s">
        <v>2966</v>
      </c>
      <c r="C1460" s="18" t="s">
        <v>74</v>
      </c>
      <c r="D1460" s="18" t="s">
        <v>114</v>
      </c>
      <c r="E1460" s="6">
        <v>8200000</v>
      </c>
      <c r="F1460" s="19">
        <v>0.94</v>
      </c>
      <c r="G1460" s="18">
        <v>71</v>
      </c>
      <c r="H1460" s="20">
        <v>17.600000000000001</v>
      </c>
      <c r="I1460" s="24" t="str" cm="1">
        <f t="array" ref="I1460">_xlfn.IFS(
   AND(F1460&gt;=0,9, G1460&gt;=85), "Excelente",
   AND(F1460&gt;=0,8, G1460&gt;=70), "Bueno",
   OR(F1460&lt;0,6,  G1460&lt;50),  "Alerta",
   TRUE,           "Revisar")</f>
        <v>Bueno</v>
      </c>
      <c r="J1460" s="28">
        <f t="shared" si="22"/>
        <v>820000</v>
      </c>
    </row>
    <row r="1461" spans="1:10" ht="18" customHeight="1" x14ac:dyDescent="0.3">
      <c r="A1461" s="25" t="s">
        <v>2967</v>
      </c>
      <c r="B1461" s="8" t="s">
        <v>2968</v>
      </c>
      <c r="C1461" s="25" t="s">
        <v>67</v>
      </c>
      <c r="D1461" s="25" t="s">
        <v>88</v>
      </c>
      <c r="E1461" s="9">
        <v>9300000</v>
      </c>
      <c r="F1461" s="26">
        <v>0.8</v>
      </c>
      <c r="G1461" s="25">
        <v>61</v>
      </c>
      <c r="H1461" s="27">
        <v>16.8</v>
      </c>
      <c r="I1461" s="24" t="str" cm="1">
        <f t="array" ref="I1461">_xlfn.IFS(
   AND(F1461&gt;=0,9, G1461&gt;=85), "Excelente",
   AND(F1461&gt;=0,8, G1461&gt;=70), "Bueno",
   OR(F1461&lt;0,6,  G1461&lt;50),  "Alerta",
   TRUE,           "Revisar")</f>
        <v>Alerta</v>
      </c>
      <c r="J1461" s="28">
        <f t="shared" si="22"/>
        <v>0</v>
      </c>
    </row>
    <row r="1462" spans="1:10" ht="18" customHeight="1" x14ac:dyDescent="0.3">
      <c r="A1462" s="18" t="s">
        <v>2969</v>
      </c>
      <c r="B1462" s="5" t="s">
        <v>2970</v>
      </c>
      <c r="C1462" s="18" t="s">
        <v>67</v>
      </c>
      <c r="D1462" s="18" t="s">
        <v>114</v>
      </c>
      <c r="E1462" s="6">
        <v>3400000</v>
      </c>
      <c r="F1462" s="19">
        <v>0.61</v>
      </c>
      <c r="G1462" s="18">
        <v>83</v>
      </c>
      <c r="H1462" s="20">
        <v>3.9</v>
      </c>
      <c r="I1462" s="24" t="str" cm="1">
        <f t="array" ref="I1462">_xlfn.IFS(
   AND(F1462&gt;=0,9, G1462&gt;=85), "Excelente",
   AND(F1462&gt;=0,8, G1462&gt;=70), "Bueno",
   OR(F1462&lt;0,6,  G1462&lt;50),  "Alerta",
   TRUE,           "Revisar")</f>
        <v>Bueno</v>
      </c>
      <c r="J1462" s="28">
        <f t="shared" si="22"/>
        <v>340000</v>
      </c>
    </row>
    <row r="1463" spans="1:10" ht="18" customHeight="1" x14ac:dyDescent="0.3">
      <c r="A1463" s="25" t="s">
        <v>2971</v>
      </c>
      <c r="B1463" s="8" t="s">
        <v>2972</v>
      </c>
      <c r="C1463" s="25" t="s">
        <v>67</v>
      </c>
      <c r="D1463" s="25" t="s">
        <v>114</v>
      </c>
      <c r="E1463" s="9">
        <v>6800000</v>
      </c>
      <c r="F1463" s="26">
        <v>0.52</v>
      </c>
      <c r="G1463" s="25">
        <v>100</v>
      </c>
      <c r="H1463" s="27">
        <v>0</v>
      </c>
      <c r="I1463" s="24" t="str" cm="1">
        <f t="array" ref="I1463">_xlfn.IFS(
   AND(F1463&gt;=0,9, G1463&gt;=85), "Excelente",
   AND(F1463&gt;=0,8, G1463&gt;=70), "Bueno",
   OR(F1463&lt;0,6,  G1463&lt;50),  "Alerta",
   TRUE,           "Revisar")</f>
        <v>Excelente</v>
      </c>
      <c r="J1463" s="28">
        <f t="shared" si="22"/>
        <v>680000</v>
      </c>
    </row>
    <row r="1464" spans="1:10" ht="18" customHeight="1" x14ac:dyDescent="0.3">
      <c r="A1464" s="18" t="s">
        <v>2973</v>
      </c>
      <c r="B1464" s="5" t="s">
        <v>2974</v>
      </c>
      <c r="C1464" s="18" t="s">
        <v>77</v>
      </c>
      <c r="D1464" s="18" t="s">
        <v>114</v>
      </c>
      <c r="E1464" s="6">
        <v>4500000</v>
      </c>
      <c r="F1464" s="19">
        <v>0.91</v>
      </c>
      <c r="G1464" s="18">
        <v>91</v>
      </c>
      <c r="H1464" s="20">
        <v>18.2</v>
      </c>
      <c r="I1464" s="24" t="str" cm="1">
        <f t="array" ref="I1464">_xlfn.IFS(
   AND(F1464&gt;=0,9, G1464&gt;=85), "Excelente",
   AND(F1464&gt;=0,8, G1464&gt;=70), "Bueno",
   OR(F1464&lt;0,6,  G1464&lt;50),  "Alerta",
   TRUE,           "Revisar")</f>
        <v>Excelente</v>
      </c>
      <c r="J1464" s="28">
        <f t="shared" si="22"/>
        <v>450000</v>
      </c>
    </row>
    <row r="1465" spans="1:10" ht="18" customHeight="1" x14ac:dyDescent="0.3">
      <c r="A1465" s="25" t="s">
        <v>2975</v>
      </c>
      <c r="B1465" s="8" t="s">
        <v>2976</v>
      </c>
      <c r="C1465" s="25" t="s">
        <v>71</v>
      </c>
      <c r="D1465" s="25" t="s">
        <v>68</v>
      </c>
      <c r="E1465" s="9">
        <v>7500000</v>
      </c>
      <c r="F1465" s="26">
        <v>0.51</v>
      </c>
      <c r="G1465" s="25">
        <v>75</v>
      </c>
      <c r="H1465" s="27">
        <v>14.2</v>
      </c>
      <c r="I1465" s="24" t="str" cm="1">
        <f t="array" ref="I1465">_xlfn.IFS(
   AND(F1465&gt;=0,9, G1465&gt;=85), "Excelente",
   AND(F1465&gt;=0,8, G1465&gt;=70), "Bueno",
   OR(F1465&lt;0,6,  G1465&lt;50),  "Alerta",
   TRUE,           "Revisar")</f>
        <v>Bueno</v>
      </c>
      <c r="J1465" s="28">
        <f t="shared" si="22"/>
        <v>750000</v>
      </c>
    </row>
    <row r="1466" spans="1:10" ht="18" customHeight="1" x14ac:dyDescent="0.3">
      <c r="A1466" s="18" t="s">
        <v>2977</v>
      </c>
      <c r="B1466" s="5" t="s">
        <v>2978</v>
      </c>
      <c r="C1466" s="18" t="s">
        <v>71</v>
      </c>
      <c r="D1466" s="18" t="s">
        <v>88</v>
      </c>
      <c r="E1466" s="6">
        <v>4300000</v>
      </c>
      <c r="F1466" s="19">
        <v>1</v>
      </c>
      <c r="G1466" s="18">
        <v>58</v>
      </c>
      <c r="H1466" s="20">
        <v>11.8</v>
      </c>
      <c r="I1466" s="24" t="str" cm="1">
        <f t="array" ref="I1466">_xlfn.IFS(
   AND(F1466&gt;=0,9, G1466&gt;=85), "Excelente",
   AND(F1466&gt;=0,8, G1466&gt;=70), "Bueno",
   OR(F1466&lt;0,6,  G1466&lt;50),  "Alerta",
   TRUE,           "Revisar")</f>
        <v>Alerta</v>
      </c>
      <c r="J1466" s="28">
        <f t="shared" si="22"/>
        <v>0</v>
      </c>
    </row>
    <row r="1467" spans="1:10" ht="18" customHeight="1" x14ac:dyDescent="0.3">
      <c r="A1467" s="25" t="s">
        <v>2979</v>
      </c>
      <c r="B1467" s="8" t="s">
        <v>2980</v>
      </c>
      <c r="C1467" s="25" t="s">
        <v>63</v>
      </c>
      <c r="D1467" s="25" t="s">
        <v>92</v>
      </c>
      <c r="E1467" s="9">
        <v>8300000</v>
      </c>
      <c r="F1467" s="26">
        <v>0.81</v>
      </c>
      <c r="G1467" s="25">
        <v>40</v>
      </c>
      <c r="H1467" s="27">
        <v>2.2000000000000002</v>
      </c>
      <c r="I1467" s="24" t="str" cm="1">
        <f t="array" ref="I1467">_xlfn.IFS(
   AND(F1467&gt;=0,9, G1467&gt;=85), "Excelente",
   AND(F1467&gt;=0,8, G1467&gt;=70), "Bueno",
   OR(F1467&lt;0,6,  G1467&lt;50),  "Alerta",
   TRUE,           "Revisar")</f>
        <v>Alerta</v>
      </c>
      <c r="J1467" s="28">
        <f t="shared" si="22"/>
        <v>0</v>
      </c>
    </row>
    <row r="1468" spans="1:10" ht="18" customHeight="1" x14ac:dyDescent="0.3">
      <c r="A1468" s="18" t="s">
        <v>2981</v>
      </c>
      <c r="B1468" s="5" t="s">
        <v>2982</v>
      </c>
      <c r="C1468" s="18" t="s">
        <v>67</v>
      </c>
      <c r="D1468" s="18" t="s">
        <v>78</v>
      </c>
      <c r="E1468" s="6">
        <v>5900000</v>
      </c>
      <c r="F1468" s="19">
        <v>0.96</v>
      </c>
      <c r="G1468" s="18">
        <v>88</v>
      </c>
      <c r="H1468" s="20">
        <v>11.7</v>
      </c>
      <c r="I1468" s="24" t="str" cm="1">
        <f t="array" ref="I1468">_xlfn.IFS(
   AND(F1468&gt;=0,9, G1468&gt;=85), "Excelente",
   AND(F1468&gt;=0,8, G1468&gt;=70), "Bueno",
   OR(F1468&lt;0,6,  G1468&lt;50),  "Alerta",
   TRUE,           "Revisar")</f>
        <v>Excelente</v>
      </c>
      <c r="J1468" s="28">
        <f t="shared" si="22"/>
        <v>590000</v>
      </c>
    </row>
    <row r="1469" spans="1:10" ht="18" customHeight="1" x14ac:dyDescent="0.3">
      <c r="A1469" s="25" t="s">
        <v>2983</v>
      </c>
      <c r="B1469" s="8" t="s">
        <v>2984</v>
      </c>
      <c r="C1469" s="25" t="s">
        <v>91</v>
      </c>
      <c r="D1469" s="25" t="s">
        <v>64</v>
      </c>
      <c r="E1469" s="9">
        <v>5600000</v>
      </c>
      <c r="F1469" s="26">
        <v>0.89</v>
      </c>
      <c r="G1469" s="25">
        <v>68</v>
      </c>
      <c r="H1469" s="27">
        <v>6.9</v>
      </c>
      <c r="I1469" s="24" t="str" cm="1">
        <f t="array" ref="I1469">_xlfn.IFS(
   AND(F1469&gt;=0,9, G1469&gt;=85), "Excelente",
   AND(F1469&gt;=0,8, G1469&gt;=70), "Bueno",
   OR(F1469&lt;0,6,  G1469&lt;50),  "Alerta",
   TRUE,           "Revisar")</f>
        <v>Alerta</v>
      </c>
      <c r="J1469" s="28">
        <f t="shared" si="22"/>
        <v>0</v>
      </c>
    </row>
    <row r="1470" spans="1:10" ht="18" customHeight="1" x14ac:dyDescent="0.3">
      <c r="A1470" s="18" t="s">
        <v>2985</v>
      </c>
      <c r="B1470" s="5" t="s">
        <v>2986</v>
      </c>
      <c r="C1470" s="18" t="s">
        <v>63</v>
      </c>
      <c r="D1470" s="18" t="s">
        <v>88</v>
      </c>
      <c r="E1470" s="6">
        <v>9800000</v>
      </c>
      <c r="F1470" s="19">
        <v>0.59</v>
      </c>
      <c r="G1470" s="18">
        <v>64</v>
      </c>
      <c r="H1470" s="20">
        <v>1.7</v>
      </c>
      <c r="I1470" s="24" t="str" cm="1">
        <f t="array" ref="I1470">_xlfn.IFS(
   AND(F1470&gt;=0,9, G1470&gt;=85), "Excelente",
   AND(F1470&gt;=0,8, G1470&gt;=70), "Bueno",
   OR(F1470&lt;0,6,  G1470&lt;50),  "Alerta",
   TRUE,           "Revisar")</f>
        <v>Alerta</v>
      </c>
      <c r="J1470" s="28">
        <f t="shared" si="22"/>
        <v>0</v>
      </c>
    </row>
    <row r="1471" spans="1:10" ht="18" customHeight="1" x14ac:dyDescent="0.3">
      <c r="A1471" s="25" t="s">
        <v>2987</v>
      </c>
      <c r="B1471" s="8" t="s">
        <v>2988</v>
      </c>
      <c r="C1471" s="25" t="s">
        <v>74</v>
      </c>
      <c r="D1471" s="25" t="s">
        <v>60</v>
      </c>
      <c r="E1471" s="9">
        <v>4200000</v>
      </c>
      <c r="F1471" s="26">
        <v>0.73</v>
      </c>
      <c r="G1471" s="25">
        <v>64</v>
      </c>
      <c r="H1471" s="27">
        <v>18.2</v>
      </c>
      <c r="I1471" s="24" t="str" cm="1">
        <f t="array" ref="I1471">_xlfn.IFS(
   AND(F1471&gt;=0,9, G1471&gt;=85), "Excelente",
   AND(F1471&gt;=0,8, G1471&gt;=70), "Bueno",
   OR(F1471&lt;0,6,  G1471&lt;50),  "Alerta",
   TRUE,           "Revisar")</f>
        <v>Alerta</v>
      </c>
      <c r="J1471" s="28">
        <f t="shared" si="22"/>
        <v>0</v>
      </c>
    </row>
    <row r="1472" spans="1:10" ht="18" customHeight="1" x14ac:dyDescent="0.3">
      <c r="A1472" s="18" t="s">
        <v>2989</v>
      </c>
      <c r="B1472" s="5" t="s">
        <v>2990</v>
      </c>
      <c r="C1472" s="18" t="s">
        <v>67</v>
      </c>
      <c r="D1472" s="18" t="s">
        <v>92</v>
      </c>
      <c r="E1472" s="6">
        <v>9000000</v>
      </c>
      <c r="F1472" s="19">
        <v>0.55000000000000004</v>
      </c>
      <c r="G1472" s="18">
        <v>55</v>
      </c>
      <c r="H1472" s="20">
        <v>14.1</v>
      </c>
      <c r="I1472" s="24" t="str" cm="1">
        <f t="array" ref="I1472">_xlfn.IFS(
   AND(F1472&gt;=0,9, G1472&gt;=85), "Excelente",
   AND(F1472&gt;=0,8, G1472&gt;=70), "Bueno",
   OR(F1472&lt;0,6,  G1472&lt;50),  "Alerta",
   TRUE,           "Revisar")</f>
        <v>Alerta</v>
      </c>
      <c r="J1472" s="28">
        <f t="shared" si="22"/>
        <v>0</v>
      </c>
    </row>
    <row r="1473" spans="1:10" ht="18" customHeight="1" x14ac:dyDescent="0.3">
      <c r="A1473" s="25" t="s">
        <v>2991</v>
      </c>
      <c r="B1473" s="8" t="s">
        <v>2992</v>
      </c>
      <c r="C1473" s="25" t="s">
        <v>67</v>
      </c>
      <c r="D1473" s="25" t="s">
        <v>60</v>
      </c>
      <c r="E1473" s="9">
        <v>3200000</v>
      </c>
      <c r="F1473" s="26">
        <v>0.51</v>
      </c>
      <c r="G1473" s="25">
        <v>50</v>
      </c>
      <c r="H1473" s="27">
        <v>11.1</v>
      </c>
      <c r="I1473" s="24" t="str" cm="1">
        <f t="array" ref="I1473">_xlfn.IFS(
   AND(F1473&gt;=0,9, G1473&gt;=85), "Excelente",
   AND(F1473&gt;=0,8, G1473&gt;=70), "Bueno",
   OR(F1473&lt;0,6,  G1473&lt;50),  "Alerta",
   TRUE,           "Revisar")</f>
        <v>Alerta</v>
      </c>
      <c r="J1473" s="28">
        <f t="shared" si="22"/>
        <v>0</v>
      </c>
    </row>
    <row r="1474" spans="1:10" ht="18" customHeight="1" x14ac:dyDescent="0.3">
      <c r="A1474" s="18" t="s">
        <v>2993</v>
      </c>
      <c r="B1474" s="5" t="s">
        <v>2994</v>
      </c>
      <c r="C1474" s="18" t="s">
        <v>59</v>
      </c>
      <c r="D1474" s="18" t="s">
        <v>114</v>
      </c>
      <c r="E1474" s="6">
        <v>5600000</v>
      </c>
      <c r="F1474" s="19">
        <v>0.69</v>
      </c>
      <c r="G1474" s="18">
        <v>91</v>
      </c>
      <c r="H1474" s="20">
        <v>11.4</v>
      </c>
      <c r="I1474" s="24" t="str" cm="1">
        <f t="array" ref="I1474">_xlfn.IFS(
   AND(F1474&gt;=0,9, G1474&gt;=85), "Excelente",
   AND(F1474&gt;=0,8, G1474&gt;=70), "Bueno",
   OR(F1474&lt;0,6,  G1474&lt;50),  "Alerta",
   TRUE,           "Revisar")</f>
        <v>Excelente</v>
      </c>
      <c r="J1474" s="28">
        <f t="shared" si="22"/>
        <v>560000</v>
      </c>
    </row>
    <row r="1475" spans="1:10" ht="18" customHeight="1" x14ac:dyDescent="0.3">
      <c r="A1475" s="25" t="s">
        <v>2995</v>
      </c>
      <c r="B1475" s="8" t="s">
        <v>2996</v>
      </c>
      <c r="C1475" s="25" t="s">
        <v>74</v>
      </c>
      <c r="D1475" s="25" t="s">
        <v>114</v>
      </c>
      <c r="E1475" s="9">
        <v>9900000</v>
      </c>
      <c r="F1475" s="26">
        <v>0.49</v>
      </c>
      <c r="G1475" s="25">
        <v>95</v>
      </c>
      <c r="H1475" s="27">
        <v>6.3</v>
      </c>
      <c r="I1475" s="24" t="str" cm="1">
        <f t="array" ref="I1475">_xlfn.IFS(
   AND(F1475&gt;=0,9, G1475&gt;=85), "Excelente",
   AND(F1475&gt;=0,8, G1475&gt;=70), "Bueno",
   OR(F1475&lt;0,6,  G1475&lt;50),  "Alerta",
   TRUE,           "Revisar")</f>
        <v>Excelente</v>
      </c>
      <c r="J1475" s="28">
        <f t="shared" si="22"/>
        <v>990000</v>
      </c>
    </row>
    <row r="1476" spans="1:10" ht="18" customHeight="1" x14ac:dyDescent="0.3">
      <c r="A1476" s="18" t="s">
        <v>2997</v>
      </c>
      <c r="B1476" s="5" t="s">
        <v>2998</v>
      </c>
      <c r="C1476" s="18" t="s">
        <v>59</v>
      </c>
      <c r="D1476" s="18" t="s">
        <v>78</v>
      </c>
      <c r="E1476" s="6">
        <v>8000000</v>
      </c>
      <c r="F1476" s="19">
        <v>0.48</v>
      </c>
      <c r="G1476" s="18">
        <v>83</v>
      </c>
      <c r="H1476" s="20">
        <v>3.1</v>
      </c>
      <c r="I1476" s="24" t="str" cm="1">
        <f t="array" ref="I1476">_xlfn.IFS(
   AND(F1476&gt;=0,9, G1476&gt;=85), "Excelente",
   AND(F1476&gt;=0,8, G1476&gt;=70), "Bueno",
   OR(F1476&lt;0,6,  G1476&lt;50),  "Alerta",
   TRUE,           "Revisar")</f>
        <v>Bueno</v>
      </c>
      <c r="J1476" s="28">
        <f t="shared" si="22"/>
        <v>800000</v>
      </c>
    </row>
    <row r="1477" spans="1:10" ht="18" customHeight="1" x14ac:dyDescent="0.3">
      <c r="A1477" s="25" t="s">
        <v>2999</v>
      </c>
      <c r="B1477" s="8" t="s">
        <v>3000</v>
      </c>
      <c r="C1477" s="25" t="s">
        <v>71</v>
      </c>
      <c r="D1477" s="25" t="s">
        <v>92</v>
      </c>
      <c r="E1477" s="9">
        <v>10200000</v>
      </c>
      <c r="F1477" s="26">
        <v>0.76</v>
      </c>
      <c r="G1477" s="25">
        <v>71</v>
      </c>
      <c r="H1477" s="27">
        <v>5.7</v>
      </c>
      <c r="I1477" s="24" t="str" cm="1">
        <f t="array" ref="I1477">_xlfn.IFS(
   AND(F1477&gt;=0,9, G1477&gt;=85), "Excelente",
   AND(F1477&gt;=0,8, G1477&gt;=70), "Bueno",
   OR(F1477&lt;0,6,  G1477&lt;50),  "Alerta",
   TRUE,           "Revisar")</f>
        <v>Bueno</v>
      </c>
      <c r="J1477" s="28">
        <f t="shared" si="22"/>
        <v>1020000</v>
      </c>
    </row>
    <row r="1478" spans="1:10" ht="18" customHeight="1" x14ac:dyDescent="0.3">
      <c r="A1478" s="18" t="s">
        <v>3001</v>
      </c>
      <c r="B1478" s="5" t="s">
        <v>3002</v>
      </c>
      <c r="C1478" s="18" t="s">
        <v>77</v>
      </c>
      <c r="D1478" s="18" t="s">
        <v>92</v>
      </c>
      <c r="E1478" s="6">
        <v>8500000</v>
      </c>
      <c r="F1478" s="19">
        <v>0.53</v>
      </c>
      <c r="G1478" s="18">
        <v>55</v>
      </c>
      <c r="H1478" s="20">
        <v>12.6</v>
      </c>
      <c r="I1478" s="24" t="str" cm="1">
        <f t="array" ref="I1478">_xlfn.IFS(
   AND(F1478&gt;=0,9, G1478&gt;=85), "Excelente",
   AND(F1478&gt;=0,8, G1478&gt;=70), "Bueno",
   OR(F1478&lt;0,6,  G1478&lt;50),  "Alerta",
   TRUE,           "Revisar")</f>
        <v>Alerta</v>
      </c>
      <c r="J1478" s="28">
        <f t="shared" si="22"/>
        <v>0</v>
      </c>
    </row>
    <row r="1479" spans="1:10" ht="18" customHeight="1" x14ac:dyDescent="0.3">
      <c r="A1479" s="25" t="s">
        <v>3003</v>
      </c>
      <c r="B1479" s="8" t="s">
        <v>3004</v>
      </c>
      <c r="C1479" s="25" t="s">
        <v>74</v>
      </c>
      <c r="D1479" s="25" t="s">
        <v>78</v>
      </c>
      <c r="E1479" s="9">
        <v>8300000</v>
      </c>
      <c r="F1479" s="26">
        <v>0.88</v>
      </c>
      <c r="G1479" s="25">
        <v>34</v>
      </c>
      <c r="H1479" s="27">
        <v>17.399999999999999</v>
      </c>
      <c r="I1479" s="24" t="str" cm="1">
        <f t="array" ref="I1479">_xlfn.IFS(
   AND(F1479&gt;=0,9, G1479&gt;=85), "Excelente",
   AND(F1479&gt;=0,8, G1479&gt;=70), "Bueno",
   OR(F1479&lt;0,6,  G1479&lt;50),  "Alerta",
   TRUE,           "Revisar")</f>
        <v>Alerta</v>
      </c>
      <c r="J1479" s="28">
        <f t="shared" si="22"/>
        <v>0</v>
      </c>
    </row>
    <row r="1480" spans="1:10" ht="18" customHeight="1" x14ac:dyDescent="0.3">
      <c r="A1480" s="18" t="s">
        <v>3005</v>
      </c>
      <c r="B1480" s="5" t="s">
        <v>3006</v>
      </c>
      <c r="C1480" s="18" t="s">
        <v>59</v>
      </c>
      <c r="D1480" s="18" t="s">
        <v>92</v>
      </c>
      <c r="E1480" s="6">
        <v>6400000</v>
      </c>
      <c r="F1480" s="19">
        <v>1</v>
      </c>
      <c r="G1480" s="18">
        <v>80</v>
      </c>
      <c r="H1480" s="20">
        <v>16.5</v>
      </c>
      <c r="I1480" s="24" t="str" cm="1">
        <f t="array" ref="I1480">_xlfn.IFS(
   AND(F1480&gt;=0,9, G1480&gt;=85), "Excelente",
   AND(F1480&gt;=0,8, G1480&gt;=70), "Bueno",
   OR(F1480&lt;0,6,  G1480&lt;50),  "Alerta",
   TRUE,           "Revisar")</f>
        <v>Bueno</v>
      </c>
      <c r="J1480" s="28">
        <f t="shared" si="22"/>
        <v>640000</v>
      </c>
    </row>
    <row r="1481" spans="1:10" ht="18" customHeight="1" x14ac:dyDescent="0.3">
      <c r="A1481" s="25" t="s">
        <v>3007</v>
      </c>
      <c r="B1481" s="8" t="s">
        <v>3008</v>
      </c>
      <c r="C1481" s="25" t="s">
        <v>77</v>
      </c>
      <c r="D1481" s="25" t="s">
        <v>114</v>
      </c>
      <c r="E1481" s="9">
        <v>11100000</v>
      </c>
      <c r="F1481" s="26">
        <v>0.79</v>
      </c>
      <c r="G1481" s="25">
        <v>76</v>
      </c>
      <c r="H1481" s="27">
        <v>3</v>
      </c>
      <c r="I1481" s="24" t="str" cm="1">
        <f t="array" ref="I1481">_xlfn.IFS(
   AND(F1481&gt;=0,9, G1481&gt;=85), "Excelente",
   AND(F1481&gt;=0,8, G1481&gt;=70), "Bueno",
   OR(F1481&lt;0,6,  G1481&lt;50),  "Alerta",
   TRUE,           "Revisar")</f>
        <v>Bueno</v>
      </c>
      <c r="J1481" s="28">
        <f t="shared" si="22"/>
        <v>1110000</v>
      </c>
    </row>
    <row r="1482" spans="1:10" ht="18" customHeight="1" x14ac:dyDescent="0.3">
      <c r="A1482" s="18" t="s">
        <v>3009</v>
      </c>
      <c r="B1482" s="5" t="s">
        <v>3010</v>
      </c>
      <c r="C1482" s="18" t="s">
        <v>77</v>
      </c>
      <c r="D1482" s="18" t="s">
        <v>114</v>
      </c>
      <c r="E1482" s="6">
        <v>11600000</v>
      </c>
      <c r="F1482" s="19">
        <v>0.57999999999999996</v>
      </c>
      <c r="G1482" s="18">
        <v>70</v>
      </c>
      <c r="H1482" s="20">
        <v>4.2</v>
      </c>
      <c r="I1482" s="24" t="str" cm="1">
        <f t="array" ref="I1482">_xlfn.IFS(
   AND(F1482&gt;=0,9, G1482&gt;=85), "Excelente",
   AND(F1482&gt;=0,8, G1482&gt;=70), "Bueno",
   OR(F1482&lt;0,6,  G1482&lt;50),  "Alerta",
   TRUE,           "Revisar")</f>
        <v>Bueno</v>
      </c>
      <c r="J1482" s="28">
        <f t="shared" si="22"/>
        <v>1160000</v>
      </c>
    </row>
    <row r="1483" spans="1:10" ht="18" customHeight="1" x14ac:dyDescent="0.3">
      <c r="A1483" s="25" t="s">
        <v>3011</v>
      </c>
      <c r="B1483" s="8" t="s">
        <v>3012</v>
      </c>
      <c r="C1483" s="25" t="s">
        <v>91</v>
      </c>
      <c r="D1483" s="25" t="s">
        <v>68</v>
      </c>
      <c r="E1483" s="9">
        <v>4200000</v>
      </c>
      <c r="F1483" s="26">
        <v>0.56999999999999995</v>
      </c>
      <c r="G1483" s="25">
        <v>45</v>
      </c>
      <c r="H1483" s="27">
        <v>8.1</v>
      </c>
      <c r="I1483" s="24" t="str" cm="1">
        <f t="array" ref="I1483">_xlfn.IFS(
   AND(F1483&gt;=0,9, G1483&gt;=85), "Excelente",
   AND(F1483&gt;=0,8, G1483&gt;=70), "Bueno",
   OR(F1483&lt;0,6,  G1483&lt;50),  "Alerta",
   TRUE,           "Revisar")</f>
        <v>Alerta</v>
      </c>
      <c r="J1483" s="28">
        <f t="shared" si="22"/>
        <v>0</v>
      </c>
    </row>
    <row r="1484" spans="1:10" ht="18" customHeight="1" x14ac:dyDescent="0.3">
      <c r="A1484" s="18" t="s">
        <v>3013</v>
      </c>
      <c r="B1484" s="5" t="s">
        <v>3014</v>
      </c>
      <c r="C1484" s="18" t="s">
        <v>91</v>
      </c>
      <c r="D1484" s="18" t="s">
        <v>88</v>
      </c>
      <c r="E1484" s="6">
        <v>5000000</v>
      </c>
      <c r="F1484" s="19">
        <v>0.78</v>
      </c>
      <c r="G1484" s="18">
        <v>56</v>
      </c>
      <c r="H1484" s="20">
        <v>5.0999999999999996</v>
      </c>
      <c r="I1484" s="24" t="str" cm="1">
        <f t="array" ref="I1484">_xlfn.IFS(
   AND(F1484&gt;=0,9, G1484&gt;=85), "Excelente",
   AND(F1484&gt;=0,8, G1484&gt;=70), "Bueno",
   OR(F1484&lt;0,6,  G1484&lt;50),  "Alerta",
   TRUE,           "Revisar")</f>
        <v>Alerta</v>
      </c>
      <c r="J1484" s="28">
        <f t="shared" ref="J1484:J1511" si="23">IF(OR(I1484="Excelente",I1484="Bueno"),E1484*0.1,0)</f>
        <v>0</v>
      </c>
    </row>
    <row r="1485" spans="1:10" ht="18" customHeight="1" x14ac:dyDescent="0.3">
      <c r="A1485" s="25" t="s">
        <v>3015</v>
      </c>
      <c r="B1485" s="8" t="s">
        <v>3016</v>
      </c>
      <c r="C1485" s="25" t="s">
        <v>74</v>
      </c>
      <c r="D1485" s="25" t="s">
        <v>114</v>
      </c>
      <c r="E1485" s="9">
        <v>8300000</v>
      </c>
      <c r="F1485" s="26">
        <v>0.64</v>
      </c>
      <c r="G1485" s="25">
        <v>58</v>
      </c>
      <c r="H1485" s="27">
        <v>12</v>
      </c>
      <c r="I1485" s="24" t="str" cm="1">
        <f t="array" ref="I1485">_xlfn.IFS(
   AND(F1485&gt;=0,9, G1485&gt;=85), "Excelente",
   AND(F1485&gt;=0,8, G1485&gt;=70), "Bueno",
   OR(F1485&lt;0,6,  G1485&lt;50),  "Alerta",
   TRUE,           "Revisar")</f>
        <v>Alerta</v>
      </c>
      <c r="J1485" s="28">
        <f t="shared" si="23"/>
        <v>0</v>
      </c>
    </row>
    <row r="1486" spans="1:10" ht="18" customHeight="1" x14ac:dyDescent="0.3">
      <c r="A1486" s="18" t="s">
        <v>3017</v>
      </c>
      <c r="B1486" s="5" t="s">
        <v>3018</v>
      </c>
      <c r="C1486" s="18" t="s">
        <v>71</v>
      </c>
      <c r="D1486" s="18" t="s">
        <v>78</v>
      </c>
      <c r="E1486" s="6">
        <v>10700000</v>
      </c>
      <c r="F1486" s="19">
        <v>0.93</v>
      </c>
      <c r="G1486" s="18">
        <v>96</v>
      </c>
      <c r="H1486" s="20">
        <v>7.3</v>
      </c>
      <c r="I1486" s="24" t="str" cm="1">
        <f t="array" ref="I1486">_xlfn.IFS(
   AND(F1486&gt;=0,9, G1486&gt;=85), "Excelente",
   AND(F1486&gt;=0,8, G1486&gt;=70), "Bueno",
   OR(F1486&lt;0,6,  G1486&lt;50),  "Alerta",
   TRUE,           "Revisar")</f>
        <v>Excelente</v>
      </c>
      <c r="J1486" s="28">
        <f t="shared" si="23"/>
        <v>1070000</v>
      </c>
    </row>
    <row r="1487" spans="1:10" ht="18" customHeight="1" x14ac:dyDescent="0.3">
      <c r="A1487" s="25" t="s">
        <v>3019</v>
      </c>
      <c r="B1487" s="8" t="s">
        <v>3020</v>
      </c>
      <c r="C1487" s="25" t="s">
        <v>71</v>
      </c>
      <c r="D1487" s="25" t="s">
        <v>105</v>
      </c>
      <c r="E1487" s="9">
        <v>11800000</v>
      </c>
      <c r="F1487" s="26">
        <v>0.91</v>
      </c>
      <c r="G1487" s="25">
        <v>65</v>
      </c>
      <c r="H1487" s="27">
        <v>6</v>
      </c>
      <c r="I1487" s="24" t="str" cm="1">
        <f t="array" ref="I1487">_xlfn.IFS(
   AND(F1487&gt;=0,9, G1487&gt;=85), "Excelente",
   AND(F1487&gt;=0,8, G1487&gt;=70), "Bueno",
   OR(F1487&lt;0,6,  G1487&lt;50),  "Alerta",
   TRUE,           "Revisar")</f>
        <v>Alerta</v>
      </c>
      <c r="J1487" s="28">
        <f t="shared" si="23"/>
        <v>0</v>
      </c>
    </row>
    <row r="1488" spans="1:10" ht="18" customHeight="1" x14ac:dyDescent="0.3">
      <c r="A1488" s="18" t="s">
        <v>3021</v>
      </c>
      <c r="B1488" s="5" t="s">
        <v>3022</v>
      </c>
      <c r="C1488" s="18" t="s">
        <v>63</v>
      </c>
      <c r="D1488" s="18" t="s">
        <v>60</v>
      </c>
      <c r="E1488" s="6">
        <v>9700000</v>
      </c>
      <c r="F1488" s="19">
        <v>0.68</v>
      </c>
      <c r="G1488" s="18">
        <v>80</v>
      </c>
      <c r="H1488" s="20">
        <v>11.4</v>
      </c>
      <c r="I1488" s="24" t="str" cm="1">
        <f t="array" ref="I1488">_xlfn.IFS(
   AND(F1488&gt;=0,9, G1488&gt;=85), "Excelente",
   AND(F1488&gt;=0,8, G1488&gt;=70), "Bueno",
   OR(F1488&lt;0,6,  G1488&lt;50),  "Alerta",
   TRUE,           "Revisar")</f>
        <v>Bueno</v>
      </c>
      <c r="J1488" s="28">
        <f t="shared" si="23"/>
        <v>970000</v>
      </c>
    </row>
    <row r="1489" spans="1:10" ht="18" customHeight="1" x14ac:dyDescent="0.3">
      <c r="A1489" s="25" t="s">
        <v>3023</v>
      </c>
      <c r="B1489" s="8" t="s">
        <v>2716</v>
      </c>
      <c r="C1489" s="25" t="s">
        <v>63</v>
      </c>
      <c r="D1489" s="25" t="s">
        <v>88</v>
      </c>
      <c r="E1489" s="9">
        <v>8700000</v>
      </c>
      <c r="F1489" s="26">
        <v>0.72</v>
      </c>
      <c r="G1489" s="25">
        <v>70</v>
      </c>
      <c r="H1489" s="27">
        <v>2.1</v>
      </c>
      <c r="I1489" s="24" t="str" cm="1">
        <f t="array" ref="I1489">_xlfn.IFS(
   AND(F1489&gt;=0,9, G1489&gt;=85), "Excelente",
   AND(F1489&gt;=0,8, G1489&gt;=70), "Bueno",
   OR(F1489&lt;0,6,  G1489&lt;50),  "Alerta",
   TRUE,           "Revisar")</f>
        <v>Bueno</v>
      </c>
      <c r="J1489" s="28">
        <f t="shared" si="23"/>
        <v>870000</v>
      </c>
    </row>
    <row r="1490" spans="1:10" ht="18" customHeight="1" x14ac:dyDescent="0.3">
      <c r="A1490" s="18" t="s">
        <v>3024</v>
      </c>
      <c r="B1490" s="5" t="s">
        <v>2845</v>
      </c>
      <c r="C1490" s="18" t="s">
        <v>67</v>
      </c>
      <c r="D1490" s="18" t="s">
        <v>92</v>
      </c>
      <c r="E1490" s="6">
        <v>11400000</v>
      </c>
      <c r="F1490" s="19">
        <v>0.54</v>
      </c>
      <c r="G1490" s="18">
        <v>81</v>
      </c>
      <c r="H1490" s="20">
        <v>14.4</v>
      </c>
      <c r="I1490" s="24" t="str" cm="1">
        <f t="array" ref="I1490">_xlfn.IFS(
   AND(F1490&gt;=0,9, G1490&gt;=85), "Excelente",
   AND(F1490&gt;=0,8, G1490&gt;=70), "Bueno",
   OR(F1490&lt;0,6,  G1490&lt;50),  "Alerta",
   TRUE,           "Revisar")</f>
        <v>Bueno</v>
      </c>
      <c r="J1490" s="28">
        <f t="shared" si="23"/>
        <v>1140000</v>
      </c>
    </row>
    <row r="1491" spans="1:10" ht="18" customHeight="1" x14ac:dyDescent="0.3">
      <c r="A1491" s="25" t="s">
        <v>3025</v>
      </c>
      <c r="B1491" s="8" t="s">
        <v>3026</v>
      </c>
      <c r="C1491" s="25" t="s">
        <v>67</v>
      </c>
      <c r="D1491" s="25" t="s">
        <v>88</v>
      </c>
      <c r="E1491" s="9">
        <v>4400000</v>
      </c>
      <c r="F1491" s="26">
        <v>0.72</v>
      </c>
      <c r="G1491" s="25">
        <v>50</v>
      </c>
      <c r="H1491" s="27">
        <v>16.899999999999999</v>
      </c>
      <c r="I1491" s="24" t="str" cm="1">
        <f t="array" ref="I1491">_xlfn.IFS(
   AND(F1491&gt;=0,9, G1491&gt;=85), "Excelente",
   AND(F1491&gt;=0,8, G1491&gt;=70), "Bueno",
   OR(F1491&lt;0,6,  G1491&lt;50),  "Alerta",
   TRUE,           "Revisar")</f>
        <v>Alerta</v>
      </c>
      <c r="J1491" s="28">
        <f t="shared" si="23"/>
        <v>0</v>
      </c>
    </row>
    <row r="1492" spans="1:10" ht="18" customHeight="1" x14ac:dyDescent="0.3">
      <c r="A1492" s="18" t="s">
        <v>3027</v>
      </c>
      <c r="B1492" s="5" t="s">
        <v>3028</v>
      </c>
      <c r="C1492" s="18" t="s">
        <v>77</v>
      </c>
      <c r="D1492" s="18" t="s">
        <v>60</v>
      </c>
      <c r="E1492" s="6">
        <v>11800000</v>
      </c>
      <c r="F1492" s="19">
        <v>0.62</v>
      </c>
      <c r="G1492" s="18">
        <v>61</v>
      </c>
      <c r="H1492" s="20">
        <v>1.5</v>
      </c>
      <c r="I1492" s="24" t="str" cm="1">
        <f t="array" ref="I1492">_xlfn.IFS(
   AND(F1492&gt;=0,9, G1492&gt;=85), "Excelente",
   AND(F1492&gt;=0,8, G1492&gt;=70), "Bueno",
   OR(F1492&lt;0,6,  G1492&lt;50),  "Alerta",
   TRUE,           "Revisar")</f>
        <v>Alerta</v>
      </c>
      <c r="J1492" s="28">
        <f t="shared" si="23"/>
        <v>0</v>
      </c>
    </row>
    <row r="1493" spans="1:10" ht="18" customHeight="1" x14ac:dyDescent="0.3">
      <c r="A1493" s="25" t="s">
        <v>3029</v>
      </c>
      <c r="B1493" s="8" t="s">
        <v>3030</v>
      </c>
      <c r="C1493" s="25" t="s">
        <v>77</v>
      </c>
      <c r="D1493" s="25" t="s">
        <v>78</v>
      </c>
      <c r="E1493" s="9">
        <v>5100000</v>
      </c>
      <c r="F1493" s="26">
        <v>0.5</v>
      </c>
      <c r="G1493" s="25">
        <v>82</v>
      </c>
      <c r="H1493" s="27">
        <v>16.100000000000001</v>
      </c>
      <c r="I1493" s="24" t="str" cm="1">
        <f t="array" ref="I1493">_xlfn.IFS(
   AND(F1493&gt;=0,9, G1493&gt;=85), "Excelente",
   AND(F1493&gt;=0,8, G1493&gt;=70), "Bueno",
   OR(F1493&lt;0,6,  G1493&lt;50),  "Alerta",
   TRUE,           "Revisar")</f>
        <v>Bueno</v>
      </c>
      <c r="J1493" s="28">
        <f t="shared" si="23"/>
        <v>510000</v>
      </c>
    </row>
    <row r="1494" spans="1:10" ht="18" customHeight="1" x14ac:dyDescent="0.3">
      <c r="A1494" s="18" t="s">
        <v>3031</v>
      </c>
      <c r="B1494" s="5" t="s">
        <v>3032</v>
      </c>
      <c r="C1494" s="18" t="s">
        <v>63</v>
      </c>
      <c r="D1494" s="18" t="s">
        <v>114</v>
      </c>
      <c r="E1494" s="6">
        <v>7300000</v>
      </c>
      <c r="F1494" s="19">
        <v>0.47</v>
      </c>
      <c r="G1494" s="18">
        <v>56</v>
      </c>
      <c r="H1494" s="20">
        <v>12.2</v>
      </c>
      <c r="I1494" s="24" t="str" cm="1">
        <f t="array" ref="I1494">_xlfn.IFS(
   AND(F1494&gt;=0,9, G1494&gt;=85), "Excelente",
   AND(F1494&gt;=0,8, G1494&gt;=70), "Bueno",
   OR(F1494&lt;0,6,  G1494&lt;50),  "Alerta",
   TRUE,           "Revisar")</f>
        <v>Alerta</v>
      </c>
      <c r="J1494" s="28">
        <f t="shared" si="23"/>
        <v>0</v>
      </c>
    </row>
    <row r="1495" spans="1:10" ht="18" customHeight="1" x14ac:dyDescent="0.3">
      <c r="A1495" s="25" t="s">
        <v>3033</v>
      </c>
      <c r="B1495" s="8" t="s">
        <v>3034</v>
      </c>
      <c r="C1495" s="25" t="s">
        <v>81</v>
      </c>
      <c r="D1495" s="25" t="s">
        <v>78</v>
      </c>
      <c r="E1495" s="9">
        <v>11500000</v>
      </c>
      <c r="F1495" s="26">
        <v>0.64</v>
      </c>
      <c r="G1495" s="25">
        <v>40</v>
      </c>
      <c r="H1495" s="27">
        <v>15</v>
      </c>
      <c r="I1495" s="24" t="str" cm="1">
        <f t="array" ref="I1495">_xlfn.IFS(
   AND(F1495&gt;=0,9, G1495&gt;=85), "Excelente",
   AND(F1495&gt;=0,8, G1495&gt;=70), "Bueno",
   OR(F1495&lt;0,6,  G1495&lt;50),  "Alerta",
   TRUE,           "Revisar")</f>
        <v>Alerta</v>
      </c>
      <c r="J1495" s="28">
        <f t="shared" si="23"/>
        <v>0</v>
      </c>
    </row>
    <row r="1496" spans="1:10" ht="18" customHeight="1" x14ac:dyDescent="0.3">
      <c r="A1496" s="18" t="s">
        <v>3035</v>
      </c>
      <c r="B1496" s="5" t="s">
        <v>3036</v>
      </c>
      <c r="C1496" s="18" t="s">
        <v>81</v>
      </c>
      <c r="D1496" s="18" t="s">
        <v>68</v>
      </c>
      <c r="E1496" s="6">
        <v>11300000</v>
      </c>
      <c r="F1496" s="19">
        <v>0.79</v>
      </c>
      <c r="G1496" s="18">
        <v>51</v>
      </c>
      <c r="H1496" s="20">
        <v>8.3000000000000007</v>
      </c>
      <c r="I1496" s="24" t="str" cm="1">
        <f t="array" ref="I1496">_xlfn.IFS(
   AND(F1496&gt;=0,9, G1496&gt;=85), "Excelente",
   AND(F1496&gt;=0,8, G1496&gt;=70), "Bueno",
   OR(F1496&lt;0,6,  G1496&lt;50),  "Alerta",
   TRUE,           "Revisar")</f>
        <v>Alerta</v>
      </c>
      <c r="J1496" s="28">
        <f t="shared" si="23"/>
        <v>0</v>
      </c>
    </row>
    <row r="1497" spans="1:10" ht="18" customHeight="1" x14ac:dyDescent="0.3">
      <c r="A1497" s="25" t="s">
        <v>3037</v>
      </c>
      <c r="B1497" s="8" t="s">
        <v>3038</v>
      </c>
      <c r="C1497" s="25" t="s">
        <v>74</v>
      </c>
      <c r="D1497" s="25" t="s">
        <v>64</v>
      </c>
      <c r="E1497" s="9">
        <v>5100000</v>
      </c>
      <c r="F1497" s="26">
        <v>0.51</v>
      </c>
      <c r="G1497" s="25">
        <v>56</v>
      </c>
      <c r="H1497" s="27">
        <v>5.5</v>
      </c>
      <c r="I1497" s="24" t="str" cm="1">
        <f t="array" ref="I1497">_xlfn.IFS(
   AND(F1497&gt;=0,9, G1497&gt;=85), "Excelente",
   AND(F1497&gt;=0,8, G1497&gt;=70), "Bueno",
   OR(F1497&lt;0,6,  G1497&lt;50),  "Alerta",
   TRUE,           "Revisar")</f>
        <v>Alerta</v>
      </c>
      <c r="J1497" s="28">
        <f t="shared" si="23"/>
        <v>0</v>
      </c>
    </row>
    <row r="1498" spans="1:10" ht="18" customHeight="1" x14ac:dyDescent="0.3">
      <c r="A1498" s="18" t="s">
        <v>3039</v>
      </c>
      <c r="B1498" s="5" t="s">
        <v>3040</v>
      </c>
      <c r="C1498" s="18" t="s">
        <v>63</v>
      </c>
      <c r="D1498" s="18" t="s">
        <v>114</v>
      </c>
      <c r="E1498" s="6">
        <v>10900000</v>
      </c>
      <c r="F1498" s="19">
        <v>0.67</v>
      </c>
      <c r="G1498" s="18">
        <v>64</v>
      </c>
      <c r="H1498" s="20">
        <v>10.8</v>
      </c>
      <c r="I1498" s="24" t="str" cm="1">
        <f t="array" ref="I1498">_xlfn.IFS(
   AND(F1498&gt;=0,9, G1498&gt;=85), "Excelente",
   AND(F1498&gt;=0,8, G1498&gt;=70), "Bueno",
   OR(F1498&lt;0,6,  G1498&lt;50),  "Alerta",
   TRUE,           "Revisar")</f>
        <v>Alerta</v>
      </c>
      <c r="J1498" s="28">
        <f t="shared" si="23"/>
        <v>0</v>
      </c>
    </row>
    <row r="1499" spans="1:10" ht="18" customHeight="1" x14ac:dyDescent="0.3">
      <c r="A1499" s="25" t="s">
        <v>3041</v>
      </c>
      <c r="B1499" s="8" t="s">
        <v>3042</v>
      </c>
      <c r="C1499" s="25" t="s">
        <v>63</v>
      </c>
      <c r="D1499" s="25" t="s">
        <v>64</v>
      </c>
      <c r="E1499" s="9">
        <v>11300000</v>
      </c>
      <c r="F1499" s="26">
        <v>0.56000000000000005</v>
      </c>
      <c r="G1499" s="25">
        <v>50</v>
      </c>
      <c r="H1499" s="27">
        <v>5.6</v>
      </c>
      <c r="I1499" s="24" t="str" cm="1">
        <f t="array" ref="I1499">_xlfn.IFS(
   AND(F1499&gt;=0,9, G1499&gt;=85), "Excelente",
   AND(F1499&gt;=0,8, G1499&gt;=70), "Bueno",
   OR(F1499&lt;0,6,  G1499&lt;50),  "Alerta",
   TRUE,           "Revisar")</f>
        <v>Alerta</v>
      </c>
      <c r="J1499" s="28">
        <f t="shared" si="23"/>
        <v>0</v>
      </c>
    </row>
    <row r="1500" spans="1:10" ht="18" customHeight="1" x14ac:dyDescent="0.3">
      <c r="A1500" s="18" t="s">
        <v>3043</v>
      </c>
      <c r="B1500" s="5" t="s">
        <v>3044</v>
      </c>
      <c r="C1500" s="18" t="s">
        <v>91</v>
      </c>
      <c r="D1500" s="18" t="s">
        <v>92</v>
      </c>
      <c r="E1500" s="6">
        <v>7600000</v>
      </c>
      <c r="F1500" s="19">
        <v>0.8</v>
      </c>
      <c r="G1500" s="18">
        <v>47</v>
      </c>
      <c r="H1500" s="20">
        <v>2</v>
      </c>
      <c r="I1500" s="24" t="str" cm="1">
        <f t="array" ref="I1500">_xlfn.IFS(
   AND(F1500&gt;=0,9, G1500&gt;=85), "Excelente",
   AND(F1500&gt;=0,8, G1500&gt;=70), "Bueno",
   OR(F1500&lt;0,6,  G1500&lt;50),  "Alerta",
   TRUE,           "Revisar")</f>
        <v>Alerta</v>
      </c>
      <c r="J1500" s="28">
        <f t="shared" si="23"/>
        <v>0</v>
      </c>
    </row>
    <row r="1501" spans="1:10" ht="18" customHeight="1" x14ac:dyDescent="0.3">
      <c r="A1501" s="25" t="s">
        <v>3045</v>
      </c>
      <c r="B1501" s="8" t="s">
        <v>3046</v>
      </c>
      <c r="C1501" s="25" t="s">
        <v>81</v>
      </c>
      <c r="D1501" s="25" t="s">
        <v>78</v>
      </c>
      <c r="E1501" s="9">
        <v>5700000</v>
      </c>
      <c r="F1501" s="26">
        <v>0.65</v>
      </c>
      <c r="G1501" s="25">
        <v>68</v>
      </c>
      <c r="H1501" s="27">
        <v>5.6</v>
      </c>
      <c r="I1501" s="24" t="str" cm="1">
        <f t="array" ref="I1501">_xlfn.IFS(
   AND(F1501&gt;=0,9, G1501&gt;=85), "Excelente",
   AND(F1501&gt;=0,8, G1501&gt;=70), "Bueno",
   OR(F1501&lt;0,6,  G1501&lt;50),  "Alerta",
   TRUE,           "Revisar")</f>
        <v>Alerta</v>
      </c>
      <c r="J1501" s="28">
        <f t="shared" si="23"/>
        <v>0</v>
      </c>
    </row>
    <row r="1502" spans="1:10" ht="18" customHeight="1" x14ac:dyDescent="0.3">
      <c r="A1502" s="18" t="s">
        <v>3047</v>
      </c>
      <c r="B1502" s="5" t="s">
        <v>3048</v>
      </c>
      <c r="C1502" s="18" t="s">
        <v>63</v>
      </c>
      <c r="D1502" s="18" t="s">
        <v>78</v>
      </c>
      <c r="E1502" s="6">
        <v>5800000</v>
      </c>
      <c r="F1502" s="19">
        <v>0.64</v>
      </c>
      <c r="G1502" s="18">
        <v>87</v>
      </c>
      <c r="H1502" s="20">
        <v>10.199999999999999</v>
      </c>
      <c r="I1502" s="24" t="str" cm="1">
        <f t="array" ref="I1502">_xlfn.IFS(
   AND(F1502&gt;=0,9, G1502&gt;=85), "Excelente",
   AND(F1502&gt;=0,8, G1502&gt;=70), "Bueno",
   OR(F1502&lt;0,6,  G1502&lt;50),  "Alerta",
   TRUE,           "Revisar")</f>
        <v>Excelente</v>
      </c>
      <c r="J1502" s="28">
        <f t="shared" si="23"/>
        <v>580000</v>
      </c>
    </row>
    <row r="1503" spans="1:10" ht="18" customHeight="1" x14ac:dyDescent="0.3">
      <c r="A1503" s="25" t="s">
        <v>3049</v>
      </c>
      <c r="B1503" s="8" t="s">
        <v>3050</v>
      </c>
      <c r="C1503" s="25" t="s">
        <v>81</v>
      </c>
      <c r="D1503" s="25" t="s">
        <v>78</v>
      </c>
      <c r="E1503" s="9">
        <v>2800000</v>
      </c>
      <c r="F1503" s="26">
        <v>0.76</v>
      </c>
      <c r="G1503" s="25">
        <v>99</v>
      </c>
      <c r="H1503" s="27">
        <v>10.6</v>
      </c>
      <c r="I1503" s="24" t="str" cm="1">
        <f t="array" ref="I1503">_xlfn.IFS(
   AND(F1503&gt;=0,9, G1503&gt;=85), "Excelente",
   AND(F1503&gt;=0,8, G1503&gt;=70), "Bueno",
   OR(F1503&lt;0,6,  G1503&lt;50),  "Alerta",
   TRUE,           "Revisar")</f>
        <v>Excelente</v>
      </c>
      <c r="J1503" s="28">
        <f t="shared" si="23"/>
        <v>280000</v>
      </c>
    </row>
    <row r="1504" spans="1:10" ht="18" customHeight="1" x14ac:dyDescent="0.3">
      <c r="A1504" s="18" t="s">
        <v>3051</v>
      </c>
      <c r="B1504" s="5" t="s">
        <v>3052</v>
      </c>
      <c r="C1504" s="18" t="s">
        <v>77</v>
      </c>
      <c r="D1504" s="18" t="s">
        <v>60</v>
      </c>
      <c r="E1504" s="6">
        <v>5500000</v>
      </c>
      <c r="F1504" s="19">
        <v>0.99</v>
      </c>
      <c r="G1504" s="18">
        <v>92</v>
      </c>
      <c r="H1504" s="20">
        <v>0.3</v>
      </c>
      <c r="I1504" s="24" t="str" cm="1">
        <f t="array" ref="I1504">_xlfn.IFS(
   AND(F1504&gt;=0,9, G1504&gt;=85), "Excelente",
   AND(F1504&gt;=0,8, G1504&gt;=70), "Bueno",
   OR(F1504&lt;0,6,  G1504&lt;50),  "Alerta",
   TRUE,           "Revisar")</f>
        <v>Excelente</v>
      </c>
      <c r="J1504" s="28">
        <f t="shared" si="23"/>
        <v>550000</v>
      </c>
    </row>
    <row r="1505" spans="1:10" ht="18" customHeight="1" x14ac:dyDescent="0.3">
      <c r="A1505" s="25" t="s">
        <v>3053</v>
      </c>
      <c r="B1505" s="8" t="s">
        <v>3054</v>
      </c>
      <c r="C1505" s="25" t="s">
        <v>63</v>
      </c>
      <c r="D1505" s="25" t="s">
        <v>60</v>
      </c>
      <c r="E1505" s="9">
        <v>10100000</v>
      </c>
      <c r="F1505" s="26">
        <v>0.69</v>
      </c>
      <c r="G1505" s="25">
        <v>97</v>
      </c>
      <c r="H1505" s="27">
        <v>20</v>
      </c>
      <c r="I1505" s="24" t="str" cm="1">
        <f t="array" ref="I1505">_xlfn.IFS(
   AND(F1505&gt;=0,9, G1505&gt;=85), "Excelente",
   AND(F1505&gt;=0,8, G1505&gt;=70), "Bueno",
   OR(F1505&lt;0,6,  G1505&lt;50),  "Alerta",
   TRUE,           "Revisar")</f>
        <v>Excelente</v>
      </c>
      <c r="J1505" s="28">
        <f t="shared" si="23"/>
        <v>1010000</v>
      </c>
    </row>
    <row r="1506" spans="1:10" ht="18" customHeight="1" x14ac:dyDescent="0.3">
      <c r="A1506" s="18" t="s">
        <v>3055</v>
      </c>
      <c r="B1506" s="5" t="s">
        <v>3056</v>
      </c>
      <c r="C1506" s="18" t="s">
        <v>81</v>
      </c>
      <c r="D1506" s="18" t="s">
        <v>78</v>
      </c>
      <c r="E1506" s="6">
        <v>2800000</v>
      </c>
      <c r="F1506" s="19">
        <v>0.9</v>
      </c>
      <c r="G1506" s="18">
        <v>60</v>
      </c>
      <c r="H1506" s="20">
        <v>14.8</v>
      </c>
      <c r="I1506" s="24" t="str" cm="1">
        <f t="array" ref="I1506">_xlfn.IFS(
   AND(F1506&gt;=0,9, G1506&gt;=85), "Excelente",
   AND(F1506&gt;=0,8, G1506&gt;=70), "Bueno",
   OR(F1506&lt;0,6,  G1506&lt;50),  "Alerta",
   TRUE,           "Revisar")</f>
        <v>Alerta</v>
      </c>
      <c r="J1506" s="28">
        <f t="shared" si="23"/>
        <v>0</v>
      </c>
    </row>
    <row r="1507" spans="1:10" ht="18" customHeight="1" x14ac:dyDescent="0.3">
      <c r="A1507" s="25" t="s">
        <v>3057</v>
      </c>
      <c r="B1507" s="8" t="s">
        <v>3058</v>
      </c>
      <c r="C1507" s="25" t="s">
        <v>63</v>
      </c>
      <c r="D1507" s="25" t="s">
        <v>60</v>
      </c>
      <c r="E1507" s="9">
        <v>9700000</v>
      </c>
      <c r="F1507" s="26">
        <v>0.83</v>
      </c>
      <c r="G1507" s="25">
        <v>36</v>
      </c>
      <c r="H1507" s="27">
        <v>3.7</v>
      </c>
      <c r="I1507" s="24" t="str" cm="1">
        <f t="array" ref="I1507">_xlfn.IFS(
   AND(F1507&gt;=0,9, G1507&gt;=85), "Excelente",
   AND(F1507&gt;=0,8, G1507&gt;=70), "Bueno",
   OR(F1507&lt;0,6,  G1507&lt;50),  "Alerta",
   TRUE,           "Revisar")</f>
        <v>Alerta</v>
      </c>
      <c r="J1507" s="28">
        <f t="shared" si="23"/>
        <v>0</v>
      </c>
    </row>
    <row r="1508" spans="1:10" ht="18" customHeight="1" x14ac:dyDescent="0.3">
      <c r="A1508" s="18" t="s">
        <v>3059</v>
      </c>
      <c r="B1508" s="5" t="s">
        <v>3060</v>
      </c>
      <c r="C1508" s="18" t="s">
        <v>59</v>
      </c>
      <c r="D1508" s="18" t="s">
        <v>64</v>
      </c>
      <c r="E1508" s="6">
        <v>6400000</v>
      </c>
      <c r="F1508" s="19">
        <v>0.96</v>
      </c>
      <c r="G1508" s="18">
        <v>86</v>
      </c>
      <c r="H1508" s="20">
        <v>19.600000000000001</v>
      </c>
      <c r="I1508" s="24" t="str" cm="1">
        <f t="array" ref="I1508">_xlfn.IFS(
   AND(F1508&gt;=0,9, G1508&gt;=85), "Excelente",
   AND(F1508&gt;=0,8, G1508&gt;=70), "Bueno",
   OR(F1508&lt;0,6,  G1508&lt;50),  "Alerta",
   TRUE,           "Revisar")</f>
        <v>Excelente</v>
      </c>
      <c r="J1508" s="28">
        <f t="shared" si="23"/>
        <v>640000</v>
      </c>
    </row>
    <row r="1509" spans="1:10" ht="18" customHeight="1" x14ac:dyDescent="0.3">
      <c r="A1509" s="25" t="s">
        <v>3061</v>
      </c>
      <c r="B1509" s="8" t="s">
        <v>3062</v>
      </c>
      <c r="C1509" s="25" t="s">
        <v>59</v>
      </c>
      <c r="D1509" s="25" t="s">
        <v>114</v>
      </c>
      <c r="E1509" s="9">
        <v>5500000</v>
      </c>
      <c r="F1509" s="26">
        <v>0.61</v>
      </c>
      <c r="G1509" s="25">
        <v>65</v>
      </c>
      <c r="H1509" s="27">
        <v>10.1</v>
      </c>
      <c r="I1509" s="24" t="str" cm="1">
        <f t="array" ref="I1509">_xlfn.IFS(
   AND(F1509&gt;=0,9, G1509&gt;=85), "Excelente",
   AND(F1509&gt;=0,8, G1509&gt;=70), "Bueno",
   OR(F1509&lt;0,6,  G1509&lt;50),  "Alerta",
   TRUE,           "Revisar")</f>
        <v>Alerta</v>
      </c>
      <c r="J1509" s="28">
        <f t="shared" si="23"/>
        <v>0</v>
      </c>
    </row>
    <row r="1510" spans="1:10" ht="18" customHeight="1" x14ac:dyDescent="0.3">
      <c r="A1510" s="18" t="s">
        <v>3063</v>
      </c>
      <c r="B1510" s="5" t="s">
        <v>3064</v>
      </c>
      <c r="C1510" s="18" t="s">
        <v>74</v>
      </c>
      <c r="D1510" s="18" t="s">
        <v>64</v>
      </c>
      <c r="E1510" s="6">
        <v>5800000</v>
      </c>
      <c r="F1510" s="19">
        <v>0.75</v>
      </c>
      <c r="G1510" s="18">
        <v>58</v>
      </c>
      <c r="H1510" s="20">
        <v>15.9</v>
      </c>
      <c r="I1510" s="24" t="str" cm="1">
        <f t="array" ref="I1510">_xlfn.IFS(
   AND(F1510&gt;=0,9, G1510&gt;=85), "Excelente",
   AND(F1510&gt;=0,8, G1510&gt;=70), "Bueno",
   OR(F1510&lt;0,6,  G1510&lt;50),  "Alerta",
   TRUE,           "Revisar")</f>
        <v>Alerta</v>
      </c>
      <c r="J1510" s="28">
        <f t="shared" si="23"/>
        <v>0</v>
      </c>
    </row>
    <row r="1511" spans="1:10" ht="18" customHeight="1" x14ac:dyDescent="0.3">
      <c r="A1511" s="25" t="s">
        <v>3065</v>
      </c>
      <c r="B1511" s="8" t="s">
        <v>3066</v>
      </c>
      <c r="C1511" s="25" t="s">
        <v>67</v>
      </c>
      <c r="D1511" s="25" t="s">
        <v>60</v>
      </c>
      <c r="E1511" s="9">
        <v>6100000</v>
      </c>
      <c r="F1511" s="26">
        <v>0.67</v>
      </c>
      <c r="G1511" s="25">
        <v>55</v>
      </c>
      <c r="H1511" s="27">
        <v>4.5999999999999996</v>
      </c>
      <c r="I1511" s="24" t="str" cm="1">
        <f t="array" ref="I1511">_xlfn.IFS(
   AND(F1511&gt;=0,9, G1511&gt;=85), "Excelente",
   AND(F1511&gt;=0,8, G1511&gt;=70), "Bueno",
   OR(F1511&lt;0,6,  G1511&lt;50),  "Alerta",
   TRUE,           "Revisar")</f>
        <v>Alerta</v>
      </c>
      <c r="J1511" s="28">
        <f t="shared" si="23"/>
        <v>0</v>
      </c>
    </row>
  </sheetData>
  <mergeCells count="6">
    <mergeCell ref="A10:J10"/>
    <mergeCell ref="A1:K1"/>
    <mergeCell ref="A2:K2"/>
    <mergeCell ref="A4:K4"/>
    <mergeCell ref="A5:E8"/>
    <mergeCell ref="F5:K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Ref. Mixtas</vt:lpstr>
      <vt:lpstr>SI · Y · O</vt:lpstr>
      <vt:lpstr>SI.CONJUNTO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mariana ospina mira</cp:lastModifiedBy>
  <cp:revision>0</cp:revision>
  <dcterms:created xsi:type="dcterms:W3CDTF">2026-04-19T16:11:10Z</dcterms:created>
  <dcterms:modified xsi:type="dcterms:W3CDTF">2026-04-20T13:54:02Z</dcterms:modified>
  <dc:language>en-US</dc:language>
</cp:coreProperties>
</file>